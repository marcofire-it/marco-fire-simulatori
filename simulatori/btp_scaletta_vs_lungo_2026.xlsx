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540" windowWidth="27495" windowHeight="13995"/>
  </bookViews>
  <sheets>
    <sheet name="0 - Indice" sheetId="1" r:id="rId1"/>
    <sheet name="1 - Titoli e shock" sheetId="2" r:id="rId2"/>
    <sheet name="2 - Scaletta e confronto" sheetId="3" r:id="rId3"/>
    <sheet name="3 - Inflazione e vendita" sheetId="4" r:id="rId4"/>
    <sheet name="4 - Vita e successione" sheetId="5" r:id="rId5"/>
    <sheet name="5 - Motore flussi" sheetId="6" r:id="rId6"/>
  </sheets>
  <calcPr calcId="144525"/>
</workbook>
</file>

<file path=xl/calcChain.xml><?xml version="1.0" encoding="utf-8"?>
<calcChain xmlns="http://schemas.openxmlformats.org/spreadsheetml/2006/main">
  <c r="U564" i="6" l="1"/>
  <c r="T564" i="6"/>
  <c r="S564" i="6"/>
  <c r="R564" i="6"/>
  <c r="Q564" i="6"/>
  <c r="P564" i="6"/>
  <c r="O564" i="6"/>
  <c r="N564" i="6"/>
  <c r="M564" i="6"/>
  <c r="L564" i="6"/>
  <c r="K564" i="6"/>
  <c r="J564" i="6"/>
  <c r="I564" i="6"/>
  <c r="H564" i="6"/>
  <c r="G564" i="6"/>
  <c r="F564" i="6"/>
  <c r="C564" i="6"/>
  <c r="U563" i="6"/>
  <c r="T563" i="6"/>
  <c r="S563" i="6"/>
  <c r="R563" i="6"/>
  <c r="Q563" i="6"/>
  <c r="P563" i="6"/>
  <c r="O563" i="6"/>
  <c r="N563" i="6"/>
  <c r="M563" i="6"/>
  <c r="L563" i="6"/>
  <c r="K563" i="6"/>
  <c r="J563" i="6"/>
  <c r="I563" i="6"/>
  <c r="H563" i="6"/>
  <c r="G563" i="6"/>
  <c r="F563" i="6"/>
  <c r="C563" i="6"/>
  <c r="U562" i="6"/>
  <c r="T562" i="6"/>
  <c r="S562" i="6"/>
  <c r="R562" i="6"/>
  <c r="Q562" i="6"/>
  <c r="P562" i="6"/>
  <c r="O562" i="6"/>
  <c r="N562" i="6"/>
  <c r="M562" i="6"/>
  <c r="L562" i="6"/>
  <c r="K562" i="6"/>
  <c r="J562" i="6"/>
  <c r="I562" i="6"/>
  <c r="H562" i="6"/>
  <c r="G562" i="6"/>
  <c r="F562" i="6"/>
  <c r="C562" i="6"/>
  <c r="U561" i="6"/>
  <c r="T561" i="6"/>
  <c r="S561" i="6"/>
  <c r="R561" i="6"/>
  <c r="Q561" i="6"/>
  <c r="P561" i="6"/>
  <c r="O561" i="6"/>
  <c r="N561" i="6"/>
  <c r="M561" i="6"/>
  <c r="L561" i="6"/>
  <c r="K561" i="6"/>
  <c r="J561" i="6"/>
  <c r="I561" i="6"/>
  <c r="H561" i="6"/>
  <c r="G561" i="6"/>
  <c r="F561" i="6"/>
  <c r="C561" i="6"/>
  <c r="U560" i="6"/>
  <c r="T560" i="6"/>
  <c r="S560" i="6"/>
  <c r="R560" i="6"/>
  <c r="Q560" i="6"/>
  <c r="P560" i="6"/>
  <c r="O560" i="6"/>
  <c r="N560" i="6"/>
  <c r="M560" i="6"/>
  <c r="L560" i="6"/>
  <c r="K560" i="6"/>
  <c r="J560" i="6"/>
  <c r="I560" i="6"/>
  <c r="H560" i="6"/>
  <c r="G560" i="6"/>
  <c r="F560" i="6"/>
  <c r="C560" i="6"/>
  <c r="U559" i="6"/>
  <c r="T559" i="6"/>
  <c r="S559" i="6"/>
  <c r="R559" i="6"/>
  <c r="Q559" i="6"/>
  <c r="P559" i="6"/>
  <c r="O559" i="6"/>
  <c r="N559" i="6"/>
  <c r="M559" i="6"/>
  <c r="L559" i="6"/>
  <c r="K559" i="6"/>
  <c r="J559" i="6"/>
  <c r="I559" i="6"/>
  <c r="H559" i="6"/>
  <c r="G559" i="6"/>
  <c r="F559" i="6"/>
  <c r="C559" i="6"/>
  <c r="U558" i="6"/>
  <c r="T558" i="6"/>
  <c r="S558" i="6"/>
  <c r="R558" i="6"/>
  <c r="Q558" i="6"/>
  <c r="P558" i="6"/>
  <c r="O558" i="6"/>
  <c r="N558" i="6"/>
  <c r="M558" i="6"/>
  <c r="L558" i="6"/>
  <c r="K558" i="6"/>
  <c r="J558" i="6"/>
  <c r="C558" i="6"/>
  <c r="U557" i="6"/>
  <c r="T557" i="6"/>
  <c r="S557" i="6"/>
  <c r="R557" i="6"/>
  <c r="Q557" i="6"/>
  <c r="P557" i="6"/>
  <c r="O557" i="6"/>
  <c r="N557" i="6"/>
  <c r="M557" i="6"/>
  <c r="L557" i="6"/>
  <c r="K557" i="6"/>
  <c r="J557" i="6"/>
  <c r="C557" i="6"/>
  <c r="U556" i="6"/>
  <c r="T556" i="6"/>
  <c r="S556" i="6"/>
  <c r="R556" i="6"/>
  <c r="Q556" i="6"/>
  <c r="P556" i="6"/>
  <c r="O556" i="6"/>
  <c r="N556" i="6"/>
  <c r="M556" i="6"/>
  <c r="L556" i="6"/>
  <c r="K556" i="6"/>
  <c r="J556" i="6"/>
  <c r="C556" i="6"/>
  <c r="U555" i="6"/>
  <c r="T555" i="6"/>
  <c r="S555" i="6"/>
  <c r="R555" i="6"/>
  <c r="Q555" i="6"/>
  <c r="P555" i="6"/>
  <c r="O555" i="6"/>
  <c r="N555" i="6"/>
  <c r="M555" i="6"/>
  <c r="L555" i="6"/>
  <c r="K555" i="6"/>
  <c r="J555" i="6"/>
  <c r="C555" i="6"/>
  <c r="U554" i="6"/>
  <c r="T554" i="6"/>
  <c r="S554" i="6"/>
  <c r="R554" i="6"/>
  <c r="Q554" i="6"/>
  <c r="P554" i="6"/>
  <c r="O554" i="6"/>
  <c r="N554" i="6"/>
  <c r="M554" i="6"/>
  <c r="L554" i="6"/>
  <c r="K554" i="6"/>
  <c r="J554" i="6"/>
  <c r="C554" i="6"/>
  <c r="U553" i="6"/>
  <c r="T553" i="6"/>
  <c r="S553" i="6"/>
  <c r="R553" i="6"/>
  <c r="Q553" i="6"/>
  <c r="P553" i="6"/>
  <c r="O553" i="6"/>
  <c r="N553" i="6"/>
  <c r="M553" i="6"/>
  <c r="L553" i="6"/>
  <c r="K553" i="6"/>
  <c r="J553" i="6"/>
  <c r="C553" i="6"/>
  <c r="U552" i="6"/>
  <c r="T552" i="6"/>
  <c r="S552" i="6"/>
  <c r="R552" i="6"/>
  <c r="Q552" i="6"/>
  <c r="P552" i="6"/>
  <c r="O552" i="6"/>
  <c r="N552" i="6"/>
  <c r="M552" i="6"/>
  <c r="L552" i="6"/>
  <c r="K552" i="6"/>
  <c r="J552" i="6"/>
  <c r="C552" i="6"/>
  <c r="U551" i="6"/>
  <c r="T551" i="6"/>
  <c r="S551" i="6"/>
  <c r="R551" i="6"/>
  <c r="Q551" i="6"/>
  <c r="P551" i="6"/>
  <c r="O551" i="6"/>
  <c r="N551" i="6"/>
  <c r="M551" i="6"/>
  <c r="L551" i="6"/>
  <c r="K551" i="6"/>
  <c r="J551" i="6"/>
  <c r="C551" i="6"/>
  <c r="U550" i="6"/>
  <c r="T550" i="6"/>
  <c r="S550" i="6"/>
  <c r="R550" i="6"/>
  <c r="Q550" i="6"/>
  <c r="P550" i="6"/>
  <c r="O550" i="6"/>
  <c r="N550" i="6"/>
  <c r="M550" i="6"/>
  <c r="L550" i="6"/>
  <c r="K550" i="6"/>
  <c r="J550" i="6"/>
  <c r="C550" i="6"/>
  <c r="U549" i="6"/>
  <c r="T549" i="6"/>
  <c r="S549" i="6"/>
  <c r="R549" i="6"/>
  <c r="Q549" i="6"/>
  <c r="P549" i="6"/>
  <c r="O549" i="6"/>
  <c r="N549" i="6"/>
  <c r="M549" i="6"/>
  <c r="L549" i="6"/>
  <c r="K549" i="6"/>
  <c r="J549" i="6"/>
  <c r="C549" i="6"/>
  <c r="U515" i="6"/>
  <c r="T515" i="6"/>
  <c r="S515" i="6"/>
  <c r="R515" i="6"/>
  <c r="Q515" i="6"/>
  <c r="P515" i="6"/>
  <c r="O515" i="6"/>
  <c r="N515" i="6"/>
  <c r="M515" i="6"/>
  <c r="L515" i="6"/>
  <c r="K515" i="6"/>
  <c r="J515" i="6"/>
  <c r="I515" i="6"/>
  <c r="H515" i="6"/>
  <c r="G515" i="6"/>
  <c r="F515" i="6"/>
  <c r="C515" i="6"/>
  <c r="U512" i="6"/>
  <c r="T512" i="6"/>
  <c r="S512" i="6"/>
  <c r="R512" i="6"/>
  <c r="Q512" i="6"/>
  <c r="P512" i="6"/>
  <c r="O512" i="6"/>
  <c r="N512" i="6"/>
  <c r="M512" i="6"/>
  <c r="L512" i="6"/>
  <c r="K512" i="6"/>
  <c r="J512" i="6"/>
  <c r="I512" i="6"/>
  <c r="H512" i="6"/>
  <c r="G512" i="6"/>
  <c r="F512" i="6"/>
  <c r="C512" i="6"/>
  <c r="U511" i="6"/>
  <c r="T511" i="6"/>
  <c r="S511" i="6"/>
  <c r="R511" i="6"/>
  <c r="Q511" i="6"/>
  <c r="P511" i="6"/>
  <c r="O511" i="6"/>
  <c r="N511" i="6"/>
  <c r="M511" i="6"/>
  <c r="L511" i="6"/>
  <c r="K511" i="6"/>
  <c r="J511" i="6"/>
  <c r="I511" i="6"/>
  <c r="H511" i="6"/>
  <c r="G511" i="6"/>
  <c r="F511" i="6"/>
  <c r="C511" i="6"/>
  <c r="U510" i="6"/>
  <c r="T510" i="6"/>
  <c r="S510" i="6"/>
  <c r="R510" i="6"/>
  <c r="Q510" i="6"/>
  <c r="P510" i="6"/>
  <c r="O510" i="6"/>
  <c r="N510" i="6"/>
  <c r="M510" i="6"/>
  <c r="L510" i="6"/>
  <c r="K510" i="6"/>
  <c r="J510" i="6"/>
  <c r="I510" i="6"/>
  <c r="H510" i="6"/>
  <c r="G510" i="6"/>
  <c r="F510" i="6"/>
  <c r="C510" i="6"/>
  <c r="U509" i="6"/>
  <c r="T509" i="6"/>
  <c r="S509" i="6"/>
  <c r="R509" i="6"/>
  <c r="Q509" i="6"/>
  <c r="P509" i="6"/>
  <c r="O509" i="6"/>
  <c r="N509" i="6"/>
  <c r="M509" i="6"/>
  <c r="L509" i="6"/>
  <c r="K509" i="6"/>
  <c r="J509" i="6"/>
  <c r="I509" i="6"/>
  <c r="H509" i="6"/>
  <c r="G509" i="6"/>
  <c r="F509" i="6"/>
  <c r="C509" i="6"/>
  <c r="U508" i="6"/>
  <c r="T508" i="6"/>
  <c r="S508" i="6"/>
  <c r="R508" i="6"/>
  <c r="Q508" i="6"/>
  <c r="P508" i="6"/>
  <c r="O508" i="6"/>
  <c r="N508" i="6"/>
  <c r="M508" i="6"/>
  <c r="L508" i="6"/>
  <c r="K508" i="6"/>
  <c r="J508" i="6"/>
  <c r="I508" i="6"/>
  <c r="H508" i="6"/>
  <c r="G508" i="6"/>
  <c r="F508" i="6"/>
  <c r="C508" i="6"/>
  <c r="U507" i="6"/>
  <c r="T507" i="6"/>
  <c r="S507" i="6"/>
  <c r="R507" i="6"/>
  <c r="Q507" i="6"/>
  <c r="P507" i="6"/>
  <c r="O507" i="6"/>
  <c r="N507" i="6"/>
  <c r="M507" i="6"/>
  <c r="L507" i="6"/>
  <c r="K507" i="6"/>
  <c r="J507" i="6"/>
  <c r="I507" i="6"/>
  <c r="H507" i="6"/>
  <c r="G507" i="6"/>
  <c r="F507" i="6"/>
  <c r="C507" i="6"/>
  <c r="U506" i="6"/>
  <c r="T506" i="6"/>
  <c r="S506" i="6"/>
  <c r="R506" i="6"/>
  <c r="Q506" i="6"/>
  <c r="P506" i="6"/>
  <c r="O506" i="6"/>
  <c r="N506" i="6"/>
  <c r="M506" i="6"/>
  <c r="L506" i="6"/>
  <c r="K506" i="6"/>
  <c r="J506" i="6"/>
  <c r="C506" i="6"/>
  <c r="U505" i="6"/>
  <c r="T505" i="6"/>
  <c r="S505" i="6"/>
  <c r="R505" i="6"/>
  <c r="Q505" i="6"/>
  <c r="P505" i="6"/>
  <c r="O505" i="6"/>
  <c r="N505" i="6"/>
  <c r="M505" i="6"/>
  <c r="L505" i="6"/>
  <c r="K505" i="6"/>
  <c r="J505" i="6"/>
  <c r="C505" i="6"/>
  <c r="U504" i="6"/>
  <c r="T504" i="6"/>
  <c r="S504" i="6"/>
  <c r="R504" i="6"/>
  <c r="Q504" i="6"/>
  <c r="P504" i="6"/>
  <c r="O504" i="6"/>
  <c r="N504" i="6"/>
  <c r="M504" i="6"/>
  <c r="L504" i="6"/>
  <c r="K504" i="6"/>
  <c r="J504" i="6"/>
  <c r="C504" i="6"/>
  <c r="U503" i="6"/>
  <c r="T503" i="6"/>
  <c r="S503" i="6"/>
  <c r="R503" i="6"/>
  <c r="Q503" i="6"/>
  <c r="P503" i="6"/>
  <c r="O503" i="6"/>
  <c r="N503" i="6"/>
  <c r="M503" i="6"/>
  <c r="L503" i="6"/>
  <c r="K503" i="6"/>
  <c r="J503" i="6"/>
  <c r="C503" i="6"/>
  <c r="U502" i="6"/>
  <c r="T502" i="6"/>
  <c r="S502" i="6"/>
  <c r="R502" i="6"/>
  <c r="Q502" i="6"/>
  <c r="P502" i="6"/>
  <c r="O502" i="6"/>
  <c r="N502" i="6"/>
  <c r="M502" i="6"/>
  <c r="L502" i="6"/>
  <c r="K502" i="6"/>
  <c r="J502" i="6"/>
  <c r="C502" i="6"/>
  <c r="U501" i="6"/>
  <c r="T501" i="6"/>
  <c r="S501" i="6"/>
  <c r="R501" i="6"/>
  <c r="Q501" i="6"/>
  <c r="P501" i="6"/>
  <c r="O501" i="6"/>
  <c r="N501" i="6"/>
  <c r="M501" i="6"/>
  <c r="L501" i="6"/>
  <c r="K501" i="6"/>
  <c r="J501" i="6"/>
  <c r="C501" i="6"/>
  <c r="U500" i="6"/>
  <c r="T500" i="6"/>
  <c r="S500" i="6"/>
  <c r="R500" i="6"/>
  <c r="Q500" i="6"/>
  <c r="P500" i="6"/>
  <c r="O500" i="6"/>
  <c r="N500" i="6"/>
  <c r="M500" i="6"/>
  <c r="L500" i="6"/>
  <c r="K500" i="6"/>
  <c r="J500" i="6"/>
  <c r="C500" i="6"/>
  <c r="U499" i="6"/>
  <c r="T499" i="6"/>
  <c r="S499" i="6"/>
  <c r="R499" i="6"/>
  <c r="Q499" i="6"/>
  <c r="P499" i="6"/>
  <c r="O499" i="6"/>
  <c r="N499" i="6"/>
  <c r="M499" i="6"/>
  <c r="L499" i="6"/>
  <c r="K499" i="6"/>
  <c r="J499" i="6"/>
  <c r="C499" i="6"/>
  <c r="U498" i="6"/>
  <c r="T498" i="6"/>
  <c r="S498" i="6"/>
  <c r="R498" i="6"/>
  <c r="Q498" i="6"/>
  <c r="P498" i="6"/>
  <c r="O498" i="6"/>
  <c r="N498" i="6"/>
  <c r="M498" i="6"/>
  <c r="L498" i="6"/>
  <c r="K498" i="6"/>
  <c r="J498" i="6"/>
  <c r="C498" i="6"/>
  <c r="U497" i="6"/>
  <c r="T497" i="6"/>
  <c r="S497" i="6"/>
  <c r="R497" i="6"/>
  <c r="Q497" i="6"/>
  <c r="P497" i="6"/>
  <c r="O497" i="6"/>
  <c r="N497" i="6"/>
  <c r="M497" i="6"/>
  <c r="L497" i="6"/>
  <c r="K497" i="6"/>
  <c r="J497" i="6"/>
  <c r="C497" i="6"/>
  <c r="B403" i="6"/>
  <c r="B394" i="6"/>
  <c r="C393" i="6"/>
  <c r="B393" i="6"/>
  <c r="B347" i="6"/>
  <c r="C324" i="6"/>
  <c r="D324" i="6" s="1"/>
  <c r="C317" i="6"/>
  <c r="D317" i="6" s="1"/>
  <c r="C305" i="6"/>
  <c r="D305" i="6" s="1"/>
  <c r="B305" i="6"/>
  <c r="C302" i="6"/>
  <c r="D302" i="6" s="1"/>
  <c r="C260" i="6"/>
  <c r="C257" i="6"/>
  <c r="C255" i="6"/>
  <c r="C208" i="6"/>
  <c r="B208" i="6"/>
  <c r="B207" i="6"/>
  <c r="B206" i="6"/>
  <c r="B205" i="6"/>
  <c r="B178" i="6"/>
  <c r="B175" i="6"/>
  <c r="B172" i="6"/>
  <c r="U170" i="6"/>
  <c r="T170" i="6"/>
  <c r="S170" i="6"/>
  <c r="R170" i="6"/>
  <c r="Q170" i="6"/>
  <c r="P170" i="6"/>
  <c r="O170" i="6"/>
  <c r="N170" i="6"/>
  <c r="M170" i="6"/>
  <c r="L170" i="6"/>
  <c r="K170" i="6"/>
  <c r="J170" i="6"/>
  <c r="I170" i="6"/>
  <c r="H170" i="6"/>
  <c r="G170" i="6"/>
  <c r="F170" i="6"/>
  <c r="C170" i="6"/>
  <c r="U169" i="6"/>
  <c r="T169" i="6"/>
  <c r="S169" i="6"/>
  <c r="R169" i="6"/>
  <c r="Q169" i="6"/>
  <c r="P169" i="6"/>
  <c r="O169" i="6"/>
  <c r="N169" i="6"/>
  <c r="M169" i="6"/>
  <c r="L169" i="6"/>
  <c r="K169" i="6"/>
  <c r="J169" i="6"/>
  <c r="I169" i="6"/>
  <c r="H169" i="6"/>
  <c r="G169" i="6"/>
  <c r="F169" i="6"/>
  <c r="A157" i="6"/>
  <c r="A156" i="6"/>
  <c r="M141" i="6"/>
  <c r="A141" i="6"/>
  <c r="H136" i="6"/>
  <c r="A125" i="6"/>
  <c r="A120" i="6"/>
  <c r="A106" i="6"/>
  <c r="S105" i="6"/>
  <c r="A95" i="6"/>
  <c r="A90" i="6"/>
  <c r="O85" i="6"/>
  <c r="L85" i="6"/>
  <c r="K83" i="6"/>
  <c r="K82" i="6"/>
  <c r="A82" i="6"/>
  <c r="L78" i="6"/>
  <c r="K78" i="6"/>
  <c r="U74" i="6"/>
  <c r="T74" i="6"/>
  <c r="T137" i="6" s="1"/>
  <c r="S74" i="6"/>
  <c r="S104" i="6" s="1"/>
  <c r="R74" i="6"/>
  <c r="R140" i="6" s="1"/>
  <c r="Q74" i="6"/>
  <c r="Q128" i="6" s="1"/>
  <c r="P74" i="6"/>
  <c r="P144" i="6" s="1"/>
  <c r="O74" i="6"/>
  <c r="O128" i="6" s="1"/>
  <c r="N74" i="6"/>
  <c r="M74" i="6"/>
  <c r="M137" i="6" s="1"/>
  <c r="L74" i="6"/>
  <c r="L121" i="6" s="1"/>
  <c r="K74" i="6"/>
  <c r="J74" i="6"/>
  <c r="J77" i="6" s="1"/>
  <c r="J90" i="6" s="1"/>
  <c r="I74" i="6"/>
  <c r="I78" i="6" s="1"/>
  <c r="H74" i="6"/>
  <c r="G74" i="6"/>
  <c r="F74" i="6"/>
  <c r="B44" i="6"/>
  <c r="A44" i="6"/>
  <c r="A100" i="6" s="1"/>
  <c r="B43" i="6"/>
  <c r="A43" i="6"/>
  <c r="A99" i="6" s="1"/>
  <c r="E42" i="6"/>
  <c r="B42" i="6"/>
  <c r="Q160" i="6" s="1"/>
  <c r="A42" i="6"/>
  <c r="B255" i="6" s="1"/>
  <c r="B41" i="6"/>
  <c r="A41" i="6"/>
  <c r="B240" i="6" s="1"/>
  <c r="B40" i="6"/>
  <c r="C219" i="6" s="1"/>
  <c r="D219" i="6" s="1"/>
  <c r="A40" i="6"/>
  <c r="B414" i="6" s="1"/>
  <c r="E39" i="6"/>
  <c r="B39" i="6"/>
  <c r="C211" i="6" s="1"/>
  <c r="D211" i="6" s="1"/>
  <c r="A39" i="6"/>
  <c r="A64" i="6" s="1"/>
  <c r="B38" i="6"/>
  <c r="A38" i="6"/>
  <c r="B370" i="6" s="1"/>
  <c r="B37" i="6"/>
  <c r="C363" i="6" s="1"/>
  <c r="D363" i="6" s="1"/>
  <c r="A37" i="6"/>
  <c r="B351" i="6" s="1"/>
  <c r="B36" i="6"/>
  <c r="J79" i="6" s="1"/>
  <c r="J92" i="6" s="1"/>
  <c r="A36" i="6"/>
  <c r="B335" i="6" s="1"/>
  <c r="B35" i="6"/>
  <c r="C310" i="6" s="1"/>
  <c r="D310" i="6" s="1"/>
  <c r="A35" i="6"/>
  <c r="B174" i="6" s="1"/>
  <c r="B34" i="6"/>
  <c r="C172" i="6" s="1"/>
  <c r="A34" i="6"/>
  <c r="B302" i="6" s="1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B57" i="5"/>
  <c r="B56" i="5"/>
  <c r="B58" i="5" s="1"/>
  <c r="B43" i="5"/>
  <c r="B44" i="5" s="1"/>
  <c r="B45" i="5" s="1"/>
  <c r="E33" i="5"/>
  <c r="D33" i="5"/>
  <c r="E40" i="5" s="1"/>
  <c r="E32" i="5"/>
  <c r="D32" i="5"/>
  <c r="D40" i="5" s="1"/>
  <c r="E31" i="5"/>
  <c r="D31" i="5"/>
  <c r="E30" i="5"/>
  <c r="D30" i="5"/>
  <c r="E29" i="5"/>
  <c r="D29" i="5"/>
  <c r="E28" i="5"/>
  <c r="D28" i="5"/>
  <c r="E27" i="5"/>
  <c r="D27" i="5"/>
  <c r="E26" i="5"/>
  <c r="D26" i="5"/>
  <c r="E25" i="5"/>
  <c r="D25" i="5"/>
  <c r="E24" i="5"/>
  <c r="D24" i="5"/>
  <c r="E23" i="5"/>
  <c r="D23" i="5"/>
  <c r="C40" i="5" s="1"/>
  <c r="E22" i="5"/>
  <c r="D22" i="5"/>
  <c r="E21" i="5"/>
  <c r="D21" i="5"/>
  <c r="E20" i="5"/>
  <c r="D20" i="5"/>
  <c r="E19" i="5"/>
  <c r="D19" i="5"/>
  <c r="E18" i="5"/>
  <c r="D18" i="5"/>
  <c r="E17" i="5"/>
  <c r="D17" i="5"/>
  <c r="E16" i="5"/>
  <c r="D16" i="5"/>
  <c r="E15" i="5"/>
  <c r="D15" i="5"/>
  <c r="E14" i="5"/>
  <c r="D14" i="5"/>
  <c r="E13" i="5"/>
  <c r="D13" i="5"/>
  <c r="B40" i="5" s="1"/>
  <c r="E12" i="5"/>
  <c r="D12" i="5"/>
  <c r="E11" i="5"/>
  <c r="D11" i="5"/>
  <c r="E10" i="5"/>
  <c r="D10" i="5"/>
  <c r="E9" i="5"/>
  <c r="D9" i="5"/>
  <c r="E8" i="5"/>
  <c r="D8" i="5"/>
  <c r="E7" i="5"/>
  <c r="D7" i="5"/>
  <c r="E6" i="5"/>
  <c r="D6" i="5"/>
  <c r="B47" i="4"/>
  <c r="B31" i="4"/>
  <c r="B35" i="4" s="1"/>
  <c r="E17" i="4"/>
  <c r="E21" i="4" s="1"/>
  <c r="D17" i="4"/>
  <c r="C17" i="4"/>
  <c r="C20" i="4" s="1"/>
  <c r="B17" i="4"/>
  <c r="B21" i="4" s="1"/>
  <c r="E16" i="4"/>
  <c r="D16" i="4"/>
  <c r="C16" i="4"/>
  <c r="B16" i="4"/>
  <c r="B9" i="4"/>
  <c r="C63" i="3"/>
  <c r="B63" i="3"/>
  <c r="C62" i="3"/>
  <c r="B62" i="3"/>
  <c r="C61" i="3"/>
  <c r="B61" i="3"/>
  <c r="C60" i="3"/>
  <c r="B60" i="3"/>
  <c r="C59" i="3"/>
  <c r="B59" i="3"/>
  <c r="C58" i="3"/>
  <c r="B58" i="3"/>
  <c r="E26" i="3"/>
  <c r="D26" i="3"/>
  <c r="C26" i="3"/>
  <c r="B26" i="3"/>
  <c r="C21" i="3"/>
  <c r="B21" i="3"/>
  <c r="A21" i="3"/>
  <c r="C20" i="3"/>
  <c r="B20" i="3"/>
  <c r="A20" i="3"/>
  <c r="C19" i="3"/>
  <c r="B19" i="3"/>
  <c r="A19" i="3"/>
  <c r="C18" i="3"/>
  <c r="B18" i="3"/>
  <c r="A18" i="3"/>
  <c r="C17" i="3"/>
  <c r="B17" i="3"/>
  <c r="A17" i="3"/>
  <c r="C16" i="3"/>
  <c r="B16" i="3"/>
  <c r="A16" i="3"/>
  <c r="F15" i="3"/>
  <c r="C15" i="3"/>
  <c r="B15" i="3"/>
  <c r="A15" i="3"/>
  <c r="C14" i="3"/>
  <c r="B14" i="3"/>
  <c r="A14" i="3"/>
  <c r="C13" i="3"/>
  <c r="B13" i="3"/>
  <c r="A13" i="3"/>
  <c r="C12" i="3"/>
  <c r="B12" i="3"/>
  <c r="A12" i="3"/>
  <c r="B7" i="3"/>
  <c r="B8" i="3" s="1"/>
  <c r="B5" i="3"/>
  <c r="G45" i="2"/>
  <c r="I45" i="2" s="1"/>
  <c r="E45" i="2"/>
  <c r="F45" i="2" s="1"/>
  <c r="B45" i="2"/>
  <c r="A45" i="2"/>
  <c r="G44" i="2"/>
  <c r="E44" i="2"/>
  <c r="F44" i="2" s="1"/>
  <c r="B44" i="2"/>
  <c r="A44" i="2"/>
  <c r="G43" i="2"/>
  <c r="E43" i="2"/>
  <c r="F43" i="2" s="1"/>
  <c r="B43" i="2"/>
  <c r="A43" i="2"/>
  <c r="B40" i="2"/>
  <c r="P35" i="2"/>
  <c r="M35" i="2"/>
  <c r="N35" i="2" s="1"/>
  <c r="O35" i="2" s="1"/>
  <c r="J35" i="2"/>
  <c r="L35" i="2" s="1"/>
  <c r="I35" i="2"/>
  <c r="R35" i="2" s="1"/>
  <c r="R34" i="2"/>
  <c r="P34" i="2"/>
  <c r="M34" i="2"/>
  <c r="N34" i="2" s="1"/>
  <c r="O34" i="2" s="1"/>
  <c r="J34" i="2"/>
  <c r="L34" i="2" s="1"/>
  <c r="I34" i="2"/>
  <c r="P33" i="2"/>
  <c r="M33" i="2"/>
  <c r="N33" i="2" s="1"/>
  <c r="J33" i="2"/>
  <c r="I33" i="2"/>
  <c r="P32" i="2"/>
  <c r="M32" i="2"/>
  <c r="N32" i="2" s="1"/>
  <c r="O32" i="2" s="1"/>
  <c r="J32" i="2"/>
  <c r="L32" i="2" s="1"/>
  <c r="I32" i="2"/>
  <c r="R32" i="2" s="1"/>
  <c r="P31" i="2"/>
  <c r="M31" i="2"/>
  <c r="N31" i="2" s="1"/>
  <c r="O31" i="2" s="1"/>
  <c r="J31" i="2"/>
  <c r="L31" i="2" s="1"/>
  <c r="I31" i="2"/>
  <c r="C44" i="2" s="1"/>
  <c r="P30" i="2"/>
  <c r="M30" i="2"/>
  <c r="N30" i="2" s="1"/>
  <c r="J30" i="2"/>
  <c r="K30" i="2" s="1"/>
  <c r="W30" i="2" s="1"/>
  <c r="I30" i="2"/>
  <c r="C43" i="2" s="1"/>
  <c r="R29" i="2"/>
  <c r="P29" i="2"/>
  <c r="M29" i="2"/>
  <c r="N29" i="2" s="1"/>
  <c r="L29" i="2"/>
  <c r="K29" i="2"/>
  <c r="J29" i="2"/>
  <c r="I29" i="2"/>
  <c r="C42" i="6" s="1"/>
  <c r="D20" i="3" s="1"/>
  <c r="E20" i="3" s="1"/>
  <c r="P28" i="2"/>
  <c r="M28" i="2"/>
  <c r="N28" i="2" s="1"/>
  <c r="J28" i="2"/>
  <c r="L28" i="2" s="1"/>
  <c r="I28" i="2"/>
  <c r="R28" i="2" s="1"/>
  <c r="P27" i="2"/>
  <c r="M27" i="2"/>
  <c r="N27" i="2" s="1"/>
  <c r="O27" i="2" s="1"/>
  <c r="J27" i="2"/>
  <c r="L27" i="2" s="1"/>
  <c r="I27" i="2"/>
  <c r="P26" i="2"/>
  <c r="M26" i="2"/>
  <c r="N26" i="2" s="1"/>
  <c r="K26" i="2"/>
  <c r="Q26" i="2" s="1"/>
  <c r="T26" i="2" s="1"/>
  <c r="J26" i="2"/>
  <c r="L26" i="2" s="1"/>
  <c r="I26" i="2"/>
  <c r="P25" i="2"/>
  <c r="M25" i="2"/>
  <c r="N25" i="2" s="1"/>
  <c r="J25" i="2"/>
  <c r="L25" i="2" s="1"/>
  <c r="I25" i="2"/>
  <c r="P24" i="2"/>
  <c r="M24" i="2"/>
  <c r="N24" i="2" s="1"/>
  <c r="O24" i="2" s="1"/>
  <c r="J24" i="2"/>
  <c r="I24" i="2"/>
  <c r="C37" i="6" s="1"/>
  <c r="D37" i="6" s="1"/>
  <c r="P23" i="2"/>
  <c r="M23" i="2"/>
  <c r="N23" i="2" s="1"/>
  <c r="J23" i="2"/>
  <c r="L23" i="2" s="1"/>
  <c r="I23" i="2"/>
  <c r="C36" i="6" s="1"/>
  <c r="P22" i="2"/>
  <c r="M22" i="2"/>
  <c r="N22" i="2" s="1"/>
  <c r="J22" i="2"/>
  <c r="L22" i="2" s="1"/>
  <c r="I22" i="2"/>
  <c r="C35" i="6" s="1"/>
  <c r="D13" i="3" s="1"/>
  <c r="E13" i="3" s="1"/>
  <c r="W21" i="2"/>
  <c r="U21" i="2"/>
  <c r="R21" i="2"/>
  <c r="Q21" i="2"/>
  <c r="T21" i="2" s="1"/>
  <c r="P21" i="2"/>
  <c r="M21" i="2"/>
  <c r="N21" i="2" s="1"/>
  <c r="O21" i="2" s="1"/>
  <c r="J21" i="2"/>
  <c r="K21" i="2" s="1"/>
  <c r="I21" i="2"/>
  <c r="C34" i="6" s="1"/>
  <c r="B17" i="2"/>
  <c r="H56" i="6" s="1"/>
  <c r="B16" i="2"/>
  <c r="F14" i="3" l="1"/>
  <c r="O23" i="2"/>
  <c r="Q154" i="6"/>
  <c r="P82" i="6"/>
  <c r="K106" i="6"/>
  <c r="R128" i="6"/>
  <c r="L106" i="6"/>
  <c r="Q140" i="6"/>
  <c r="M50" i="6"/>
  <c r="L83" i="6"/>
  <c r="N107" i="6"/>
  <c r="Q157" i="6"/>
  <c r="R162" i="6"/>
  <c r="R164" i="6" s="1"/>
  <c r="R31" i="2"/>
  <c r="B52" i="4" s="1"/>
  <c r="R50" i="6"/>
  <c r="M83" i="6"/>
  <c r="M96" i="6" s="1"/>
  <c r="M126" i="6" s="1"/>
  <c r="S107" i="6"/>
  <c r="B214" i="6"/>
  <c r="B342" i="6"/>
  <c r="I82" i="6"/>
  <c r="F152" i="6"/>
  <c r="A77" i="6"/>
  <c r="A84" i="6"/>
  <c r="S109" i="6"/>
  <c r="S138" i="6"/>
  <c r="A162" i="6"/>
  <c r="C224" i="6"/>
  <c r="D224" i="6" s="1"/>
  <c r="C343" i="6"/>
  <c r="D343" i="6" s="1"/>
  <c r="P110" i="6"/>
  <c r="L139" i="6"/>
  <c r="Q162" i="6"/>
  <c r="Q164" i="6" s="1"/>
  <c r="C228" i="6"/>
  <c r="D228" i="6" s="1"/>
  <c r="K31" i="2"/>
  <c r="U31" i="2" s="1"/>
  <c r="P145" i="6"/>
  <c r="R114" i="6"/>
  <c r="R116" i="6" s="1"/>
  <c r="C229" i="6"/>
  <c r="C351" i="6"/>
  <c r="D351" i="6" s="1"/>
  <c r="S87" i="6"/>
  <c r="T114" i="6"/>
  <c r="T116" i="6" s="1"/>
  <c r="S140" i="6"/>
  <c r="B239" i="6"/>
  <c r="B383" i="6"/>
  <c r="I43" i="2"/>
  <c r="K79" i="6"/>
  <c r="K92" i="6" s="1"/>
  <c r="P126" i="6"/>
  <c r="R154" i="6"/>
  <c r="K77" i="6"/>
  <c r="K90" i="6" s="1"/>
  <c r="L79" i="6"/>
  <c r="L92" i="6" s="1"/>
  <c r="N120" i="6"/>
  <c r="K27" i="2"/>
  <c r="E172" i="6"/>
  <c r="Q79" i="6"/>
  <c r="Q92" i="6" s="1"/>
  <c r="Q142" i="6"/>
  <c r="C185" i="6"/>
  <c r="R23" i="2"/>
  <c r="S128" i="6"/>
  <c r="M120" i="6"/>
  <c r="P80" i="6"/>
  <c r="K104" i="6"/>
  <c r="M121" i="6"/>
  <c r="A152" i="6"/>
  <c r="C186" i="6"/>
  <c r="D186" i="6" s="1"/>
  <c r="C287" i="6"/>
  <c r="D287" i="6" s="1"/>
  <c r="B37" i="4"/>
  <c r="D42" i="6"/>
  <c r="N142" i="6"/>
  <c r="Q80" i="6"/>
  <c r="Q104" i="6"/>
  <c r="P123" i="6"/>
  <c r="O152" i="6"/>
  <c r="B204" i="6"/>
  <c r="B290" i="6"/>
  <c r="B406" i="6"/>
  <c r="V21" i="2"/>
  <c r="R80" i="6"/>
  <c r="P105" i="6"/>
  <c r="T123" i="6"/>
  <c r="P153" i="6"/>
  <c r="O22" i="2"/>
  <c r="F13" i="3"/>
  <c r="D43" i="2"/>
  <c r="B59" i="5"/>
  <c r="O50" i="6"/>
  <c r="F77" i="6"/>
  <c r="F90" i="6" s="1"/>
  <c r="L82" i="6"/>
  <c r="M85" i="6"/>
  <c r="P107" i="6"/>
  <c r="R123" i="6"/>
  <c r="I137" i="6"/>
  <c r="C177" i="6"/>
  <c r="D177" i="6" s="1"/>
  <c r="B190" i="6"/>
  <c r="C209" i="6"/>
  <c r="D209" i="6" s="1"/>
  <c r="C221" i="6"/>
  <c r="D221" i="6" s="1"/>
  <c r="E257" i="6"/>
  <c r="C391" i="6"/>
  <c r="D391" i="6" s="1"/>
  <c r="B58" i="4"/>
  <c r="E37" i="6"/>
  <c r="P50" i="6"/>
  <c r="H82" i="6"/>
  <c r="I77" i="6"/>
  <c r="I90" i="6" s="1"/>
  <c r="O79" i="6"/>
  <c r="O92" i="6" s="1"/>
  <c r="O82" i="6"/>
  <c r="N85" i="6"/>
  <c r="N104" i="6"/>
  <c r="R107" i="6"/>
  <c r="S123" i="6"/>
  <c r="K137" i="6"/>
  <c r="H152" i="6"/>
  <c r="P157" i="6"/>
  <c r="C190" i="6"/>
  <c r="D190" i="6" s="1"/>
  <c r="C210" i="6"/>
  <c r="D210" i="6" s="1"/>
  <c r="D257" i="6"/>
  <c r="C318" i="6"/>
  <c r="Q31" i="2"/>
  <c r="T31" i="2" s="1"/>
  <c r="C43" i="6"/>
  <c r="I145" i="6" s="1"/>
  <c r="J51" i="6"/>
  <c r="A80" i="6"/>
  <c r="R82" i="6"/>
  <c r="P85" i="6"/>
  <c r="T107" i="6"/>
  <c r="F121" i="6"/>
  <c r="P137" i="6"/>
  <c r="P141" i="6"/>
  <c r="I153" i="6"/>
  <c r="S157" i="6"/>
  <c r="C182" i="6"/>
  <c r="B191" i="6"/>
  <c r="B280" i="6"/>
  <c r="B334" i="6"/>
  <c r="H38" i="6"/>
  <c r="Q51" i="6"/>
  <c r="Q77" i="6"/>
  <c r="I80" i="6"/>
  <c r="S82" i="6"/>
  <c r="Q85" i="6"/>
  <c r="Q98" i="6" s="1"/>
  <c r="K105" i="6"/>
  <c r="Q108" i="6"/>
  <c r="I121" i="6"/>
  <c r="M125" i="6"/>
  <c r="R137" i="6"/>
  <c r="Q141" i="6"/>
  <c r="K153" i="6"/>
  <c r="P158" i="6"/>
  <c r="B184" i="6"/>
  <c r="C191" i="6"/>
  <c r="D191" i="6" s="1"/>
  <c r="C212" i="6"/>
  <c r="D212" i="6" s="1"/>
  <c r="B225" i="6"/>
  <c r="C398" i="6"/>
  <c r="D398" i="6" s="1"/>
  <c r="G53" i="6"/>
  <c r="F78" i="6"/>
  <c r="N80" i="6"/>
  <c r="N93" i="6" s="1"/>
  <c r="A83" i="6"/>
  <c r="R87" i="6"/>
  <c r="N105" i="6"/>
  <c r="T108" i="6"/>
  <c r="K121" i="6"/>
  <c r="N125" i="6"/>
  <c r="S137" i="6"/>
  <c r="R141" i="6"/>
  <c r="L153" i="6"/>
  <c r="A160" i="6"/>
  <c r="C184" i="6"/>
  <c r="D184" i="6" s="1"/>
  <c r="B195" i="6"/>
  <c r="C213" i="6"/>
  <c r="D213" i="6" s="1"/>
  <c r="C225" i="6"/>
  <c r="C335" i="6"/>
  <c r="D335" i="6" s="1"/>
  <c r="B400" i="6"/>
  <c r="D44" i="2"/>
  <c r="H34" i="6"/>
  <c r="H48" i="6"/>
  <c r="H53" i="6"/>
  <c r="O80" i="6"/>
  <c r="O93" i="6" s="1"/>
  <c r="P109" i="6"/>
  <c r="P125" i="6"/>
  <c r="S141" i="6"/>
  <c r="B228" i="6"/>
  <c r="C401" i="6"/>
  <c r="D401" i="6" s="1"/>
  <c r="W31" i="2"/>
  <c r="B13" i="2"/>
  <c r="L6" i="6" s="1"/>
  <c r="I34" i="6"/>
  <c r="J48" i="6"/>
  <c r="I53" i="6"/>
  <c r="N126" i="6"/>
  <c r="O154" i="6"/>
  <c r="B185" i="6"/>
  <c r="C204" i="6"/>
  <c r="C402" i="6"/>
  <c r="D402" i="6" s="1"/>
  <c r="I44" i="2"/>
  <c r="J44" i="2" s="1"/>
  <c r="K48" i="6"/>
  <c r="J53" i="6"/>
  <c r="O121" i="6"/>
  <c r="A139" i="6"/>
  <c r="C214" i="6"/>
  <c r="L30" i="2"/>
  <c r="K25" i="2"/>
  <c r="W25" i="2" s="1"/>
  <c r="S142" i="6"/>
  <c r="C230" i="6"/>
  <c r="D230" i="6" s="1"/>
  <c r="R22" i="2"/>
  <c r="Q30" i="2"/>
  <c r="T30" i="2" s="1"/>
  <c r="L48" i="6"/>
  <c r="M53" i="6"/>
  <c r="M78" i="6"/>
  <c r="M91" i="6" s="1"/>
  <c r="N83" i="6"/>
  <c r="P121" i="6"/>
  <c r="Q126" i="6"/>
  <c r="C403" i="6"/>
  <c r="D403" i="6" s="1"/>
  <c r="L21" i="2"/>
  <c r="A93" i="6"/>
  <c r="K32" i="2"/>
  <c r="D35" i="6"/>
  <c r="E40" i="6"/>
  <c r="M48" i="6"/>
  <c r="P78" i="6"/>
  <c r="S80" i="6"/>
  <c r="P83" i="6"/>
  <c r="P96" i="6" s="1"/>
  <c r="S110" i="6"/>
  <c r="R121" i="6"/>
  <c r="S126" i="6"/>
  <c r="M139" i="6"/>
  <c r="A155" i="6"/>
  <c r="B188" i="6"/>
  <c r="B357" i="6"/>
  <c r="H45" i="2"/>
  <c r="E35" i="6"/>
  <c r="Q48" i="6"/>
  <c r="Q54" i="6"/>
  <c r="Q78" i="6"/>
  <c r="Q91" i="6" s="1"/>
  <c r="A81" i="6"/>
  <c r="R83" i="6"/>
  <c r="R96" i="6" s="1"/>
  <c r="A107" i="6"/>
  <c r="R112" i="6"/>
  <c r="S121" i="6"/>
  <c r="T126" i="6"/>
  <c r="N139" i="6"/>
  <c r="S144" i="6"/>
  <c r="L155" i="6"/>
  <c r="C188" i="6"/>
  <c r="D188" i="6" s="1"/>
  <c r="C206" i="6"/>
  <c r="D206" i="6" s="1"/>
  <c r="B217" i="6"/>
  <c r="B358" i="6"/>
  <c r="C414" i="6"/>
  <c r="D414" i="6" s="1"/>
  <c r="U30" i="2"/>
  <c r="V30" i="2" s="1"/>
  <c r="B20" i="4"/>
  <c r="O143" i="6"/>
  <c r="R48" i="6"/>
  <c r="S54" i="6"/>
  <c r="S153" i="6"/>
  <c r="R78" i="6"/>
  <c r="S83" i="6"/>
  <c r="S96" i="6" s="1"/>
  <c r="K107" i="6"/>
  <c r="S112" i="6"/>
  <c r="P122" i="6"/>
  <c r="P139" i="6"/>
  <c r="N155" i="6"/>
  <c r="C173" i="6"/>
  <c r="D173" i="6" s="1"/>
  <c r="C217" i="6"/>
  <c r="D217" i="6" s="1"/>
  <c r="C252" i="6"/>
  <c r="D252" i="6" s="1"/>
  <c r="C307" i="6"/>
  <c r="D307" i="6" s="1"/>
  <c r="C358" i="6"/>
  <c r="D358" i="6" s="1"/>
  <c r="B431" i="6"/>
  <c r="R110" i="6"/>
  <c r="C205" i="6"/>
  <c r="C215" i="6"/>
  <c r="D215" i="6" s="1"/>
  <c r="R30" i="2"/>
  <c r="Q53" i="6"/>
  <c r="C21" i="4"/>
  <c r="C43" i="5"/>
  <c r="T49" i="6"/>
  <c r="S78" i="6"/>
  <c r="F82" i="6"/>
  <c r="F95" i="6" s="1"/>
  <c r="A96" i="6"/>
  <c r="L107" i="6"/>
  <c r="K123" i="6"/>
  <c r="A140" i="6"/>
  <c r="Q146" i="6"/>
  <c r="Q148" i="6" s="1"/>
  <c r="P155" i="6"/>
  <c r="B189" i="6"/>
  <c r="C207" i="6"/>
  <c r="B219" i="6"/>
  <c r="B253" i="6"/>
  <c r="C362" i="6"/>
  <c r="D362" i="6" s="1"/>
  <c r="B462" i="6"/>
  <c r="E36" i="6"/>
  <c r="F50" i="6"/>
  <c r="I56" i="6"/>
  <c r="K85" i="6"/>
  <c r="M107" i="6"/>
  <c r="S114" i="6"/>
  <c r="S116" i="6" s="1"/>
  <c r="N123" i="6"/>
  <c r="R155" i="6"/>
  <c r="C189" i="6"/>
  <c r="D189" i="6" s="1"/>
  <c r="F21" i="3"/>
  <c r="O30" i="2"/>
  <c r="F20" i="3"/>
  <c r="O29" i="2"/>
  <c r="F17" i="3"/>
  <c r="O26" i="2"/>
  <c r="F19" i="3"/>
  <c r="O28" i="2"/>
  <c r="K35" i="2"/>
  <c r="C45" i="2"/>
  <c r="R33" i="2"/>
  <c r="J123" i="6"/>
  <c r="J80" i="6"/>
  <c r="J93" i="6" s="1"/>
  <c r="J153" i="6"/>
  <c r="J83" i="6"/>
  <c r="J155" i="6"/>
  <c r="J87" i="6"/>
  <c r="J121" i="6"/>
  <c r="J78" i="6"/>
  <c r="J91" i="6" s="1"/>
  <c r="J85" i="6"/>
  <c r="O95" i="6"/>
  <c r="N98" i="6"/>
  <c r="T159" i="6"/>
  <c r="U139" i="6"/>
  <c r="U107" i="6"/>
  <c r="U155" i="6"/>
  <c r="U110" i="6"/>
  <c r="U158" i="6"/>
  <c r="U85" i="6"/>
  <c r="U98" i="6" s="1"/>
  <c r="U78" i="6"/>
  <c r="U91" i="6" s="1"/>
  <c r="U141" i="6"/>
  <c r="U125" i="6"/>
  <c r="U82" i="6"/>
  <c r="U95" i="6" s="1"/>
  <c r="U153" i="6"/>
  <c r="U109" i="6"/>
  <c r="U114" i="6"/>
  <c r="U116" i="6" s="1"/>
  <c r="U157" i="6"/>
  <c r="U146" i="6"/>
  <c r="U148" i="6" s="1"/>
  <c r="U128" i="6"/>
  <c r="U121" i="6"/>
  <c r="U137" i="6"/>
  <c r="L33" i="2"/>
  <c r="K33" i="2"/>
  <c r="F55" i="6"/>
  <c r="U105" i="6"/>
  <c r="Q159" i="6"/>
  <c r="E217" i="6"/>
  <c r="C441" i="6"/>
  <c r="D441" i="6" s="1"/>
  <c r="W26" i="2"/>
  <c r="C40" i="6"/>
  <c r="F142" i="6" s="1"/>
  <c r="R27" i="2"/>
  <c r="B24" i="4"/>
  <c r="B25" i="4" s="1"/>
  <c r="O33" i="2"/>
  <c r="B26" i="4" s="1"/>
  <c r="B27" i="4" s="1"/>
  <c r="F18" i="3"/>
  <c r="L388" i="6"/>
  <c r="U385" i="6"/>
  <c r="K383" i="6"/>
  <c r="M385" i="6"/>
  <c r="C381" i="6"/>
  <c r="T381" i="6" s="1"/>
  <c r="C370" i="6"/>
  <c r="D370" i="6" s="1"/>
  <c r="U387" i="6"/>
  <c r="C386" i="6"/>
  <c r="D386" i="6" s="1"/>
  <c r="C385" i="6"/>
  <c r="D385" i="6" s="1"/>
  <c r="T387" i="6"/>
  <c r="C384" i="6"/>
  <c r="C373" i="6"/>
  <c r="D373" i="6" s="1"/>
  <c r="T385" i="6"/>
  <c r="C387" i="6"/>
  <c r="S385" i="6"/>
  <c r="L380" i="6"/>
  <c r="R385" i="6"/>
  <c r="G385" i="6"/>
  <c r="C380" i="6"/>
  <c r="D380" i="6" s="1"/>
  <c r="O385" i="6"/>
  <c r="N385" i="6"/>
  <c r="C197" i="6"/>
  <c r="N156" i="6"/>
  <c r="T124" i="6"/>
  <c r="O108" i="6"/>
  <c r="K384" i="6"/>
  <c r="Q382" i="6"/>
  <c r="K385" i="6"/>
  <c r="C379" i="6"/>
  <c r="F379" i="6" s="1"/>
  <c r="C376" i="6"/>
  <c r="D376" i="6" s="1"/>
  <c r="H385" i="6"/>
  <c r="H383" i="6"/>
  <c r="C202" i="6"/>
  <c r="M156" i="6"/>
  <c r="K81" i="6"/>
  <c r="K94" i="6" s="1"/>
  <c r="O52" i="6"/>
  <c r="C389" i="6"/>
  <c r="M389" i="6" s="1"/>
  <c r="C383" i="6"/>
  <c r="U383" i="6" s="1"/>
  <c r="C377" i="6"/>
  <c r="D377" i="6" s="1"/>
  <c r="H386" i="6"/>
  <c r="C372" i="6"/>
  <c r="D372" i="6" s="1"/>
  <c r="C374" i="6"/>
  <c r="D374" i="6" s="1"/>
  <c r="J385" i="6"/>
  <c r="C382" i="6"/>
  <c r="D382" i="6" s="1"/>
  <c r="C388" i="6"/>
  <c r="K388" i="6" s="1"/>
  <c r="T384" i="6"/>
  <c r="Q384" i="6"/>
  <c r="H81" i="6"/>
  <c r="G81" i="6"/>
  <c r="U52" i="6"/>
  <c r="I38" i="6"/>
  <c r="M386" i="6"/>
  <c r="C390" i="6"/>
  <c r="D390" i="6" s="1"/>
  <c r="L385" i="6"/>
  <c r="U156" i="6"/>
  <c r="U140" i="6"/>
  <c r="C194" i="6"/>
  <c r="L156" i="6"/>
  <c r="R124" i="6"/>
  <c r="F384" i="6"/>
  <c r="C378" i="6"/>
  <c r="D378" i="6" s="1"/>
  <c r="C199" i="6"/>
  <c r="P124" i="6"/>
  <c r="J81" i="6"/>
  <c r="C371" i="6"/>
  <c r="D371" i="6" s="1"/>
  <c r="O124" i="6"/>
  <c r="U382" i="6"/>
  <c r="C193" i="6"/>
  <c r="S124" i="6"/>
  <c r="N81" i="6"/>
  <c r="N94" i="6" s="1"/>
  <c r="M52" i="6"/>
  <c r="C198" i="6"/>
  <c r="Q124" i="6"/>
  <c r="M81" i="6"/>
  <c r="M94" i="6" s="1"/>
  <c r="C196" i="6"/>
  <c r="C201" i="6"/>
  <c r="M124" i="6"/>
  <c r="I81" i="6"/>
  <c r="R387" i="6"/>
  <c r="J380" i="6"/>
  <c r="C192" i="6"/>
  <c r="N140" i="6"/>
  <c r="P108" i="6"/>
  <c r="S81" i="6"/>
  <c r="S94" i="6" s="1"/>
  <c r="S52" i="6"/>
  <c r="M140" i="6"/>
  <c r="N108" i="6"/>
  <c r="R81" i="6"/>
  <c r="R94" i="6" s="1"/>
  <c r="R52" i="6"/>
  <c r="L140" i="6"/>
  <c r="M108" i="6"/>
  <c r="Q81" i="6"/>
  <c r="Q94" i="6" s="1"/>
  <c r="Q52" i="6"/>
  <c r="T156" i="6"/>
  <c r="L108" i="6"/>
  <c r="P81" i="6"/>
  <c r="P94" i="6" s="1"/>
  <c r="P52" i="6"/>
  <c r="P156" i="6"/>
  <c r="C375" i="6"/>
  <c r="D375" i="6" s="1"/>
  <c r="C200" i="6"/>
  <c r="R156" i="6"/>
  <c r="U81" i="6"/>
  <c r="U94" i="6" s="1"/>
  <c r="T52" i="6"/>
  <c r="Q156" i="6"/>
  <c r="T81" i="6"/>
  <c r="T94" i="6" s="1"/>
  <c r="N52" i="6"/>
  <c r="O156" i="6"/>
  <c r="O81" i="6"/>
  <c r="O94" i="6" s="1"/>
  <c r="L52" i="6"/>
  <c r="K156" i="6"/>
  <c r="L81" i="6"/>
  <c r="L94" i="6" s="1"/>
  <c r="K52" i="6"/>
  <c r="G52" i="6"/>
  <c r="E38" i="6"/>
  <c r="P385" i="6"/>
  <c r="H52" i="6"/>
  <c r="F52" i="6"/>
  <c r="U108" i="6"/>
  <c r="C195" i="6"/>
  <c r="S156" i="6"/>
  <c r="U124" i="6"/>
  <c r="S108" i="6"/>
  <c r="T140" i="6"/>
  <c r="N124" i="6"/>
  <c r="R108" i="6"/>
  <c r="L387" i="6"/>
  <c r="O140" i="6"/>
  <c r="F38" i="6"/>
  <c r="G38" i="6" s="1"/>
  <c r="K55" i="6"/>
  <c r="C38" i="6"/>
  <c r="F108" i="6" s="1"/>
  <c r="R25" i="2"/>
  <c r="U26" i="2"/>
  <c r="F16" i="3"/>
  <c r="O25" i="2"/>
  <c r="N55" i="6"/>
  <c r="O98" i="6"/>
  <c r="E20" i="4"/>
  <c r="C491" i="6"/>
  <c r="J491" i="6" s="1"/>
  <c r="R481" i="6"/>
  <c r="C475" i="6"/>
  <c r="D475" i="6" s="1"/>
  <c r="L488" i="6"/>
  <c r="H484" i="6"/>
  <c r="C480" i="6"/>
  <c r="D480" i="6" s="1"/>
  <c r="C481" i="6"/>
  <c r="D481" i="6" s="1"/>
  <c r="C479" i="6"/>
  <c r="D479" i="6" s="1"/>
  <c r="C489" i="6"/>
  <c r="D489" i="6" s="1"/>
  <c r="P485" i="6"/>
  <c r="L481" i="6"/>
  <c r="L480" i="6"/>
  <c r="L489" i="6"/>
  <c r="C485" i="6"/>
  <c r="D485" i="6" s="1"/>
  <c r="P490" i="6"/>
  <c r="U481" i="6"/>
  <c r="I478" i="6"/>
  <c r="N494" i="6"/>
  <c r="C493" i="6"/>
  <c r="D493" i="6" s="1"/>
  <c r="Q491" i="6"/>
  <c r="M487" i="6"/>
  <c r="O483" i="6"/>
  <c r="C494" i="6"/>
  <c r="L494" i="6" s="1"/>
  <c r="S480" i="6"/>
  <c r="C477" i="6"/>
  <c r="G477" i="6" s="1"/>
  <c r="N481" i="6"/>
  <c r="K489" i="6"/>
  <c r="K485" i="6"/>
  <c r="C495" i="6"/>
  <c r="D495" i="6" s="1"/>
  <c r="S479" i="6"/>
  <c r="C478" i="6"/>
  <c r="C492" i="6"/>
  <c r="M492" i="6" s="1"/>
  <c r="C487" i="6"/>
  <c r="D487" i="6" s="1"/>
  <c r="C476" i="6"/>
  <c r="D476" i="6" s="1"/>
  <c r="C490" i="6"/>
  <c r="D490" i="6" s="1"/>
  <c r="L487" i="6"/>
  <c r="L484" i="6"/>
  <c r="C482" i="6"/>
  <c r="K479" i="6"/>
  <c r="C486" i="6"/>
  <c r="D486" i="6" s="1"/>
  <c r="C279" i="6"/>
  <c r="C273" i="6"/>
  <c r="S481" i="6"/>
  <c r="C267" i="6"/>
  <c r="T145" i="6"/>
  <c r="K481" i="6"/>
  <c r="P494" i="6"/>
  <c r="R493" i="6"/>
  <c r="S485" i="6"/>
  <c r="F481" i="6"/>
  <c r="F489" i="6"/>
  <c r="S494" i="6"/>
  <c r="C271" i="6"/>
  <c r="C270" i="6"/>
  <c r="F86" i="6"/>
  <c r="F99" i="6" s="1"/>
  <c r="J57" i="6"/>
  <c r="C484" i="6"/>
  <c r="D484" i="6" s="1"/>
  <c r="C483" i="6"/>
  <c r="D483" i="6" s="1"/>
  <c r="C285" i="6"/>
  <c r="C266" i="6"/>
  <c r="F488" i="6"/>
  <c r="C488" i="6"/>
  <c r="D488" i="6" s="1"/>
  <c r="C281" i="6"/>
  <c r="C277" i="6"/>
  <c r="F487" i="6"/>
  <c r="C282" i="6"/>
  <c r="C272" i="6"/>
  <c r="P129" i="6"/>
  <c r="P113" i="6"/>
  <c r="I86" i="6"/>
  <c r="I99" i="6" s="1"/>
  <c r="H86" i="6"/>
  <c r="U57" i="6"/>
  <c r="C284" i="6"/>
  <c r="C269" i="6"/>
  <c r="K484" i="6"/>
  <c r="C278" i="6"/>
  <c r="R161" i="6"/>
  <c r="R129" i="6"/>
  <c r="C274" i="6"/>
  <c r="C276" i="6"/>
  <c r="P161" i="6"/>
  <c r="U86" i="6"/>
  <c r="U99" i="6" s="1"/>
  <c r="L86" i="6"/>
  <c r="G57" i="6"/>
  <c r="K86" i="6"/>
  <c r="C275" i="6"/>
  <c r="J481" i="6"/>
  <c r="T113" i="6"/>
  <c r="G86" i="6"/>
  <c r="G99" i="6" s="1"/>
  <c r="G145" i="6" s="1"/>
  <c r="U113" i="6"/>
  <c r="Q57" i="6"/>
  <c r="U129" i="6"/>
  <c r="S113" i="6"/>
  <c r="P57" i="6"/>
  <c r="U145" i="6"/>
  <c r="T129" i="6"/>
  <c r="R113" i="6"/>
  <c r="O57" i="6"/>
  <c r="S145" i="6"/>
  <c r="S129" i="6"/>
  <c r="Q113" i="6"/>
  <c r="N57" i="6"/>
  <c r="C268" i="6"/>
  <c r="F129" i="6"/>
  <c r="T161" i="6"/>
  <c r="R57" i="6"/>
  <c r="S161" i="6"/>
  <c r="M57" i="6"/>
  <c r="Q161" i="6"/>
  <c r="L57" i="6"/>
  <c r="K57" i="6"/>
  <c r="I43" i="6"/>
  <c r="Q86" i="6"/>
  <c r="Q99" i="6" s="1"/>
  <c r="E43" i="6"/>
  <c r="U161" i="6"/>
  <c r="Q129" i="6"/>
  <c r="H43" i="6"/>
  <c r="S86" i="6"/>
  <c r="S99" i="6" s="1"/>
  <c r="F43" i="6"/>
  <c r="G43" i="6" s="1"/>
  <c r="T86" i="6"/>
  <c r="T99" i="6" s="1"/>
  <c r="C280" i="6"/>
  <c r="Q145" i="6"/>
  <c r="P86" i="6"/>
  <c r="P99" i="6" s="1"/>
  <c r="C283" i="6"/>
  <c r="R145" i="6"/>
  <c r="R86" i="6"/>
  <c r="R99" i="6" s="1"/>
  <c r="N86" i="6"/>
  <c r="M86" i="6"/>
  <c r="I57" i="6"/>
  <c r="O55" i="6"/>
  <c r="P98" i="6"/>
  <c r="L124" i="6"/>
  <c r="E252" i="6"/>
  <c r="J84" i="6"/>
  <c r="U126" i="6"/>
  <c r="P159" i="6"/>
  <c r="E260" i="6"/>
  <c r="D260" i="6"/>
  <c r="D393" i="6"/>
  <c r="H44" i="2"/>
  <c r="R100" i="6"/>
  <c r="P91" i="6"/>
  <c r="R93" i="6"/>
  <c r="B36" i="4"/>
  <c r="J86" i="6"/>
  <c r="P93" i="6"/>
  <c r="O111" i="6"/>
  <c r="O172" i="6"/>
  <c r="I172" i="6"/>
  <c r="P172" i="6"/>
  <c r="N172" i="6"/>
  <c r="J172" i="6"/>
  <c r="R172" i="6"/>
  <c r="Q172" i="6"/>
  <c r="M172" i="6"/>
  <c r="L172" i="6"/>
  <c r="T172" i="6"/>
  <c r="K172" i="6"/>
  <c r="S172" i="6"/>
  <c r="H172" i="6"/>
  <c r="F172" i="6"/>
  <c r="U83" i="6"/>
  <c r="U96" i="6" s="1"/>
  <c r="K28" i="2"/>
  <c r="Q27" i="2"/>
  <c r="T27" i="2" s="1"/>
  <c r="U27" i="2"/>
  <c r="I52" i="6"/>
  <c r="F57" i="6"/>
  <c r="S93" i="6"/>
  <c r="O86" i="6"/>
  <c r="O99" i="6" s="1"/>
  <c r="U142" i="6"/>
  <c r="G172" i="6"/>
  <c r="U172" i="6"/>
  <c r="C41" i="6"/>
  <c r="F127" i="6" s="1"/>
  <c r="C246" i="6"/>
  <c r="K34" i="2"/>
  <c r="F12" i="3"/>
  <c r="J52" i="6"/>
  <c r="H57" i="6"/>
  <c r="U80" i="6"/>
  <c r="U93" i="6" s="1"/>
  <c r="S57" i="6"/>
  <c r="S95" i="6"/>
  <c r="D318" i="6"/>
  <c r="C444" i="6"/>
  <c r="R444" i="6" s="1"/>
  <c r="G441" i="6"/>
  <c r="C434" i="6"/>
  <c r="D434" i="6" s="1"/>
  <c r="K451" i="6"/>
  <c r="O449" i="6"/>
  <c r="H453" i="6"/>
  <c r="C451" i="6"/>
  <c r="R451" i="6" s="1"/>
  <c r="C443" i="6"/>
  <c r="H443" i="6" s="1"/>
  <c r="C450" i="6"/>
  <c r="L450" i="6" s="1"/>
  <c r="Q441" i="6"/>
  <c r="C437" i="6"/>
  <c r="U437" i="6" s="1"/>
  <c r="Q453" i="6"/>
  <c r="O453" i="6"/>
  <c r="C445" i="6"/>
  <c r="S445" i="6" s="1"/>
  <c r="C438" i="6"/>
  <c r="S438" i="6" s="1"/>
  <c r="C453" i="6"/>
  <c r="N437" i="6"/>
  <c r="Q449" i="6"/>
  <c r="C448" i="6"/>
  <c r="D448" i="6" s="1"/>
  <c r="U439" i="6"/>
  <c r="G448" i="6"/>
  <c r="C232" i="6"/>
  <c r="Q127" i="6"/>
  <c r="C449" i="6"/>
  <c r="D449" i="6" s="1"/>
  <c r="C435" i="6"/>
  <c r="I451" i="6"/>
  <c r="R443" i="6"/>
  <c r="T441" i="6"/>
  <c r="J437" i="6"/>
  <c r="C439" i="6"/>
  <c r="D439" i="6" s="1"/>
  <c r="J436" i="6"/>
  <c r="C243" i="6"/>
  <c r="C233" i="6"/>
  <c r="H84" i="6"/>
  <c r="H97" i="6" s="1"/>
  <c r="L55" i="6"/>
  <c r="N449" i="6"/>
  <c r="C446" i="6"/>
  <c r="P446" i="6" s="1"/>
  <c r="L439" i="6"/>
  <c r="F447" i="6"/>
  <c r="J439" i="6"/>
  <c r="C447" i="6"/>
  <c r="G447" i="6" s="1"/>
  <c r="C245" i="6"/>
  <c r="C242" i="6"/>
  <c r="C440" i="6"/>
  <c r="C234" i="6"/>
  <c r="I84" i="6"/>
  <c r="C237" i="6"/>
  <c r="C236" i="6"/>
  <c r="C235" i="6"/>
  <c r="G84" i="6"/>
  <c r="U55" i="6"/>
  <c r="Q451" i="6"/>
  <c r="F436" i="6"/>
  <c r="C238" i="6"/>
  <c r="T111" i="6"/>
  <c r="C436" i="6"/>
  <c r="S436" i="6" s="1"/>
  <c r="T143" i="6"/>
  <c r="R111" i="6"/>
  <c r="Q84" i="6"/>
  <c r="Q97" i="6" s="1"/>
  <c r="S143" i="6"/>
  <c r="Q111" i="6"/>
  <c r="S127" i="6"/>
  <c r="T55" i="6"/>
  <c r="C452" i="6"/>
  <c r="R127" i="6"/>
  <c r="C244" i="6"/>
  <c r="C231" i="6"/>
  <c r="O127" i="6"/>
  <c r="T84" i="6"/>
  <c r="T97" i="6" s="1"/>
  <c r="O84" i="6"/>
  <c r="O97" i="6" s="1"/>
  <c r="J55" i="6"/>
  <c r="N84" i="6"/>
  <c r="N97" i="6" s="1"/>
  <c r="I55" i="6"/>
  <c r="U143" i="6"/>
  <c r="U127" i="6"/>
  <c r="M84" i="6"/>
  <c r="H55" i="6"/>
  <c r="I41" i="6"/>
  <c r="O445" i="6"/>
  <c r="R143" i="6"/>
  <c r="T127" i="6"/>
  <c r="U111" i="6"/>
  <c r="L84" i="6"/>
  <c r="G55" i="6"/>
  <c r="H41" i="6"/>
  <c r="O159" i="6"/>
  <c r="C241" i="6"/>
  <c r="S55" i="6"/>
  <c r="R55" i="6"/>
  <c r="F41" i="6"/>
  <c r="G41" i="6" s="1"/>
  <c r="C442" i="6"/>
  <c r="D442" i="6" s="1"/>
  <c r="Q55" i="6"/>
  <c r="E41" i="6"/>
  <c r="C247" i="6"/>
  <c r="P127" i="6"/>
  <c r="P111" i="6"/>
  <c r="R84" i="6"/>
  <c r="R97" i="6" s="1"/>
  <c r="M55" i="6"/>
  <c r="C239" i="6"/>
  <c r="Q143" i="6"/>
  <c r="U84" i="6"/>
  <c r="U97" i="6" s="1"/>
  <c r="S84" i="6"/>
  <c r="S97" i="6" s="1"/>
  <c r="U159" i="6"/>
  <c r="P84" i="6"/>
  <c r="P97" i="6" s="1"/>
  <c r="K84" i="6"/>
  <c r="C240" i="6"/>
  <c r="S159" i="6"/>
  <c r="F84" i="6"/>
  <c r="C433" i="6"/>
  <c r="R159" i="6"/>
  <c r="S111" i="6"/>
  <c r="P55" i="6"/>
  <c r="G82" i="6"/>
  <c r="G87" i="6"/>
  <c r="G104" i="6"/>
  <c r="G152" i="6"/>
  <c r="D21" i="4"/>
  <c r="D20" i="4"/>
  <c r="D15" i="3"/>
  <c r="E15" i="3" s="1"/>
  <c r="W29" i="2"/>
  <c r="U29" i="2"/>
  <c r="V29" i="2" s="1"/>
  <c r="Q29" i="2"/>
  <c r="T29" i="2" s="1"/>
  <c r="L24" i="2"/>
  <c r="K24" i="2"/>
  <c r="S21" i="2"/>
  <c r="D36" i="6"/>
  <c r="D14" i="3"/>
  <c r="E14" i="3" s="1"/>
  <c r="R24" i="2"/>
  <c r="C39" i="6"/>
  <c r="E212" i="6" s="1"/>
  <c r="R26" i="2"/>
  <c r="W27" i="2"/>
  <c r="T57" i="6"/>
  <c r="T155" i="6"/>
  <c r="T105" i="6"/>
  <c r="T125" i="6"/>
  <c r="T139" i="6"/>
  <c r="T78" i="6"/>
  <c r="T91" i="6" s="1"/>
  <c r="T85" i="6"/>
  <c r="T98" i="6" s="1"/>
  <c r="T141" i="6"/>
  <c r="T128" i="6"/>
  <c r="T153" i="6"/>
  <c r="T109" i="6"/>
  <c r="T144" i="6"/>
  <c r="T80" i="6"/>
  <c r="T93" i="6" s="1"/>
  <c r="T152" i="6"/>
  <c r="T146" i="6"/>
  <c r="T148" i="6" s="1"/>
  <c r="T82" i="6"/>
  <c r="T95" i="6" s="1"/>
  <c r="T121" i="6"/>
  <c r="T110" i="6"/>
  <c r="F81" i="6"/>
  <c r="T87" i="6"/>
  <c r="T100" i="6" s="1"/>
  <c r="P140" i="6"/>
  <c r="P143" i="6"/>
  <c r="T157" i="6"/>
  <c r="H257" i="6"/>
  <c r="P257" i="6"/>
  <c r="O257" i="6"/>
  <c r="J257" i="6"/>
  <c r="T257" i="6"/>
  <c r="S257" i="6"/>
  <c r="U257" i="6"/>
  <c r="L257" i="6"/>
  <c r="K257" i="6"/>
  <c r="I257" i="6"/>
  <c r="R257" i="6"/>
  <c r="Q257" i="6"/>
  <c r="N257" i="6"/>
  <c r="M257" i="6"/>
  <c r="G257" i="6"/>
  <c r="F257" i="6"/>
  <c r="G343" i="6"/>
  <c r="P386" i="6"/>
  <c r="H43" i="2"/>
  <c r="B324" i="6"/>
  <c r="B308" i="6"/>
  <c r="B316" i="6"/>
  <c r="B315" i="6"/>
  <c r="B322" i="6"/>
  <c r="B319" i="6"/>
  <c r="B312" i="6"/>
  <c r="B326" i="6"/>
  <c r="B323" i="6"/>
  <c r="B325" i="6"/>
  <c r="B317" i="6"/>
  <c r="B321" i="6"/>
  <c r="B313" i="6"/>
  <c r="A153" i="6"/>
  <c r="A137" i="6"/>
  <c r="A121" i="6"/>
  <c r="A60" i="6"/>
  <c r="A49" i="6"/>
  <c r="B314" i="6"/>
  <c r="B311" i="6"/>
  <c r="B310" i="6"/>
  <c r="B176" i="6"/>
  <c r="B320" i="6"/>
  <c r="B309" i="6"/>
  <c r="B177" i="6"/>
  <c r="B327" i="6"/>
  <c r="A105" i="6"/>
  <c r="A91" i="6"/>
  <c r="B307" i="6"/>
  <c r="I48" i="6"/>
  <c r="G50" i="6"/>
  <c r="F53" i="6"/>
  <c r="T54" i="6"/>
  <c r="F123" i="6"/>
  <c r="F105" i="6"/>
  <c r="F157" i="6"/>
  <c r="F83" i="6"/>
  <c r="F112" i="6"/>
  <c r="F110" i="6"/>
  <c r="F80" i="6"/>
  <c r="F87" i="6"/>
  <c r="F158" i="6"/>
  <c r="F153" i="6"/>
  <c r="F136" i="6"/>
  <c r="B173" i="6"/>
  <c r="E182" i="6"/>
  <c r="D182" i="6"/>
  <c r="D207" i="6"/>
  <c r="F348" i="6"/>
  <c r="I347" i="6"/>
  <c r="U343" i="6"/>
  <c r="C338" i="6"/>
  <c r="C347" i="6"/>
  <c r="D347" i="6" s="1"/>
  <c r="L343" i="6"/>
  <c r="K343" i="6"/>
  <c r="C330" i="6"/>
  <c r="C329" i="6"/>
  <c r="N347" i="6"/>
  <c r="J343" i="6"/>
  <c r="T347" i="6"/>
  <c r="R343" i="6"/>
  <c r="P343" i="6"/>
  <c r="C339" i="6"/>
  <c r="D339" i="6" s="1"/>
  <c r="O343" i="6"/>
  <c r="C183" i="6"/>
  <c r="C179" i="6"/>
  <c r="P154" i="6"/>
  <c r="K138" i="6"/>
  <c r="F122" i="6"/>
  <c r="M343" i="6"/>
  <c r="L347" i="6"/>
  <c r="C180" i="6"/>
  <c r="M154" i="6"/>
  <c r="J138" i="6"/>
  <c r="M79" i="6"/>
  <c r="M92" i="6" s="1"/>
  <c r="Q50" i="6"/>
  <c r="K347" i="6"/>
  <c r="R348" i="6"/>
  <c r="G347" i="6"/>
  <c r="P345" i="6"/>
  <c r="C341" i="6"/>
  <c r="C334" i="6"/>
  <c r="G348" i="6"/>
  <c r="C348" i="6"/>
  <c r="K348" i="6" s="1"/>
  <c r="C337" i="6"/>
  <c r="C332" i="6"/>
  <c r="C344" i="6"/>
  <c r="F344" i="6" s="1"/>
  <c r="T343" i="6"/>
  <c r="S343" i="6"/>
  <c r="Q343" i="6"/>
  <c r="F154" i="6"/>
  <c r="F138" i="6"/>
  <c r="J106" i="6"/>
  <c r="H79" i="6"/>
  <c r="H92" i="6" s="1"/>
  <c r="H106" i="6" s="1"/>
  <c r="Q347" i="6"/>
  <c r="N343" i="6"/>
  <c r="C331" i="6"/>
  <c r="C178" i="6"/>
  <c r="I106" i="6"/>
  <c r="G79" i="6"/>
  <c r="U50" i="6"/>
  <c r="I343" i="6"/>
  <c r="F343" i="6"/>
  <c r="S154" i="6"/>
  <c r="C336" i="6"/>
  <c r="C328" i="6"/>
  <c r="T138" i="6"/>
  <c r="L122" i="6"/>
  <c r="U154" i="6"/>
  <c r="R138" i="6"/>
  <c r="J122" i="6"/>
  <c r="T106" i="6"/>
  <c r="C340" i="6"/>
  <c r="T154" i="6"/>
  <c r="Q138" i="6"/>
  <c r="I122" i="6"/>
  <c r="S106" i="6"/>
  <c r="K154" i="6"/>
  <c r="M138" i="6"/>
  <c r="R106" i="6"/>
  <c r="F79" i="6"/>
  <c r="I50" i="6"/>
  <c r="C345" i="6"/>
  <c r="N345" i="6" s="1"/>
  <c r="C333" i="6"/>
  <c r="J154" i="6"/>
  <c r="L138" i="6"/>
  <c r="Q106" i="6"/>
  <c r="H343" i="6"/>
  <c r="T122" i="6"/>
  <c r="O106" i="6"/>
  <c r="P348" i="6"/>
  <c r="P138" i="6"/>
  <c r="O122" i="6"/>
  <c r="I79" i="6"/>
  <c r="I92" i="6" s="1"/>
  <c r="L50" i="6"/>
  <c r="O138" i="6"/>
  <c r="N122" i="6"/>
  <c r="U106" i="6"/>
  <c r="K50" i="6"/>
  <c r="M348" i="6"/>
  <c r="N138" i="6"/>
  <c r="M122" i="6"/>
  <c r="P106" i="6"/>
  <c r="J50" i="6"/>
  <c r="I138" i="6"/>
  <c r="K122" i="6"/>
  <c r="N106" i="6"/>
  <c r="H50" i="6"/>
  <c r="T345" i="6"/>
  <c r="N154" i="6"/>
  <c r="M347" i="6"/>
  <c r="U79" i="6"/>
  <c r="U92" i="6" s="1"/>
  <c r="I36" i="6"/>
  <c r="T79" i="6"/>
  <c r="T92" i="6" s="1"/>
  <c r="H36" i="6"/>
  <c r="C346" i="6"/>
  <c r="Q346" i="6" s="1"/>
  <c r="S79" i="6"/>
  <c r="S92" i="6" s="1"/>
  <c r="T50" i="6"/>
  <c r="R79" i="6"/>
  <c r="R92" i="6" s="1"/>
  <c r="S50" i="6"/>
  <c r="F36" i="6"/>
  <c r="G36" i="6" s="1"/>
  <c r="C342" i="6"/>
  <c r="S342" i="6" s="1"/>
  <c r="Q122" i="6"/>
  <c r="N79" i="6"/>
  <c r="N92" i="6" s="1"/>
  <c r="N50" i="6"/>
  <c r="C181" i="6"/>
  <c r="U138" i="6"/>
  <c r="I42" i="6"/>
  <c r="N48" i="6"/>
  <c r="H51" i="6"/>
  <c r="K53" i="6"/>
  <c r="Q90" i="6"/>
  <c r="P79" i="6"/>
  <c r="P92" i="6" s="1"/>
  <c r="F39" i="6"/>
  <c r="G39" i="6" s="1"/>
  <c r="B486" i="6"/>
  <c r="B491" i="6"/>
  <c r="B482" i="6"/>
  <c r="B480" i="6"/>
  <c r="B488" i="6"/>
  <c r="B484" i="6"/>
  <c r="B475" i="6"/>
  <c r="B489" i="6"/>
  <c r="B485" i="6"/>
  <c r="B493" i="6"/>
  <c r="B490" i="6"/>
  <c r="B487" i="6"/>
  <c r="B495" i="6"/>
  <c r="B478" i="6"/>
  <c r="B494" i="6"/>
  <c r="B476" i="6"/>
  <c r="B285" i="6"/>
  <c r="B479" i="6"/>
  <c r="B279" i="6"/>
  <c r="B273" i="6"/>
  <c r="B492" i="6"/>
  <c r="B275" i="6"/>
  <c r="B274" i="6"/>
  <c r="B272" i="6"/>
  <c r="A113" i="6"/>
  <c r="B284" i="6"/>
  <c r="B477" i="6"/>
  <c r="B483" i="6"/>
  <c r="B281" i="6"/>
  <c r="B271" i="6"/>
  <c r="B277" i="6"/>
  <c r="A57" i="6"/>
  <c r="B266" i="6"/>
  <c r="A68" i="6"/>
  <c r="B282" i="6"/>
  <c r="B283" i="6"/>
  <c r="B268" i="6"/>
  <c r="B278" i="6"/>
  <c r="B276" i="6"/>
  <c r="B270" i="6"/>
  <c r="A129" i="6"/>
  <c r="A86" i="6"/>
  <c r="A161" i="6"/>
  <c r="B481" i="6"/>
  <c r="A145" i="6"/>
  <c r="B269" i="6"/>
  <c r="B267" i="6"/>
  <c r="O48" i="6"/>
  <c r="I51" i="6"/>
  <c r="L53" i="6"/>
  <c r="G56" i="6"/>
  <c r="A78" i="6"/>
  <c r="L95" i="6"/>
  <c r="L141" i="6" s="1"/>
  <c r="F106" i="6"/>
  <c r="B318" i="6"/>
  <c r="K6" i="6"/>
  <c r="K307" i="6" s="1"/>
  <c r="B6" i="3"/>
  <c r="K23" i="2"/>
  <c r="J49" i="6"/>
  <c r="R51" i="6"/>
  <c r="R53" i="6"/>
  <c r="O56" i="6"/>
  <c r="O123" i="6"/>
  <c r="O153" i="6"/>
  <c r="O137" i="6"/>
  <c r="O157" i="6"/>
  <c r="O141" i="6"/>
  <c r="O109" i="6"/>
  <c r="O139" i="6"/>
  <c r="O126" i="6"/>
  <c r="O107" i="6"/>
  <c r="O105" i="6"/>
  <c r="O158" i="6"/>
  <c r="O125" i="6"/>
  <c r="O160" i="6"/>
  <c r="R95" i="6"/>
  <c r="M106" i="6"/>
  <c r="E205" i="6"/>
  <c r="I91" i="6"/>
  <c r="P95" i="6"/>
  <c r="C548" i="6"/>
  <c r="C496" i="6"/>
  <c r="N401" i="6"/>
  <c r="Q398" i="6"/>
  <c r="P398" i="6"/>
  <c r="H398" i="6"/>
  <c r="P403" i="6"/>
  <c r="G398" i="6"/>
  <c r="T398" i="6"/>
  <c r="F398" i="6"/>
  <c r="T401" i="6"/>
  <c r="S401" i="6"/>
  <c r="U53" i="6"/>
  <c r="U51" i="6"/>
  <c r="I403" i="6"/>
  <c r="E184" i="6"/>
  <c r="L410" i="6"/>
  <c r="M402" i="6"/>
  <c r="P53" i="6"/>
  <c r="K51" i="6"/>
  <c r="G49" i="6"/>
  <c r="L402" i="6"/>
  <c r="G54" i="6"/>
  <c r="O51" i="6"/>
  <c r="I49" i="6"/>
  <c r="M56" i="6"/>
  <c r="F54" i="6"/>
  <c r="N51" i="6"/>
  <c r="H49" i="6"/>
  <c r="I39" i="6"/>
  <c r="I37" i="6"/>
  <c r="I35" i="6"/>
  <c r="L56" i="6"/>
  <c r="T53" i="6"/>
  <c r="M51" i="6"/>
  <c r="F49" i="6"/>
  <c r="H39" i="6"/>
  <c r="H37" i="6"/>
  <c r="H35" i="6"/>
  <c r="J56" i="6"/>
  <c r="S53" i="6"/>
  <c r="L51" i="6"/>
  <c r="E191" i="6"/>
  <c r="N403" i="6"/>
  <c r="F56" i="6"/>
  <c r="L54" i="6"/>
  <c r="G51" i="6"/>
  <c r="N49" i="6"/>
  <c r="F403" i="6"/>
  <c r="K54" i="6"/>
  <c r="F51" i="6"/>
  <c r="M49" i="6"/>
  <c r="J54" i="6"/>
  <c r="L49" i="6"/>
  <c r="I54" i="6"/>
  <c r="K49" i="6"/>
  <c r="L368" i="6"/>
  <c r="T56" i="6"/>
  <c r="O53" i="6"/>
  <c r="O49" i="6"/>
  <c r="H54" i="6"/>
  <c r="P56" i="6"/>
  <c r="L91" i="6"/>
  <c r="E255" i="6"/>
  <c r="D255" i="6"/>
  <c r="D34" i="6"/>
  <c r="D12" i="3"/>
  <c r="E12" i="3" s="1"/>
  <c r="K22" i="2"/>
  <c r="B45" i="4"/>
  <c r="R6" i="6"/>
  <c r="R320" i="6" s="1"/>
  <c r="F305" i="6"/>
  <c r="P49" i="6"/>
  <c r="T51" i="6"/>
  <c r="N54" i="6"/>
  <c r="Q56" i="6"/>
  <c r="R122" i="6"/>
  <c r="D172" i="6"/>
  <c r="S51" i="6"/>
  <c r="F104" i="6"/>
  <c r="E230" i="6"/>
  <c r="F34" i="6"/>
  <c r="G34" i="6" s="1"/>
  <c r="F37" i="6"/>
  <c r="G37" i="6" s="1"/>
  <c r="F40" i="6"/>
  <c r="G40" i="6" s="1"/>
  <c r="Q49" i="6"/>
  <c r="O54" i="6"/>
  <c r="R56" i="6"/>
  <c r="O78" i="6"/>
  <c r="O91" i="6" s="1"/>
  <c r="Q93" i="6"/>
  <c r="S122" i="6"/>
  <c r="F137" i="6"/>
  <c r="I154" i="6"/>
  <c r="S49" i="6"/>
  <c r="P54" i="6"/>
  <c r="S56" i="6"/>
  <c r="S100" i="6"/>
  <c r="U122" i="6"/>
  <c r="L154" i="6"/>
  <c r="B439" i="6"/>
  <c r="B452" i="6"/>
  <c r="B443" i="6"/>
  <c r="B450" i="6"/>
  <c r="B442" i="6"/>
  <c r="B441" i="6"/>
  <c r="B440" i="6"/>
  <c r="B435" i="6"/>
  <c r="B434" i="6"/>
  <c r="B433" i="6"/>
  <c r="B444" i="6"/>
  <c r="B437" i="6"/>
  <c r="B453" i="6"/>
  <c r="B244" i="6"/>
  <c r="B238" i="6"/>
  <c r="B449" i="6"/>
  <c r="B448" i="6"/>
  <c r="B447" i="6"/>
  <c r="A111" i="6"/>
  <c r="B451" i="6"/>
  <c r="B436" i="6"/>
  <c r="B446" i="6"/>
  <c r="B445" i="6"/>
  <c r="B247" i="6"/>
  <c r="B246" i="6"/>
  <c r="B233" i="6"/>
  <c r="A55" i="6"/>
  <c r="B234" i="6"/>
  <c r="A66" i="6"/>
  <c r="B237" i="6"/>
  <c r="B236" i="6"/>
  <c r="B235" i="6"/>
  <c r="B243" i="6"/>
  <c r="A159" i="6"/>
  <c r="B245" i="6"/>
  <c r="A97" i="6"/>
  <c r="B242" i="6"/>
  <c r="A127" i="6"/>
  <c r="B438" i="6"/>
  <c r="A143" i="6"/>
  <c r="B231" i="6"/>
  <c r="B232" i="6"/>
  <c r="P48" i="6"/>
  <c r="S77" i="6"/>
  <c r="S90" i="6" s="1"/>
  <c r="L104" i="6"/>
  <c r="J120" i="6"/>
  <c r="G136" i="6"/>
  <c r="B292" i="6"/>
  <c r="B293" i="6"/>
  <c r="B297" i="6"/>
  <c r="B298" i="6"/>
  <c r="B303" i="6"/>
  <c r="B295" i="6"/>
  <c r="B301" i="6"/>
  <c r="B289" i="6"/>
  <c r="B286" i="6"/>
  <c r="A59" i="6"/>
  <c r="A48" i="6"/>
  <c r="B306" i="6"/>
  <c r="B296" i="6"/>
  <c r="B300" i="6"/>
  <c r="B294" i="6"/>
  <c r="B291" i="6"/>
  <c r="B288" i="6"/>
  <c r="A104" i="6"/>
  <c r="B304" i="6"/>
  <c r="B299" i="6"/>
  <c r="B287" i="6"/>
  <c r="A136" i="6"/>
  <c r="L305" i="6"/>
  <c r="C297" i="6"/>
  <c r="N305" i="6"/>
  <c r="C301" i="6"/>
  <c r="H305" i="6"/>
  <c r="C293" i="6"/>
  <c r="F306" i="6"/>
  <c r="G305" i="6"/>
  <c r="C171" i="6"/>
  <c r="R152" i="6"/>
  <c r="M136" i="6"/>
  <c r="H120" i="6"/>
  <c r="R305" i="6"/>
  <c r="M152" i="6"/>
  <c r="J136" i="6"/>
  <c r="G120" i="6"/>
  <c r="I104" i="6"/>
  <c r="O77" i="6"/>
  <c r="O90" i="6" s="1"/>
  <c r="S48" i="6"/>
  <c r="Q305" i="6"/>
  <c r="C298" i="6"/>
  <c r="O305" i="6"/>
  <c r="M305" i="6"/>
  <c r="C303" i="6"/>
  <c r="C292" i="6"/>
  <c r="K305" i="6"/>
  <c r="J305" i="6"/>
  <c r="C299" i="6"/>
  <c r="D299" i="6" s="1"/>
  <c r="K286" i="6"/>
  <c r="C295" i="6"/>
  <c r="C289" i="6"/>
  <c r="C286" i="6"/>
  <c r="C306" i="6"/>
  <c r="G306" i="6" s="1"/>
  <c r="J104" i="6"/>
  <c r="H77" i="6"/>
  <c r="H90" i="6" s="1"/>
  <c r="U152" i="6"/>
  <c r="U136" i="6"/>
  <c r="U120" i="6"/>
  <c r="H104" i="6"/>
  <c r="G77" i="6"/>
  <c r="G90" i="6" s="1"/>
  <c r="U48" i="6"/>
  <c r="U305" i="6"/>
  <c r="C290" i="6"/>
  <c r="D290" i="6" s="1"/>
  <c r="P305" i="6"/>
  <c r="C294" i="6"/>
  <c r="P152" i="6"/>
  <c r="L152" i="6"/>
  <c r="N136" i="6"/>
  <c r="R104" i="6"/>
  <c r="T305" i="6"/>
  <c r="C291" i="6"/>
  <c r="C288" i="6"/>
  <c r="J152" i="6"/>
  <c r="K136" i="6"/>
  <c r="T120" i="6"/>
  <c r="P104" i="6"/>
  <c r="S305" i="6"/>
  <c r="C296" i="6"/>
  <c r="I152" i="6"/>
  <c r="I136" i="6"/>
  <c r="S120" i="6"/>
  <c r="O104" i="6"/>
  <c r="S152" i="6"/>
  <c r="T136" i="6"/>
  <c r="L120" i="6"/>
  <c r="U77" i="6"/>
  <c r="U90" i="6" s="1"/>
  <c r="C304" i="6"/>
  <c r="J304" i="6" s="1"/>
  <c r="C300" i="6"/>
  <c r="Q152" i="6"/>
  <c r="S136" i="6"/>
  <c r="K120" i="6"/>
  <c r="T77" i="6"/>
  <c r="T90" i="6" s="1"/>
  <c r="N152" i="6"/>
  <c r="Q136" i="6"/>
  <c r="I120" i="6"/>
  <c r="R77" i="6"/>
  <c r="R90" i="6" s="1"/>
  <c r="R136" i="6"/>
  <c r="R120" i="6"/>
  <c r="P77" i="6"/>
  <c r="P90" i="6" s="1"/>
  <c r="F48" i="6"/>
  <c r="P136" i="6"/>
  <c r="Q120" i="6"/>
  <c r="N77" i="6"/>
  <c r="N90" i="6" s="1"/>
  <c r="O136" i="6"/>
  <c r="P120" i="6"/>
  <c r="U104" i="6"/>
  <c r="M77" i="6"/>
  <c r="M90" i="6" s="1"/>
  <c r="L136" i="6"/>
  <c r="O120" i="6"/>
  <c r="T104" i="6"/>
  <c r="L77" i="6"/>
  <c r="L90" i="6" s="1"/>
  <c r="T48" i="6"/>
  <c r="K152" i="6"/>
  <c r="F120" i="6"/>
  <c r="M104" i="6"/>
  <c r="Q137" i="6"/>
  <c r="Q105" i="6"/>
  <c r="Q121" i="6"/>
  <c r="Q82" i="6"/>
  <c r="Q95" i="6" s="1"/>
  <c r="Q109" i="6"/>
  <c r="Q155" i="6"/>
  <c r="Q83" i="6"/>
  <c r="Q96" i="6" s="1"/>
  <c r="Q158" i="6"/>
  <c r="Q125" i="6"/>
  <c r="Q123" i="6"/>
  <c r="Q107" i="6"/>
  <c r="K91" i="6"/>
  <c r="D225" i="6"/>
  <c r="E225" i="6"/>
  <c r="B241" i="6"/>
  <c r="I305" i="6"/>
  <c r="N96" i="6"/>
  <c r="E34" i="6"/>
  <c r="G48" i="6"/>
  <c r="Q139" i="6"/>
  <c r="B171" i="6"/>
  <c r="E215" i="6"/>
  <c r="A114" i="6"/>
  <c r="A87" i="6"/>
  <c r="R91" i="6"/>
  <c r="R85" i="6"/>
  <c r="R98" i="6" s="1"/>
  <c r="K87" i="6"/>
  <c r="A124" i="6"/>
  <c r="T160" i="6"/>
  <c r="E173" i="6"/>
  <c r="C532" i="6"/>
  <c r="C516" i="6"/>
  <c r="C537" i="6"/>
  <c r="C521" i="6"/>
  <c r="C542" i="6"/>
  <c r="C526" i="6"/>
  <c r="C536" i="6"/>
  <c r="C535" i="6"/>
  <c r="C534" i="6"/>
  <c r="C533" i="6"/>
  <c r="C540" i="6"/>
  <c r="C531" i="6"/>
  <c r="C518" i="6"/>
  <c r="C544" i="6"/>
  <c r="C525" i="6"/>
  <c r="C545" i="6"/>
  <c r="C541" i="6"/>
  <c r="C538" i="6"/>
  <c r="C524" i="6"/>
  <c r="C547" i="6"/>
  <c r="C527" i="6"/>
  <c r="C539" i="6"/>
  <c r="C543" i="6"/>
  <c r="C529" i="6"/>
  <c r="C523" i="6"/>
  <c r="C520" i="6"/>
  <c r="C522" i="6"/>
  <c r="C530" i="6"/>
  <c r="C517" i="6"/>
  <c r="C519" i="6"/>
  <c r="S146" i="6"/>
  <c r="S148" i="6" s="1"/>
  <c r="U87" i="6"/>
  <c r="U100" i="6" s="1"/>
  <c r="P162" i="6"/>
  <c r="P164" i="6" s="1"/>
  <c r="P146" i="6"/>
  <c r="P148" i="6" s="1"/>
  <c r="Q130" i="6"/>
  <c r="Q132" i="6" s="1"/>
  <c r="Q114" i="6"/>
  <c r="Q116" i="6" s="1"/>
  <c r="I87" i="6"/>
  <c r="C528" i="6"/>
  <c r="P130" i="6"/>
  <c r="P132" i="6" s="1"/>
  <c r="P114" i="6"/>
  <c r="P116" i="6" s="1"/>
  <c r="H87" i="6"/>
  <c r="I44" i="6"/>
  <c r="R146" i="6"/>
  <c r="R148" i="6" s="1"/>
  <c r="U130" i="6"/>
  <c r="U132" i="6" s="1"/>
  <c r="U162" i="6"/>
  <c r="U164" i="6" s="1"/>
  <c r="T162" i="6"/>
  <c r="T164" i="6" s="1"/>
  <c r="S130" i="6"/>
  <c r="S132" i="6" s="1"/>
  <c r="S162" i="6"/>
  <c r="S164" i="6" s="1"/>
  <c r="R130" i="6"/>
  <c r="R132" i="6" s="1"/>
  <c r="T130" i="6"/>
  <c r="T132" i="6" s="1"/>
  <c r="O87" i="6"/>
  <c r="O100" i="6" s="1"/>
  <c r="F44" i="6"/>
  <c r="G44" i="6" s="1"/>
  <c r="C546" i="6"/>
  <c r="N87" i="6"/>
  <c r="N100" i="6" s="1"/>
  <c r="L87" i="6"/>
  <c r="L123" i="6"/>
  <c r="L105" i="6"/>
  <c r="S91" i="6"/>
  <c r="M87" i="6"/>
  <c r="M100" i="6" s="1"/>
  <c r="U160" i="6"/>
  <c r="B218" i="6"/>
  <c r="B412" i="6"/>
  <c r="C470" i="6"/>
  <c r="S470" i="6" s="1"/>
  <c r="B470" i="6"/>
  <c r="B461" i="6"/>
  <c r="B455" i="6"/>
  <c r="B463" i="6"/>
  <c r="B472" i="6"/>
  <c r="B474" i="6"/>
  <c r="B468" i="6"/>
  <c r="B465" i="6"/>
  <c r="B457" i="6"/>
  <c r="B471" i="6"/>
  <c r="B464" i="6"/>
  <c r="B460" i="6"/>
  <c r="B469" i="6"/>
  <c r="B467" i="6"/>
  <c r="B256" i="6"/>
  <c r="B250" i="6"/>
  <c r="A144" i="6"/>
  <c r="B459" i="6"/>
  <c r="B456" i="6"/>
  <c r="B466" i="6"/>
  <c r="B458" i="6"/>
  <c r="A112" i="6"/>
  <c r="B473" i="6"/>
  <c r="B262" i="6"/>
  <c r="B249" i="6"/>
  <c r="B248" i="6"/>
  <c r="B265" i="6"/>
  <c r="B258" i="6"/>
  <c r="B259" i="6"/>
  <c r="B252" i="6"/>
  <c r="A56" i="6"/>
  <c r="A67" i="6"/>
  <c r="B263" i="6"/>
  <c r="B260" i="6"/>
  <c r="B264" i="6"/>
  <c r="B254" i="6"/>
  <c r="B251" i="6"/>
  <c r="B454" i="6"/>
  <c r="B257" i="6"/>
  <c r="A98" i="6"/>
  <c r="A85" i="6"/>
  <c r="B261" i="6"/>
  <c r="M109" i="6"/>
  <c r="M123" i="6"/>
  <c r="M82" i="6"/>
  <c r="M95" i="6" s="1"/>
  <c r="M105" i="6"/>
  <c r="K80" i="6"/>
  <c r="K93" i="6" s="1"/>
  <c r="P87" i="6"/>
  <c r="P100" i="6" s="1"/>
  <c r="A128" i="6"/>
  <c r="A146" i="6"/>
  <c r="E190" i="6"/>
  <c r="B192" i="6"/>
  <c r="B197" i="6"/>
  <c r="B221" i="6"/>
  <c r="E229" i="6"/>
  <c r="B333" i="6"/>
  <c r="B339" i="6"/>
  <c r="B330" i="6"/>
  <c r="B331" i="6"/>
  <c r="B346" i="6"/>
  <c r="B332" i="6"/>
  <c r="B348" i="6"/>
  <c r="B344" i="6"/>
  <c r="B337" i="6"/>
  <c r="B329" i="6"/>
  <c r="B181" i="6"/>
  <c r="B180" i="6"/>
  <c r="B179" i="6"/>
  <c r="A61" i="6"/>
  <c r="A50" i="6"/>
  <c r="A154" i="6"/>
  <c r="A138" i="6"/>
  <c r="A122" i="6"/>
  <c r="B340" i="6"/>
  <c r="B336" i="6"/>
  <c r="B328" i="6"/>
  <c r="B183" i="6"/>
  <c r="A92" i="6"/>
  <c r="A79" i="6"/>
  <c r="B345" i="6"/>
  <c r="B338" i="6"/>
  <c r="B343" i="6"/>
  <c r="B390" i="6"/>
  <c r="B387" i="6"/>
  <c r="B374" i="6"/>
  <c r="B386" i="6"/>
  <c r="B385" i="6"/>
  <c r="B375" i="6"/>
  <c r="B373" i="6"/>
  <c r="B376" i="6"/>
  <c r="B381" i="6"/>
  <c r="B378" i="6"/>
  <c r="B193" i="6"/>
  <c r="A108" i="6"/>
  <c r="A63" i="6"/>
  <c r="B389" i="6"/>
  <c r="B379" i="6"/>
  <c r="B372" i="6"/>
  <c r="B382" i="6"/>
  <c r="B388" i="6"/>
  <c r="B202" i="6"/>
  <c r="B201" i="6"/>
  <c r="B200" i="6"/>
  <c r="B199" i="6"/>
  <c r="A52" i="6"/>
  <c r="B377" i="6"/>
  <c r="B371" i="6"/>
  <c r="B194" i="6"/>
  <c r="B384" i="6"/>
  <c r="B198" i="6"/>
  <c r="B196" i="6"/>
  <c r="B380" i="6"/>
  <c r="B423" i="6"/>
  <c r="B426" i="6"/>
  <c r="B425" i="6"/>
  <c r="B427" i="6"/>
  <c r="B430" i="6"/>
  <c r="B419" i="6"/>
  <c r="B424" i="6"/>
  <c r="B428" i="6"/>
  <c r="B415" i="6"/>
  <c r="B420" i="6"/>
  <c r="B413" i="6"/>
  <c r="B429" i="6"/>
  <c r="A110" i="6"/>
  <c r="B422" i="6"/>
  <c r="B416" i="6"/>
  <c r="B432" i="6"/>
  <c r="B421" i="6"/>
  <c r="B417" i="6"/>
  <c r="A54" i="6"/>
  <c r="A65" i="6"/>
  <c r="A158" i="6"/>
  <c r="A142" i="6"/>
  <c r="B230" i="6"/>
  <c r="A126" i="6"/>
  <c r="B223" i="6"/>
  <c r="B418" i="6"/>
  <c r="B216" i="6"/>
  <c r="B220" i="6"/>
  <c r="B226" i="6"/>
  <c r="B224" i="6"/>
  <c r="B222" i="6"/>
  <c r="B229" i="6"/>
  <c r="B227" i="6"/>
  <c r="J473" i="6"/>
  <c r="N461" i="6"/>
  <c r="N473" i="6"/>
  <c r="C469" i="6"/>
  <c r="P469" i="6"/>
  <c r="C462" i="6"/>
  <c r="D462" i="6" s="1"/>
  <c r="C471" i="6"/>
  <c r="T471" i="6" s="1"/>
  <c r="I464" i="6"/>
  <c r="C455" i="6"/>
  <c r="Q471" i="6"/>
  <c r="N470" i="6"/>
  <c r="M469" i="6"/>
  <c r="C464" i="6"/>
  <c r="U464" i="6" s="1"/>
  <c r="S461" i="6"/>
  <c r="C468" i="6"/>
  <c r="N468" i="6" s="1"/>
  <c r="C461" i="6"/>
  <c r="I461" i="6" s="1"/>
  <c r="C472" i="6"/>
  <c r="Q472" i="6" s="1"/>
  <c r="O469" i="6"/>
  <c r="C458" i="6"/>
  <c r="T458" i="6" s="1"/>
  <c r="R473" i="6"/>
  <c r="N469" i="6"/>
  <c r="F464" i="6"/>
  <c r="C460" i="6"/>
  <c r="D460" i="6" s="1"/>
  <c r="I472" i="6"/>
  <c r="L469" i="6"/>
  <c r="K469" i="6"/>
  <c r="H461" i="6"/>
  <c r="H464" i="6"/>
  <c r="L462" i="6"/>
  <c r="C456" i="6"/>
  <c r="I473" i="6"/>
  <c r="J469" i="6"/>
  <c r="M463" i="6"/>
  <c r="Q461" i="6"/>
  <c r="M460" i="6"/>
  <c r="C474" i="6"/>
  <c r="P474" i="6" s="1"/>
  <c r="G469" i="6"/>
  <c r="Q464" i="6"/>
  <c r="C261" i="6"/>
  <c r="U144" i="6"/>
  <c r="P128" i="6"/>
  <c r="R466" i="6"/>
  <c r="P464" i="6"/>
  <c r="O461" i="6"/>
  <c r="R469" i="6"/>
  <c r="M461" i="6"/>
  <c r="C466" i="6"/>
  <c r="T466" i="6" s="1"/>
  <c r="N160" i="6"/>
  <c r="G85" i="6"/>
  <c r="K56" i="6"/>
  <c r="C467" i="6"/>
  <c r="D467" i="6" s="1"/>
  <c r="K466" i="6"/>
  <c r="Q467" i="6"/>
  <c r="C459" i="6"/>
  <c r="C262" i="6"/>
  <c r="C463" i="6"/>
  <c r="O463" i="6" s="1"/>
  <c r="C265" i="6"/>
  <c r="C264" i="6"/>
  <c r="C263" i="6"/>
  <c r="G461" i="6"/>
  <c r="C258" i="6"/>
  <c r="F461" i="6"/>
  <c r="C473" i="6"/>
  <c r="T473" i="6" s="1"/>
  <c r="N144" i="6"/>
  <c r="N128" i="6"/>
  <c r="O112" i="6"/>
  <c r="I85" i="6"/>
  <c r="I98" i="6" s="1"/>
  <c r="H42" i="6"/>
  <c r="K67" i="6" s="1"/>
  <c r="N112" i="6"/>
  <c r="H85" i="6"/>
  <c r="H98" i="6" s="1"/>
  <c r="H160" i="6" s="1"/>
  <c r="U56" i="6"/>
  <c r="F42" i="6"/>
  <c r="G42" i="6" s="1"/>
  <c r="C256" i="6"/>
  <c r="C253" i="6"/>
  <c r="C457" i="6"/>
  <c r="R457" i="6" s="1"/>
  <c r="C254" i="6"/>
  <c r="C251" i="6"/>
  <c r="F144" i="6"/>
  <c r="C454" i="6"/>
  <c r="C465" i="6"/>
  <c r="R465" i="6" s="1"/>
  <c r="U112" i="6"/>
  <c r="S85" i="6"/>
  <c r="S98" i="6" s="1"/>
  <c r="F160" i="6"/>
  <c r="T112" i="6"/>
  <c r="Q469" i="6"/>
  <c r="C250" i="6"/>
  <c r="S160" i="6"/>
  <c r="R144" i="6"/>
  <c r="Q112" i="6"/>
  <c r="F85" i="6"/>
  <c r="F98" i="6" s="1"/>
  <c r="C248" i="6"/>
  <c r="R160" i="6"/>
  <c r="Q144" i="6"/>
  <c r="P112" i="6"/>
  <c r="C259" i="6"/>
  <c r="P160" i="6"/>
  <c r="O144" i="6"/>
  <c r="C249" i="6"/>
  <c r="N56" i="6"/>
  <c r="N141" i="6"/>
  <c r="N153" i="6"/>
  <c r="N137" i="6"/>
  <c r="N121" i="6"/>
  <c r="N82" i="6"/>
  <c r="N95" i="6" s="1"/>
  <c r="M80" i="6"/>
  <c r="M93" i="6" s="1"/>
  <c r="Q87" i="6"/>
  <c r="Q100" i="6" s="1"/>
  <c r="A94" i="6"/>
  <c r="F128" i="6"/>
  <c r="A130" i="6"/>
  <c r="K155" i="6"/>
  <c r="B182" i="6"/>
  <c r="E224" i="6"/>
  <c r="D229" i="6"/>
  <c r="B341" i="6"/>
  <c r="M470" i="6"/>
  <c r="F126" i="6"/>
  <c r="T142" i="6"/>
  <c r="R158" i="6"/>
  <c r="C218" i="6"/>
  <c r="R157" i="6"/>
  <c r="R105" i="6"/>
  <c r="R125" i="6"/>
  <c r="I93" i="6"/>
  <c r="I107" i="6" s="1"/>
  <c r="R139" i="6"/>
  <c r="S155" i="6"/>
  <c r="E185" i="6"/>
  <c r="C222" i="6"/>
  <c r="C428" i="6"/>
  <c r="P428" i="6" s="1"/>
  <c r="S423" i="6"/>
  <c r="I421" i="6"/>
  <c r="C412" i="6"/>
  <c r="M429" i="6"/>
  <c r="C425" i="6"/>
  <c r="I425" i="6" s="1"/>
  <c r="H423" i="6"/>
  <c r="C416" i="6"/>
  <c r="C424" i="6"/>
  <c r="C432" i="6"/>
  <c r="C426" i="6"/>
  <c r="N426" i="6" s="1"/>
  <c r="C427" i="6"/>
  <c r="S427" i="6" s="1"/>
  <c r="J431" i="6"/>
  <c r="C430" i="6"/>
  <c r="U430" i="6" s="1"/>
  <c r="O423" i="6"/>
  <c r="C419" i="6"/>
  <c r="H419" i="6" s="1"/>
  <c r="N423" i="6"/>
  <c r="J423" i="6"/>
  <c r="I423" i="6"/>
  <c r="C226" i="6"/>
  <c r="R126" i="6"/>
  <c r="P429" i="6"/>
  <c r="K426" i="6"/>
  <c r="C420" i="6"/>
  <c r="O420" i="6" s="1"/>
  <c r="C417" i="6"/>
  <c r="C415" i="6"/>
  <c r="D415" i="6" s="1"/>
  <c r="C413" i="6"/>
  <c r="D413" i="6" s="1"/>
  <c r="C422" i="6"/>
  <c r="T422" i="6" s="1"/>
  <c r="G418" i="6"/>
  <c r="F418" i="6"/>
  <c r="C223" i="6"/>
  <c r="N158" i="6"/>
  <c r="I83" i="6"/>
  <c r="I96" i="6" s="1"/>
  <c r="I126" i="6" s="1"/>
  <c r="M54" i="6"/>
  <c r="I40" i="6"/>
  <c r="C423" i="6"/>
  <c r="P423" i="6" s="1"/>
  <c r="C431" i="6"/>
  <c r="K431" i="6" s="1"/>
  <c r="C418" i="6"/>
  <c r="U418" i="6" s="1"/>
  <c r="C429" i="6"/>
  <c r="U429" i="6" s="1"/>
  <c r="N421" i="6"/>
  <c r="K421" i="6"/>
  <c r="C421" i="6"/>
  <c r="Q421" i="6" s="1"/>
  <c r="J429" i="6"/>
  <c r="H83" i="6"/>
  <c r="H96" i="6" s="1"/>
  <c r="H40" i="6"/>
  <c r="G83" i="6"/>
  <c r="G96" i="6" s="1"/>
  <c r="U54" i="6"/>
  <c r="T419" i="6"/>
  <c r="R142" i="6"/>
  <c r="Q110" i="6"/>
  <c r="C216" i="6"/>
  <c r="C220" i="6"/>
  <c r="T158" i="6"/>
  <c r="P142" i="6"/>
  <c r="O110" i="6"/>
  <c r="O83" i="6"/>
  <c r="O96" i="6" s="1"/>
  <c r="C227" i="6"/>
  <c r="S158" i="6"/>
  <c r="O142" i="6"/>
  <c r="N110" i="6"/>
  <c r="R54" i="6"/>
  <c r="T83" i="6"/>
  <c r="T96" i="6" s="1"/>
  <c r="R109" i="6"/>
  <c r="S139" i="6"/>
  <c r="D185" i="6"/>
  <c r="E177" i="6"/>
  <c r="D208" i="6"/>
  <c r="R153" i="6"/>
  <c r="C176" i="6"/>
  <c r="B210" i="6"/>
  <c r="B211" i="6"/>
  <c r="D214" i="6"/>
  <c r="E214" i="6"/>
  <c r="C327" i="6"/>
  <c r="T327" i="6" s="1"/>
  <c r="K367" i="6"/>
  <c r="C325" i="6"/>
  <c r="F325" i="6" s="1"/>
  <c r="N363" i="6"/>
  <c r="C368" i="6"/>
  <c r="U368" i="6" s="1"/>
  <c r="S324" i="6"/>
  <c r="C313" i="6"/>
  <c r="M324" i="6"/>
  <c r="C320" i="6"/>
  <c r="C311" i="6"/>
  <c r="O324" i="6"/>
  <c r="P323" i="6"/>
  <c r="C315" i="6"/>
  <c r="N324" i="6"/>
  <c r="L324" i="6"/>
  <c r="K321" i="6"/>
  <c r="K318" i="6"/>
  <c r="K317" i="6"/>
  <c r="C175" i="6"/>
  <c r="Q153" i="6"/>
  <c r="L137" i="6"/>
  <c r="I324" i="6"/>
  <c r="G323" i="6"/>
  <c r="C322" i="6"/>
  <c r="I322" i="6" s="1"/>
  <c r="C174" i="6"/>
  <c r="M153" i="6"/>
  <c r="J137" i="6"/>
  <c r="N78" i="6"/>
  <c r="N91" i="6" s="1"/>
  <c r="R49" i="6"/>
  <c r="F35" i="6"/>
  <c r="G35" i="6" s="1"/>
  <c r="H324" i="6"/>
  <c r="C309" i="6"/>
  <c r="G324" i="6"/>
  <c r="C323" i="6"/>
  <c r="Q323" i="6" s="1"/>
  <c r="T324" i="6"/>
  <c r="C319" i="6"/>
  <c r="K319" i="6" s="1"/>
  <c r="R324" i="6"/>
  <c r="C316" i="6"/>
  <c r="C312" i="6"/>
  <c r="C326" i="6"/>
  <c r="N326" i="6" s="1"/>
  <c r="Q324" i="6"/>
  <c r="C308" i="6"/>
  <c r="P324" i="6"/>
  <c r="T326" i="6"/>
  <c r="U324" i="6"/>
  <c r="C321" i="6"/>
  <c r="K324" i="6"/>
  <c r="J326" i="6"/>
  <c r="J324" i="6"/>
  <c r="F324" i="6"/>
  <c r="B365" i="6"/>
  <c r="B349" i="6"/>
  <c r="B364" i="6"/>
  <c r="B363" i="6"/>
  <c r="B362" i="6"/>
  <c r="B361" i="6"/>
  <c r="B360" i="6"/>
  <c r="B355" i="6"/>
  <c r="B354" i="6"/>
  <c r="B353" i="6"/>
  <c r="B356" i="6"/>
  <c r="A123" i="6"/>
  <c r="B368" i="6"/>
  <c r="B359" i="6"/>
  <c r="B186" i="6"/>
  <c r="B366" i="6"/>
  <c r="B352" i="6"/>
  <c r="B367" i="6"/>
  <c r="B369" i="6"/>
  <c r="B350" i="6"/>
  <c r="B187" i="6"/>
  <c r="U49" i="6"/>
  <c r="G78" i="6"/>
  <c r="G91" i="6" s="1"/>
  <c r="G80" i="6"/>
  <c r="I105" i="6"/>
  <c r="F139" i="6"/>
  <c r="F155" i="6"/>
  <c r="D204" i="6"/>
  <c r="D205" i="6"/>
  <c r="C314" i="6"/>
  <c r="Q363" i="6"/>
  <c r="I363" i="6"/>
  <c r="L362" i="6"/>
  <c r="C354" i="6"/>
  <c r="S366" i="6"/>
  <c r="C365" i="6"/>
  <c r="G365" i="6" s="1"/>
  <c r="G363" i="6"/>
  <c r="I362" i="6"/>
  <c r="C356" i="6"/>
  <c r="C364" i="6"/>
  <c r="R364" i="6" s="1"/>
  <c r="F363" i="6"/>
  <c r="H362" i="6"/>
  <c r="F367" i="6"/>
  <c r="C353" i="6"/>
  <c r="U363" i="6"/>
  <c r="U362" i="6"/>
  <c r="C352" i="6"/>
  <c r="C369" i="6"/>
  <c r="D369" i="6" s="1"/>
  <c r="J363" i="6"/>
  <c r="C366" i="6"/>
  <c r="R366" i="6" s="1"/>
  <c r="P363" i="6"/>
  <c r="N362" i="6"/>
  <c r="C359" i="6"/>
  <c r="C349" i="6"/>
  <c r="D349" i="6" s="1"/>
  <c r="I369" i="6"/>
  <c r="S363" i="6"/>
  <c r="O362" i="6"/>
  <c r="R363" i="6"/>
  <c r="M362" i="6"/>
  <c r="K358" i="6"/>
  <c r="C187" i="6"/>
  <c r="O155" i="6"/>
  <c r="J139" i="6"/>
  <c r="U123" i="6"/>
  <c r="Q362" i="6"/>
  <c r="O363" i="6"/>
  <c r="F362" i="6"/>
  <c r="R369" i="6"/>
  <c r="G366" i="6"/>
  <c r="K362" i="6"/>
  <c r="M155" i="6"/>
  <c r="K139" i="6"/>
  <c r="H123" i="6"/>
  <c r="F107" i="6"/>
  <c r="L80" i="6"/>
  <c r="L93" i="6" s="1"/>
  <c r="P51" i="6"/>
  <c r="Q369" i="6"/>
  <c r="J362" i="6"/>
  <c r="G362" i="6"/>
  <c r="C357" i="6"/>
  <c r="L357" i="6" s="1"/>
  <c r="T362" i="6"/>
  <c r="K356" i="6"/>
  <c r="K369" i="6"/>
  <c r="C367" i="6"/>
  <c r="R367" i="6" s="1"/>
  <c r="S362" i="6"/>
  <c r="R362" i="6"/>
  <c r="C350" i="6"/>
  <c r="P362" i="6"/>
  <c r="K366" i="6"/>
  <c r="M363" i="6"/>
  <c r="C361" i="6"/>
  <c r="G361" i="6" s="1"/>
  <c r="R349" i="6"/>
  <c r="T369" i="6"/>
  <c r="L363" i="6"/>
  <c r="C355" i="6"/>
  <c r="K363" i="6"/>
  <c r="H363" i="6"/>
  <c r="C360" i="6"/>
  <c r="B407" i="6"/>
  <c r="B391" i="6"/>
  <c r="B408" i="6"/>
  <c r="B399" i="6"/>
  <c r="B410" i="6"/>
  <c r="B409" i="6"/>
  <c r="B398" i="6"/>
  <c r="B215" i="6"/>
  <c r="B209" i="6"/>
  <c r="B397" i="6"/>
  <c r="B404" i="6"/>
  <c r="B411" i="6"/>
  <c r="B213" i="6"/>
  <c r="B203" i="6"/>
  <c r="A109" i="6"/>
  <c r="B395" i="6"/>
  <c r="B401" i="6"/>
  <c r="B396" i="6"/>
  <c r="B392" i="6"/>
  <c r="B402" i="6"/>
  <c r="B212" i="6"/>
  <c r="B405" i="6"/>
  <c r="A51" i="6"/>
  <c r="A53" i="6"/>
  <c r="A62" i="6"/>
  <c r="H78" i="6"/>
  <c r="H91" i="6" s="1"/>
  <c r="H105" i="6" s="1"/>
  <c r="H80" i="6"/>
  <c r="H93" i="6" s="1"/>
  <c r="J105" i="6"/>
  <c r="J107" i="6"/>
  <c r="K351" i="6"/>
  <c r="T363" i="6"/>
  <c r="H368" i="6"/>
  <c r="O401" i="6"/>
  <c r="Q403" i="6"/>
  <c r="O410" i="6"/>
  <c r="C395" i="6"/>
  <c r="Q401" i="6"/>
  <c r="R403" i="6"/>
  <c r="O403" i="6"/>
  <c r="R402" i="6"/>
  <c r="U401" i="6"/>
  <c r="N398" i="6"/>
  <c r="C396" i="6"/>
  <c r="P410" i="6"/>
  <c r="R409" i="6"/>
  <c r="L403" i="6"/>
  <c r="N402" i="6"/>
  <c r="P401" i="6"/>
  <c r="C409" i="6"/>
  <c r="I409" i="6" s="1"/>
  <c r="H403" i="6"/>
  <c r="I402" i="6"/>
  <c r="J401" i="6"/>
  <c r="L398" i="6"/>
  <c r="C408" i="6"/>
  <c r="O408" i="6" s="1"/>
  <c r="C407" i="6"/>
  <c r="U407" i="6" s="1"/>
  <c r="C406" i="6"/>
  <c r="O406" i="6" s="1"/>
  <c r="G403" i="6"/>
  <c r="H402" i="6"/>
  <c r="I401" i="6"/>
  <c r="K398" i="6"/>
  <c r="M403" i="6"/>
  <c r="K402" i="6"/>
  <c r="H401" i="6"/>
  <c r="C410" i="6"/>
  <c r="Q410" i="6" s="1"/>
  <c r="K403" i="6"/>
  <c r="J402" i="6"/>
  <c r="G401" i="6"/>
  <c r="C399" i="6"/>
  <c r="K399" i="6" s="1"/>
  <c r="S410" i="6"/>
  <c r="T405" i="6"/>
  <c r="J403" i="6"/>
  <c r="J398" i="6"/>
  <c r="G410" i="6"/>
  <c r="C405" i="6"/>
  <c r="P405" i="6" s="1"/>
  <c r="T403" i="6"/>
  <c r="P402" i="6"/>
  <c r="L401" i="6"/>
  <c r="C400" i="6"/>
  <c r="N400" i="6" s="1"/>
  <c r="S398" i="6"/>
  <c r="T402" i="6"/>
  <c r="M401" i="6"/>
  <c r="O398" i="6"/>
  <c r="J411" i="6"/>
  <c r="U406" i="6"/>
  <c r="S402" i="6"/>
  <c r="K401" i="6"/>
  <c r="M398" i="6"/>
  <c r="C397" i="6"/>
  <c r="C203" i="6"/>
  <c r="M157" i="6"/>
  <c r="S125" i="6"/>
  <c r="N109" i="6"/>
  <c r="C404" i="6"/>
  <c r="J404" i="6" s="1"/>
  <c r="Q402" i="6"/>
  <c r="F401" i="6"/>
  <c r="I398" i="6"/>
  <c r="P411" i="6"/>
  <c r="P404" i="6"/>
  <c r="U402" i="6"/>
  <c r="O411" i="6"/>
  <c r="M404" i="6"/>
  <c r="O402" i="6"/>
  <c r="C394" i="6"/>
  <c r="C411" i="6"/>
  <c r="M411" i="6" s="1"/>
  <c r="G402" i="6"/>
  <c r="U403" i="6"/>
  <c r="F402" i="6"/>
  <c r="R398" i="6"/>
  <c r="C392" i="6"/>
  <c r="N53" i="6"/>
  <c r="J82" i="6"/>
  <c r="J95" i="6" s="1"/>
  <c r="N157" i="6"/>
  <c r="R401" i="6"/>
  <c r="S403" i="6"/>
  <c r="P335" i="6" l="1"/>
  <c r="L308" i="6"/>
  <c r="L317" i="6"/>
  <c r="L358" i="6"/>
  <c r="L318" i="6"/>
  <c r="L299" i="6"/>
  <c r="L307" i="6"/>
  <c r="L309" i="6"/>
  <c r="L302" i="6"/>
  <c r="H430" i="6"/>
  <c r="R311" i="6"/>
  <c r="H439" i="6"/>
  <c r="T489" i="6"/>
  <c r="S489" i="6"/>
  <c r="F480" i="6"/>
  <c r="I489" i="6"/>
  <c r="N380" i="6"/>
  <c r="U380" i="6"/>
  <c r="U390" i="6"/>
  <c r="K390" i="6"/>
  <c r="O390" i="6"/>
  <c r="R495" i="6"/>
  <c r="T410" i="6"/>
  <c r="U327" i="6"/>
  <c r="S368" i="6"/>
  <c r="U369" i="6"/>
  <c r="J367" i="6"/>
  <c r="F369" i="6"/>
  <c r="U365" i="6"/>
  <c r="G93" i="6"/>
  <c r="O327" i="6"/>
  <c r="I430" i="6"/>
  <c r="N430" i="6"/>
  <c r="F463" i="6"/>
  <c r="L473" i="6"/>
  <c r="L461" i="6"/>
  <c r="U306" i="6"/>
  <c r="B46" i="4"/>
  <c r="H347" i="6"/>
  <c r="S451" i="6"/>
  <c r="M449" i="6"/>
  <c r="K442" i="6"/>
  <c r="I439" i="6"/>
  <c r="F486" i="6"/>
  <c r="U489" i="6"/>
  <c r="Q494" i="6"/>
  <c r="H493" i="6"/>
  <c r="H481" i="6"/>
  <c r="H491" i="6"/>
  <c r="F485" i="6"/>
  <c r="G390" i="6"/>
  <c r="R380" i="6"/>
  <c r="J345" i="6"/>
  <c r="G442" i="6"/>
  <c r="K439" i="6"/>
  <c r="N369" i="6"/>
  <c r="O369" i="6"/>
  <c r="K425" i="6"/>
  <c r="T423" i="6"/>
  <c r="S460" i="6"/>
  <c r="L98" i="6"/>
  <c r="L128" i="6" s="1"/>
  <c r="P6" i="6"/>
  <c r="E228" i="6"/>
  <c r="S347" i="6"/>
  <c r="K342" i="6"/>
  <c r="L437" i="6"/>
  <c r="O439" i="6"/>
  <c r="I444" i="6"/>
  <c r="S439" i="6"/>
  <c r="N475" i="6"/>
  <c r="I475" i="6"/>
  <c r="J493" i="6"/>
  <c r="S390" i="6"/>
  <c r="K100" i="6"/>
  <c r="K287" i="6"/>
  <c r="E188" i="6"/>
  <c r="H138" i="6"/>
  <c r="U346" i="6"/>
  <c r="H122" i="6"/>
  <c r="H345" i="6"/>
  <c r="F100" i="6"/>
  <c r="T445" i="6"/>
  <c r="E186" i="6"/>
  <c r="I129" i="6"/>
  <c r="H485" i="6"/>
  <c r="T484" i="6"/>
  <c r="G480" i="6"/>
  <c r="S495" i="6"/>
  <c r="K495" i="6"/>
  <c r="N493" i="6"/>
  <c r="F385" i="6"/>
  <c r="T406" i="6"/>
  <c r="P406" i="6"/>
  <c r="L404" i="6"/>
  <c r="R358" i="6"/>
  <c r="H369" i="6"/>
  <c r="O311" i="6"/>
  <c r="K310" i="6"/>
  <c r="O430" i="6"/>
  <c r="U423" i="6"/>
  <c r="T429" i="6"/>
  <c r="I429" i="6"/>
  <c r="K455" i="6"/>
  <c r="U463" i="6"/>
  <c r="H100" i="6"/>
  <c r="S6" i="6"/>
  <c r="S350" i="6" s="1"/>
  <c r="O6" i="6"/>
  <c r="H154" i="6"/>
  <c r="S335" i="6"/>
  <c r="F346" i="6"/>
  <c r="F94" i="6"/>
  <c r="S448" i="6"/>
  <c r="F449" i="6"/>
  <c r="J451" i="6"/>
  <c r="G449" i="6"/>
  <c r="H451" i="6"/>
  <c r="U449" i="6"/>
  <c r="T485" i="6"/>
  <c r="S488" i="6"/>
  <c r="J488" i="6"/>
  <c r="P481" i="6"/>
  <c r="J475" i="6"/>
  <c r="F124" i="6"/>
  <c r="K380" i="6"/>
  <c r="N404" i="6"/>
  <c r="H337" i="6"/>
  <c r="T439" i="6"/>
  <c r="I442" i="6"/>
  <c r="I448" i="6"/>
  <c r="M489" i="6"/>
  <c r="F477" i="6"/>
  <c r="J410" i="6"/>
  <c r="J311" i="6"/>
  <c r="L455" i="6"/>
  <c r="L406" i="6"/>
  <c r="O455" i="6"/>
  <c r="T463" i="6"/>
  <c r="T461" i="6"/>
  <c r="L100" i="6"/>
  <c r="K293" i="6"/>
  <c r="F410" i="6"/>
  <c r="T6" i="6"/>
  <c r="T341" i="6" s="1"/>
  <c r="U347" i="6"/>
  <c r="Q447" i="6"/>
  <c r="J449" i="6"/>
  <c r="K444" i="6"/>
  <c r="R449" i="6"/>
  <c r="Q489" i="6"/>
  <c r="M475" i="6"/>
  <c r="J382" i="6"/>
  <c r="K108" i="6"/>
  <c r="Q390" i="6"/>
  <c r="H404" i="6"/>
  <c r="P425" i="6"/>
  <c r="K420" i="6"/>
  <c r="L465" i="6"/>
  <c r="P299" i="6"/>
  <c r="H6" i="6"/>
  <c r="H297" i="6" s="1"/>
  <c r="L331" i="6"/>
  <c r="F347" i="6"/>
  <c r="F96" i="6"/>
  <c r="R439" i="6"/>
  <c r="N439" i="6"/>
  <c r="F145" i="6"/>
  <c r="R475" i="6"/>
  <c r="V31" i="2"/>
  <c r="J100" i="6"/>
  <c r="U399" i="6"/>
  <c r="N327" i="6"/>
  <c r="H365" i="6"/>
  <c r="I458" i="6"/>
  <c r="R458" i="6"/>
  <c r="G404" i="6"/>
  <c r="T368" i="6"/>
  <c r="O367" i="6"/>
  <c r="P367" i="6"/>
  <c r="M367" i="6"/>
  <c r="R427" i="6"/>
  <c r="G399" i="6"/>
  <c r="L349" i="6"/>
  <c r="J369" i="6"/>
  <c r="P369" i="6"/>
  <c r="J365" i="6"/>
  <c r="N368" i="6"/>
  <c r="J368" i="6"/>
  <c r="K309" i="6"/>
  <c r="G430" i="6"/>
  <c r="P461" i="6"/>
  <c r="T460" i="6"/>
  <c r="O473" i="6"/>
  <c r="M464" i="6"/>
  <c r="S358" i="6"/>
  <c r="S369" i="6"/>
  <c r="I365" i="6"/>
  <c r="L369" i="6"/>
  <c r="G369" i="6"/>
  <c r="L321" i="6"/>
  <c r="J310" i="6"/>
  <c r="P315" i="6"/>
  <c r="E208" i="6"/>
  <c r="K208" i="6" s="1"/>
  <c r="F423" i="6"/>
  <c r="Q418" i="6"/>
  <c r="H473" i="6"/>
  <c r="U460" i="6"/>
  <c r="R464" i="6"/>
  <c r="P466" i="6"/>
  <c r="I100" i="6"/>
  <c r="K292" i="6"/>
  <c r="G304" i="6"/>
  <c r="L289" i="6"/>
  <c r="U6" i="6"/>
  <c r="J6" i="6"/>
  <c r="J288" i="6" s="1"/>
  <c r="H346" i="6"/>
  <c r="T342" i="6"/>
  <c r="G100" i="6"/>
  <c r="P449" i="6"/>
  <c r="L448" i="6"/>
  <c r="T448" i="6"/>
  <c r="Q479" i="6"/>
  <c r="M495" i="6"/>
  <c r="P493" i="6"/>
  <c r="R479" i="6"/>
  <c r="Q488" i="6"/>
  <c r="I385" i="6"/>
  <c r="T382" i="6"/>
  <c r="U495" i="6"/>
  <c r="T390" i="6"/>
  <c r="J406" i="6"/>
  <c r="Q365" i="6"/>
  <c r="Q406" i="6"/>
  <c r="O365" i="6"/>
  <c r="T367" i="6"/>
  <c r="L425" i="6"/>
  <c r="L430" i="6"/>
  <c r="Q425" i="6"/>
  <c r="P458" i="6"/>
  <c r="M304" i="6"/>
  <c r="U448" i="6"/>
  <c r="S493" i="6"/>
  <c r="K480" i="6"/>
  <c r="L495" i="6"/>
  <c r="I406" i="6"/>
  <c r="F345" i="6"/>
  <c r="P390" i="6"/>
  <c r="H442" i="6"/>
  <c r="H406" i="6"/>
  <c r="I367" i="6"/>
  <c r="O314" i="6"/>
  <c r="Q463" i="6"/>
  <c r="Q473" i="6"/>
  <c r="H306" i="6"/>
  <c r="I306" i="6"/>
  <c r="Q6" i="6"/>
  <c r="Q311" i="6" s="1"/>
  <c r="I345" i="6"/>
  <c r="O347" i="6"/>
  <c r="M346" i="6"/>
  <c r="U442" i="6"/>
  <c r="G439" i="6"/>
  <c r="P439" i="6"/>
  <c r="I481" i="6"/>
  <c r="F161" i="6"/>
  <c r="Q493" i="6"/>
  <c r="N495" i="6"/>
  <c r="M481" i="6"/>
  <c r="U494" i="6"/>
  <c r="Q385" i="6"/>
  <c r="M382" i="6"/>
  <c r="M406" i="6"/>
  <c r="H355" i="6"/>
  <c r="Q430" i="6"/>
  <c r="G406" i="6"/>
  <c r="T353" i="6"/>
  <c r="H311" i="6"/>
  <c r="S430" i="6"/>
  <c r="K430" i="6"/>
  <c r="L466" i="6"/>
  <c r="H466" i="6"/>
  <c r="G345" i="6"/>
  <c r="L335" i="6"/>
  <c r="U451" i="6"/>
  <c r="N448" i="6"/>
  <c r="M448" i="6"/>
  <c r="J448" i="6"/>
  <c r="J485" i="6"/>
  <c r="L475" i="6"/>
  <c r="O487" i="6"/>
  <c r="L160" i="6"/>
  <c r="O361" i="6"/>
  <c r="R61" i="6"/>
  <c r="D440" i="6"/>
  <c r="K440" i="6"/>
  <c r="S440" i="6"/>
  <c r="F440" i="6"/>
  <c r="L440" i="6"/>
  <c r="U440" i="6"/>
  <c r="Q440" i="6"/>
  <c r="U409" i="6"/>
  <c r="R308" i="6"/>
  <c r="R351" i="6"/>
  <c r="P312" i="6"/>
  <c r="M323" i="6"/>
  <c r="T361" i="6"/>
  <c r="E204" i="6"/>
  <c r="I204" i="6" s="1"/>
  <c r="L428" i="6"/>
  <c r="U427" i="6"/>
  <c r="T425" i="6"/>
  <c r="U426" i="6"/>
  <c r="O67" i="6"/>
  <c r="N463" i="6"/>
  <c r="I471" i="6"/>
  <c r="M458" i="6"/>
  <c r="T455" i="6"/>
  <c r="R462" i="6"/>
  <c r="K328" i="6"/>
  <c r="H328" i="6"/>
  <c r="N452" i="6"/>
  <c r="M452" i="6"/>
  <c r="G452" i="6"/>
  <c r="D453" i="6"/>
  <c r="R453" i="6"/>
  <c r="N453" i="6"/>
  <c r="S453" i="6"/>
  <c r="T453" i="6"/>
  <c r="I453" i="6"/>
  <c r="G453" i="6"/>
  <c r="P453" i="6"/>
  <c r="U477" i="6"/>
  <c r="G494" i="6"/>
  <c r="S492" i="6"/>
  <c r="F111" i="6"/>
  <c r="J388" i="6"/>
  <c r="H379" i="6"/>
  <c r="D384" i="6"/>
  <c r="I384" i="6"/>
  <c r="S384" i="6"/>
  <c r="N384" i="6"/>
  <c r="L384" i="6"/>
  <c r="L407" i="6"/>
  <c r="J407" i="6"/>
  <c r="D420" i="6"/>
  <c r="G420" i="6"/>
  <c r="R420" i="6"/>
  <c r="P420" i="6"/>
  <c r="G424" i="6"/>
  <c r="K424" i="6"/>
  <c r="N474" i="6"/>
  <c r="K296" i="6"/>
  <c r="L296" i="6"/>
  <c r="T407" i="6"/>
  <c r="Q407" i="6"/>
  <c r="S411" i="6"/>
  <c r="S365" i="6"/>
  <c r="P319" i="6"/>
  <c r="O325" i="6"/>
  <c r="R327" i="6"/>
  <c r="L327" i="6"/>
  <c r="H427" i="6"/>
  <c r="O429" i="6"/>
  <c r="T420" i="6"/>
  <c r="M110" i="6"/>
  <c r="U419" i="6"/>
  <c r="F428" i="6"/>
  <c r="G473" i="6"/>
  <c r="L463" i="6"/>
  <c r="H462" i="6"/>
  <c r="I457" i="6"/>
  <c r="J461" i="6"/>
  <c r="J462" i="6"/>
  <c r="I469" i="6"/>
  <c r="H469" i="6"/>
  <c r="S469" i="6"/>
  <c r="U317" i="6"/>
  <c r="T299" i="6"/>
  <c r="J299" i="6"/>
  <c r="K299" i="6"/>
  <c r="H314" i="6"/>
  <c r="K61" i="6"/>
  <c r="R338" i="6"/>
  <c r="M440" i="6"/>
  <c r="M451" i="6"/>
  <c r="I440" i="6"/>
  <c r="D450" i="6"/>
  <c r="Q450" i="6"/>
  <c r="F450" i="6"/>
  <c r="R450" i="6"/>
  <c r="I450" i="6"/>
  <c r="O450" i="6"/>
  <c r="H450" i="6"/>
  <c r="D431" i="6"/>
  <c r="P431" i="6"/>
  <c r="F431" i="6"/>
  <c r="S115" i="6"/>
  <c r="D443" i="6"/>
  <c r="G443" i="6"/>
  <c r="M443" i="6"/>
  <c r="P443" i="6"/>
  <c r="J443" i="6"/>
  <c r="N365" i="6"/>
  <c r="F365" i="6"/>
  <c r="J323" i="6"/>
  <c r="K406" i="6"/>
  <c r="M410" i="6"/>
  <c r="I410" i="6"/>
  <c r="K410" i="6"/>
  <c r="N411" i="6"/>
  <c r="N408" i="6"/>
  <c r="R354" i="6"/>
  <c r="O359" i="6"/>
  <c r="R307" i="6"/>
  <c r="J308" i="6"/>
  <c r="T313" i="6"/>
  <c r="U323" i="6"/>
  <c r="J418" i="6"/>
  <c r="S425" i="6"/>
  <c r="K422" i="6"/>
  <c r="H429" i="6"/>
  <c r="P419" i="6"/>
  <c r="U461" i="6"/>
  <c r="D466" i="6"/>
  <c r="Q466" i="6"/>
  <c r="N466" i="6"/>
  <c r="U466" i="6"/>
  <c r="F466" i="6"/>
  <c r="N458" i="6"/>
  <c r="Q462" i="6"/>
  <c r="J470" i="6"/>
  <c r="U469" i="6"/>
  <c r="G292" i="6"/>
  <c r="K340" i="6"/>
  <c r="D348" i="6"/>
  <c r="L348" i="6"/>
  <c r="O348" i="6"/>
  <c r="H348" i="6"/>
  <c r="U348" i="6"/>
  <c r="Q348" i="6"/>
  <c r="R328" i="6"/>
  <c r="Q443" i="6"/>
  <c r="P452" i="6"/>
  <c r="H440" i="6"/>
  <c r="J440" i="6"/>
  <c r="J477" i="6"/>
  <c r="D383" i="6"/>
  <c r="T383" i="6"/>
  <c r="S383" i="6"/>
  <c r="P383" i="6"/>
  <c r="F383" i="6"/>
  <c r="Q383" i="6"/>
  <c r="M383" i="6"/>
  <c r="N379" i="6"/>
  <c r="J383" i="6"/>
  <c r="K379" i="6"/>
  <c r="N325" i="6"/>
  <c r="L460" i="6"/>
  <c r="R286" i="6"/>
  <c r="N407" i="6"/>
  <c r="R359" i="6"/>
  <c r="K361" i="6"/>
  <c r="R310" i="6"/>
  <c r="I424" i="6"/>
  <c r="P426" i="6"/>
  <c r="N420" i="6"/>
  <c r="S467" i="6"/>
  <c r="F467" i="6"/>
  <c r="P472" i="6"/>
  <c r="T59" i="6"/>
  <c r="T131" i="6"/>
  <c r="K330" i="6"/>
  <c r="K443" i="6"/>
  <c r="H444" i="6"/>
  <c r="S443" i="6"/>
  <c r="N440" i="6"/>
  <c r="T443" i="6"/>
  <c r="F408" i="6"/>
  <c r="F361" i="6"/>
  <c r="D311" i="6"/>
  <c r="R315" i="6"/>
  <c r="M428" i="6"/>
  <c r="L431" i="6"/>
  <c r="N467" i="6"/>
  <c r="R455" i="6"/>
  <c r="N462" i="6"/>
  <c r="S471" i="6"/>
  <c r="J471" i="6"/>
  <c r="H361" i="6"/>
  <c r="K407" i="6"/>
  <c r="P342" i="6"/>
  <c r="F342" i="6"/>
  <c r="M342" i="6"/>
  <c r="O342" i="6"/>
  <c r="N342" i="6"/>
  <c r="I342" i="6"/>
  <c r="G342" i="6"/>
  <c r="H61" i="6"/>
  <c r="P334" i="6"/>
  <c r="N159" i="6"/>
  <c r="D445" i="6"/>
  <c r="P445" i="6"/>
  <c r="U445" i="6"/>
  <c r="M445" i="6"/>
  <c r="Q445" i="6"/>
  <c r="H445" i="6"/>
  <c r="I445" i="6"/>
  <c r="P444" i="6"/>
  <c r="D389" i="6"/>
  <c r="P389" i="6"/>
  <c r="K389" i="6"/>
  <c r="L389" i="6"/>
  <c r="O424" i="6"/>
  <c r="H431" i="6"/>
  <c r="D425" i="6"/>
  <c r="M425" i="6"/>
  <c r="K460" i="6"/>
  <c r="G467" i="6"/>
  <c r="Q460" i="6"/>
  <c r="N304" i="6"/>
  <c r="R304" i="6"/>
  <c r="P304" i="6"/>
  <c r="E210" i="6"/>
  <c r="L62" i="6"/>
  <c r="R406" i="6"/>
  <c r="L342" i="6"/>
  <c r="D338" i="6"/>
  <c r="T338" i="6"/>
  <c r="N127" i="6"/>
  <c r="T440" i="6"/>
  <c r="G161" i="6"/>
  <c r="G113" i="6"/>
  <c r="J492" i="6"/>
  <c r="O492" i="6"/>
  <c r="F492" i="6"/>
  <c r="P492" i="6"/>
  <c r="U492" i="6"/>
  <c r="H492" i="6"/>
  <c r="I492" i="6"/>
  <c r="T477" i="6"/>
  <c r="O389" i="6"/>
  <c r="M424" i="6"/>
  <c r="O364" i="6"/>
  <c r="L325" i="6"/>
  <c r="F427" i="6"/>
  <c r="O427" i="6"/>
  <c r="L426" i="6"/>
  <c r="T424" i="6"/>
  <c r="Q427" i="6"/>
  <c r="S462" i="6"/>
  <c r="T467" i="6"/>
  <c r="R460" i="6"/>
  <c r="F460" i="6"/>
  <c r="G460" i="6"/>
  <c r="K288" i="6"/>
  <c r="K290" i="6"/>
  <c r="R288" i="6"/>
  <c r="M365" i="6"/>
  <c r="R336" i="6"/>
  <c r="D451" i="6"/>
  <c r="N451" i="6"/>
  <c r="F451" i="6"/>
  <c r="P451" i="6"/>
  <c r="T451" i="6"/>
  <c r="G451" i="6"/>
  <c r="P440" i="6"/>
  <c r="P477" i="6"/>
  <c r="D478" i="6"/>
  <c r="T478" i="6"/>
  <c r="F478" i="6"/>
  <c r="U478" i="6"/>
  <c r="H478" i="6"/>
  <c r="R478" i="6"/>
  <c r="D388" i="6"/>
  <c r="T388" i="6"/>
  <c r="U388" i="6"/>
  <c r="O388" i="6"/>
  <c r="P388" i="6"/>
  <c r="I388" i="6"/>
  <c r="M388" i="6"/>
  <c r="H388" i="6"/>
  <c r="S389" i="6"/>
  <c r="I460" i="6"/>
  <c r="K462" i="6"/>
  <c r="L443" i="6"/>
  <c r="U443" i="6"/>
  <c r="D444" i="6"/>
  <c r="L444" i="6"/>
  <c r="F444" i="6"/>
  <c r="U444" i="6"/>
  <c r="J444" i="6"/>
  <c r="P379" i="6"/>
  <c r="L379" i="6"/>
  <c r="G107" i="6"/>
  <c r="G123" i="6"/>
  <c r="M420" i="6"/>
  <c r="O407" i="6"/>
  <c r="F407" i="6"/>
  <c r="T431" i="6"/>
  <c r="T365" i="6"/>
  <c r="H323" i="6"/>
  <c r="F323" i="6"/>
  <c r="R431" i="6"/>
  <c r="Q458" i="6"/>
  <c r="J317" i="6"/>
  <c r="T400" i="6"/>
  <c r="H400" i="6"/>
  <c r="R407" i="6"/>
  <c r="Q364" i="6"/>
  <c r="L364" i="6"/>
  <c r="N427" i="6"/>
  <c r="Q420" i="6"/>
  <c r="F420" i="6"/>
  <c r="R291" i="6"/>
  <c r="R289" i="6"/>
  <c r="H407" i="6"/>
  <c r="K359" i="6"/>
  <c r="S364" i="6"/>
  <c r="K308" i="6"/>
  <c r="P325" i="6"/>
  <c r="J424" i="6"/>
  <c r="F456" i="6"/>
  <c r="S456" i="6"/>
  <c r="U462" i="6"/>
  <c r="T147" i="6"/>
  <c r="L304" i="6"/>
  <c r="R290" i="6"/>
  <c r="R67" i="6"/>
  <c r="O443" i="6"/>
  <c r="F443" i="6"/>
  <c r="D477" i="6"/>
  <c r="O477" i="6"/>
  <c r="S477" i="6"/>
  <c r="Q477" i="6"/>
  <c r="M477" i="6"/>
  <c r="R477" i="6"/>
  <c r="D381" i="6"/>
  <c r="J381" i="6"/>
  <c r="M381" i="6"/>
  <c r="O381" i="6"/>
  <c r="S381" i="6"/>
  <c r="U381" i="6"/>
  <c r="R410" i="6"/>
  <c r="T404" i="6"/>
  <c r="O404" i="6"/>
  <c r="K408" i="6"/>
  <c r="U410" i="6"/>
  <c r="F406" i="6"/>
  <c r="P355" i="6"/>
  <c r="L359" i="6"/>
  <c r="U361" i="6"/>
  <c r="M369" i="6"/>
  <c r="K311" i="6"/>
  <c r="P311" i="6"/>
  <c r="I323" i="6"/>
  <c r="T317" i="6"/>
  <c r="P427" i="6"/>
  <c r="U420" i="6"/>
  <c r="I420" i="6"/>
  <c r="R424" i="6"/>
  <c r="J430" i="6"/>
  <c r="I431" i="6"/>
  <c r="Q423" i="6"/>
  <c r="K468" i="6"/>
  <c r="I456" i="6"/>
  <c r="N460" i="6"/>
  <c r="I467" i="6"/>
  <c r="D464" i="6"/>
  <c r="N464" i="6"/>
  <c r="T464" i="6"/>
  <c r="R298" i="6"/>
  <c r="G295" i="6"/>
  <c r="R292" i="6"/>
  <c r="R312" i="6"/>
  <c r="N348" i="6"/>
  <c r="R333" i="6"/>
  <c r="I348" i="6"/>
  <c r="L310" i="6"/>
  <c r="J445" i="6"/>
  <c r="O444" i="6"/>
  <c r="I443" i="6"/>
  <c r="F453" i="6"/>
  <c r="O440" i="6"/>
  <c r="O451" i="6"/>
  <c r="O494" i="6"/>
  <c r="K478" i="6"/>
  <c r="R384" i="6"/>
  <c r="D379" i="6"/>
  <c r="S379" i="6"/>
  <c r="U379" i="6"/>
  <c r="M379" i="6"/>
  <c r="T379" i="6"/>
  <c r="M319" i="6"/>
  <c r="S407" i="6"/>
  <c r="F425" i="6"/>
  <c r="L427" i="6"/>
  <c r="M431" i="6"/>
  <c r="H460" i="6"/>
  <c r="D463" i="6"/>
  <c r="J463" i="6"/>
  <c r="G458" i="6"/>
  <c r="P460" i="6"/>
  <c r="P462" i="6"/>
  <c r="R467" i="6"/>
  <c r="R299" i="6"/>
  <c r="Q304" i="6"/>
  <c r="Q317" i="6"/>
  <c r="N361" i="6"/>
  <c r="T335" i="6"/>
  <c r="T61" i="6"/>
  <c r="N443" i="6"/>
  <c r="T450" i="6"/>
  <c r="G129" i="6"/>
  <c r="H477" i="6"/>
  <c r="H494" i="6"/>
  <c r="G384" i="6"/>
  <c r="G388" i="6"/>
  <c r="R379" i="6"/>
  <c r="R314" i="6"/>
  <c r="R318" i="6"/>
  <c r="G426" i="6"/>
  <c r="R426" i="6"/>
  <c r="G407" i="6"/>
  <c r="Q428" i="6"/>
  <c r="J425" i="6"/>
  <c r="J67" i="6"/>
  <c r="K457" i="6"/>
  <c r="M457" i="6"/>
  <c r="O460" i="6"/>
  <c r="P467" i="6"/>
  <c r="T456" i="6"/>
  <c r="J460" i="6"/>
  <c r="K467" i="6"/>
  <c r="J467" i="6"/>
  <c r="O302" i="6"/>
  <c r="T290" i="6"/>
  <c r="Q411" i="6"/>
  <c r="L333" i="6"/>
  <c r="T334" i="6"/>
  <c r="T339" i="6"/>
  <c r="F159" i="6"/>
  <c r="M444" i="6"/>
  <c r="L451" i="6"/>
  <c r="R492" i="6"/>
  <c r="O387" i="6"/>
  <c r="P387" i="6"/>
  <c r="F387" i="6"/>
  <c r="J387" i="6"/>
  <c r="G387" i="6"/>
  <c r="M387" i="6"/>
  <c r="S387" i="6"/>
  <c r="N387" i="6"/>
  <c r="Q387" i="6"/>
  <c r="H387" i="6"/>
  <c r="M407" i="6"/>
  <c r="I361" i="6"/>
  <c r="T411" i="6"/>
  <c r="S400" i="6"/>
  <c r="J408" i="6"/>
  <c r="P364" i="6"/>
  <c r="L350" i="6"/>
  <c r="I364" i="6"/>
  <c r="F308" i="6"/>
  <c r="J314" i="6"/>
  <c r="J355" i="6"/>
  <c r="H424" i="6"/>
  <c r="J364" i="6"/>
  <c r="P365" i="6"/>
  <c r="P314" i="6"/>
  <c r="G327" i="6"/>
  <c r="L418" i="6"/>
  <c r="S431" i="6"/>
  <c r="I426" i="6"/>
  <c r="G463" i="6"/>
  <c r="M462" i="6"/>
  <c r="O471" i="6"/>
  <c r="S457" i="6"/>
  <c r="U467" i="6"/>
  <c r="F473" i="6"/>
  <c r="M473" i="6"/>
  <c r="L290" i="6"/>
  <c r="O346" i="6"/>
  <c r="R346" i="6"/>
  <c r="I346" i="6"/>
  <c r="K335" i="6"/>
  <c r="R340" i="6"/>
  <c r="S444" i="6"/>
  <c r="G445" i="6"/>
  <c r="M453" i="6"/>
  <c r="D482" i="6"/>
  <c r="Q482" i="6"/>
  <c r="D494" i="6"/>
  <c r="F494" i="6"/>
  <c r="M494" i="6"/>
  <c r="I494" i="6"/>
  <c r="R494" i="6"/>
  <c r="D491" i="6"/>
  <c r="N491" i="6"/>
  <c r="O491" i="6"/>
  <c r="L491" i="6"/>
  <c r="S491" i="6"/>
  <c r="M491" i="6"/>
  <c r="P491" i="6"/>
  <c r="R491" i="6"/>
  <c r="G491" i="6"/>
  <c r="K491" i="6"/>
  <c r="T491" i="6"/>
  <c r="F491" i="6"/>
  <c r="K381" i="6"/>
  <c r="N381" i="6"/>
  <c r="F97" i="6"/>
  <c r="I97" i="6"/>
  <c r="I111" i="6" s="1"/>
  <c r="N436" i="6"/>
  <c r="F441" i="6"/>
  <c r="P448" i="6"/>
  <c r="Q448" i="6"/>
  <c r="M479" i="6"/>
  <c r="K475" i="6"/>
  <c r="F479" i="6"/>
  <c r="U487" i="6"/>
  <c r="G488" i="6"/>
  <c r="L493" i="6"/>
  <c r="I484" i="6"/>
  <c r="H390" i="6"/>
  <c r="Q386" i="6"/>
  <c r="J386" i="6"/>
  <c r="I390" i="6"/>
  <c r="R390" i="6"/>
  <c r="J441" i="6"/>
  <c r="K447" i="6"/>
  <c r="N386" i="6"/>
  <c r="N390" i="6"/>
  <c r="L390" i="6"/>
  <c r="R339" i="6"/>
  <c r="G484" i="6"/>
  <c r="U475" i="6"/>
  <c r="Q480" i="6"/>
  <c r="I480" i="6"/>
  <c r="F475" i="6"/>
  <c r="P495" i="6"/>
  <c r="F140" i="6"/>
  <c r="I382" i="6"/>
  <c r="S30" i="2"/>
  <c r="M484" i="6"/>
  <c r="R484" i="6"/>
  <c r="G386" i="6"/>
  <c r="L382" i="6"/>
  <c r="S382" i="6"/>
  <c r="S31" i="2"/>
  <c r="R441" i="6"/>
  <c r="J99" i="6"/>
  <c r="E189" i="6"/>
  <c r="S189" i="6" s="1"/>
  <c r="O475" i="6"/>
  <c r="P484" i="6"/>
  <c r="T480" i="6"/>
  <c r="Q25" i="2"/>
  <c r="T25" i="2" s="1"/>
  <c r="U25" i="2"/>
  <c r="M6" i="6"/>
  <c r="M287" i="6" s="1"/>
  <c r="N6" i="6"/>
  <c r="N309" i="6" s="1"/>
  <c r="G6" i="6"/>
  <c r="G286" i="6" s="1"/>
  <c r="F6" i="6"/>
  <c r="F337" i="6" s="1"/>
  <c r="D43" i="6"/>
  <c r="Q68" i="6" s="1"/>
  <c r="D21" i="3"/>
  <c r="E21" i="3" s="1"/>
  <c r="G97" i="6"/>
  <c r="Q439" i="6"/>
  <c r="O448" i="6"/>
  <c r="F113" i="6"/>
  <c r="H99" i="6"/>
  <c r="H145" i="6" s="1"/>
  <c r="N484" i="6"/>
  <c r="F386" i="6"/>
  <c r="Q32" i="2"/>
  <c r="W32" i="2"/>
  <c r="U32" i="2"/>
  <c r="V32" i="2" s="1"/>
  <c r="H358" i="6"/>
  <c r="G98" i="6"/>
  <c r="U398" i="6"/>
  <c r="I6" i="6"/>
  <c r="I310" i="6" s="1"/>
  <c r="P347" i="6"/>
  <c r="G95" i="6"/>
  <c r="G157" i="6" s="1"/>
  <c r="H441" i="6"/>
  <c r="L449" i="6"/>
  <c r="I441" i="6"/>
  <c r="U436" i="6"/>
  <c r="O161" i="6"/>
  <c r="I113" i="6"/>
  <c r="K488" i="6"/>
  <c r="F495" i="6"/>
  <c r="U488" i="6"/>
  <c r="J484" i="6"/>
  <c r="I386" i="6"/>
  <c r="R386" i="6"/>
  <c r="L44" i="2"/>
  <c r="O484" i="6"/>
  <c r="S484" i="6"/>
  <c r="G92" i="6"/>
  <c r="G154" i="6" s="1"/>
  <c r="M341" i="6"/>
  <c r="K441" i="6"/>
  <c r="H449" i="6"/>
  <c r="J479" i="6"/>
  <c r="J480" i="6"/>
  <c r="Q495" i="6"/>
  <c r="O495" i="6"/>
  <c r="U480" i="6"/>
  <c r="F390" i="6"/>
  <c r="D417" i="6"/>
  <c r="U417" i="6"/>
  <c r="Q417" i="6"/>
  <c r="F417" i="6"/>
  <c r="L417" i="6"/>
  <c r="S417" i="6"/>
  <c r="O417" i="6"/>
  <c r="I160" i="6"/>
  <c r="I112" i="6"/>
  <c r="I128" i="6"/>
  <c r="D459" i="6"/>
  <c r="R459" i="6"/>
  <c r="F459" i="6"/>
  <c r="J459" i="6"/>
  <c r="S459" i="6"/>
  <c r="H459" i="6"/>
  <c r="K459" i="6"/>
  <c r="T459" i="6"/>
  <c r="U459" i="6"/>
  <c r="P459" i="6"/>
  <c r="Q459" i="6"/>
  <c r="D522" i="6"/>
  <c r="D540" i="6"/>
  <c r="E540" i="6"/>
  <c r="D295" i="6"/>
  <c r="L295" i="6"/>
  <c r="P295" i="6"/>
  <c r="O295" i="6"/>
  <c r="R295" i="6"/>
  <c r="T295" i="6"/>
  <c r="J295" i="6"/>
  <c r="M417" i="6"/>
  <c r="F359" i="6"/>
  <c r="D416" i="6"/>
  <c r="L224" i="6"/>
  <c r="I224" i="6"/>
  <c r="S224" i="6"/>
  <c r="O224" i="6"/>
  <c r="Q224" i="6"/>
  <c r="P224" i="6"/>
  <c r="N224" i="6"/>
  <c r="J224" i="6"/>
  <c r="H224" i="6"/>
  <c r="G224" i="6"/>
  <c r="F224" i="6"/>
  <c r="M224" i="6"/>
  <c r="K224" i="6"/>
  <c r="T224" i="6"/>
  <c r="U224" i="6"/>
  <c r="R224" i="6"/>
  <c r="D457" i="6"/>
  <c r="G457" i="6"/>
  <c r="O457" i="6"/>
  <c r="F457" i="6"/>
  <c r="L457" i="6"/>
  <c r="T457" i="6"/>
  <c r="H457" i="6"/>
  <c r="U457" i="6"/>
  <c r="Q457" i="6"/>
  <c r="D470" i="6"/>
  <c r="P470" i="6"/>
  <c r="G470" i="6"/>
  <c r="O470" i="6"/>
  <c r="U470" i="6"/>
  <c r="F470" i="6"/>
  <c r="K470" i="6"/>
  <c r="L470" i="6"/>
  <c r="H470" i="6"/>
  <c r="T470" i="6"/>
  <c r="E546" i="6"/>
  <c r="D546" i="6"/>
  <c r="D456" i="6"/>
  <c r="N456" i="6"/>
  <c r="H456" i="6"/>
  <c r="O456" i="6"/>
  <c r="Q456" i="6"/>
  <c r="M456" i="6"/>
  <c r="U456" i="6"/>
  <c r="L456" i="6"/>
  <c r="G456" i="6"/>
  <c r="D468" i="6"/>
  <c r="I468" i="6"/>
  <c r="F468" i="6"/>
  <c r="J468" i="6"/>
  <c r="S468" i="6"/>
  <c r="G468" i="6"/>
  <c r="M468" i="6"/>
  <c r="R163" i="6"/>
  <c r="R417" i="6"/>
  <c r="D432" i="6"/>
  <c r="O432" i="6"/>
  <c r="K432" i="6"/>
  <c r="P432" i="6"/>
  <c r="S432" i="6"/>
  <c r="U432" i="6"/>
  <c r="H432" i="6"/>
  <c r="R432" i="6"/>
  <c r="Q432" i="6"/>
  <c r="N432" i="6"/>
  <c r="G432" i="6"/>
  <c r="D474" i="6"/>
  <c r="S474" i="6"/>
  <c r="U474" i="6"/>
  <c r="F474" i="6"/>
  <c r="O474" i="6"/>
  <c r="R474" i="6"/>
  <c r="K474" i="6"/>
  <c r="M474" i="6"/>
  <c r="D529" i="6"/>
  <c r="D535" i="6"/>
  <c r="D332" i="6"/>
  <c r="R332" i="6"/>
  <c r="P332" i="6"/>
  <c r="N332" i="6"/>
  <c r="T332" i="6"/>
  <c r="G332" i="6"/>
  <c r="L332" i="6"/>
  <c r="J332" i="6"/>
  <c r="O332" i="6"/>
  <c r="I332" i="6"/>
  <c r="K332" i="6"/>
  <c r="D316" i="6"/>
  <c r="H316" i="6"/>
  <c r="M316" i="6"/>
  <c r="U316" i="6"/>
  <c r="P316" i="6"/>
  <c r="O316" i="6"/>
  <c r="I316" i="6"/>
  <c r="D366" i="6"/>
  <c r="N366" i="6"/>
  <c r="Q366" i="6"/>
  <c r="U366" i="6"/>
  <c r="J366" i="6"/>
  <c r="H366" i="6"/>
  <c r="O366" i="6"/>
  <c r="L212" i="6"/>
  <c r="J212" i="6"/>
  <c r="U212" i="6"/>
  <c r="H212" i="6"/>
  <c r="G212" i="6"/>
  <c r="F212" i="6"/>
  <c r="T212" i="6"/>
  <c r="S212" i="6"/>
  <c r="R212" i="6"/>
  <c r="Q212" i="6"/>
  <c r="N212" i="6"/>
  <c r="K212" i="6"/>
  <c r="M212" i="6"/>
  <c r="P212" i="6"/>
  <c r="O212" i="6"/>
  <c r="I212" i="6"/>
  <c r="U353" i="6"/>
  <c r="M322" i="6"/>
  <c r="L208" i="6"/>
  <c r="H208" i="6"/>
  <c r="G208" i="6"/>
  <c r="F208" i="6"/>
  <c r="U208" i="6"/>
  <c r="S208" i="6"/>
  <c r="O208" i="6"/>
  <c r="N208" i="6"/>
  <c r="M208" i="6"/>
  <c r="R208" i="6"/>
  <c r="Q208" i="6"/>
  <c r="P208" i="6"/>
  <c r="I208" i="6"/>
  <c r="T208" i="6"/>
  <c r="I417" i="6"/>
  <c r="D422" i="6"/>
  <c r="G422" i="6"/>
  <c r="Q422" i="6"/>
  <c r="R422" i="6"/>
  <c r="I422" i="6"/>
  <c r="P422" i="6"/>
  <c r="H422" i="6"/>
  <c r="L422" i="6"/>
  <c r="M432" i="6"/>
  <c r="F422" i="6"/>
  <c r="E249" i="6"/>
  <c r="D249" i="6"/>
  <c r="Q474" i="6"/>
  <c r="O459" i="6"/>
  <c r="R470" i="6"/>
  <c r="M471" i="6"/>
  <c r="O458" i="6"/>
  <c r="T465" i="6"/>
  <c r="D528" i="6"/>
  <c r="D543" i="6"/>
  <c r="E543" i="6"/>
  <c r="E536" i="6"/>
  <c r="D536" i="6"/>
  <c r="D337" i="6"/>
  <c r="P337" i="6"/>
  <c r="G337" i="6"/>
  <c r="R337" i="6"/>
  <c r="M337" i="6"/>
  <c r="Q337" i="6"/>
  <c r="K337" i="6"/>
  <c r="L337" i="6"/>
  <c r="N337" i="6"/>
  <c r="M366" i="6"/>
  <c r="R399" i="6"/>
  <c r="M399" i="6"/>
  <c r="F366" i="6"/>
  <c r="L322" i="6"/>
  <c r="D421" i="6"/>
  <c r="P421" i="6"/>
  <c r="O421" i="6"/>
  <c r="R421" i="6"/>
  <c r="L421" i="6"/>
  <c r="J421" i="6"/>
  <c r="H421" i="6"/>
  <c r="G417" i="6"/>
  <c r="J417" i="6"/>
  <c r="I144" i="6"/>
  <c r="J297" i="6"/>
  <c r="R115" i="6"/>
  <c r="F296" i="6"/>
  <c r="D313" i="6"/>
  <c r="F313" i="6"/>
  <c r="M313" i="6"/>
  <c r="P313" i="6"/>
  <c r="P409" i="6"/>
  <c r="R353" i="6"/>
  <c r="D397" i="6"/>
  <c r="I366" i="6"/>
  <c r="J360" i="6"/>
  <c r="K316" i="6"/>
  <c r="J204" i="6"/>
  <c r="O204" i="6"/>
  <c r="D472" i="6"/>
  <c r="N472" i="6"/>
  <c r="T472" i="6"/>
  <c r="H472" i="6"/>
  <c r="L472" i="6"/>
  <c r="U472" i="6"/>
  <c r="S472" i="6"/>
  <c r="M472" i="6"/>
  <c r="K472" i="6"/>
  <c r="M459" i="6"/>
  <c r="L474" i="6"/>
  <c r="Q405" i="6"/>
  <c r="G322" i="6"/>
  <c r="G359" i="6"/>
  <c r="L366" i="6"/>
  <c r="D356" i="6"/>
  <c r="Q356" i="6"/>
  <c r="H356" i="6"/>
  <c r="O356" i="6"/>
  <c r="L356" i="6"/>
  <c r="G353" i="6"/>
  <c r="D320" i="6"/>
  <c r="F320" i="6"/>
  <c r="O320" i="6"/>
  <c r="L320" i="6"/>
  <c r="M320" i="6"/>
  <c r="K320" i="6"/>
  <c r="D327" i="6"/>
  <c r="F327" i="6"/>
  <c r="S327" i="6"/>
  <c r="I327" i="6"/>
  <c r="K327" i="6"/>
  <c r="M327" i="6"/>
  <c r="Q327" i="6"/>
  <c r="H327" i="6"/>
  <c r="P327" i="6"/>
  <c r="U421" i="6"/>
  <c r="Q424" i="6"/>
  <c r="L432" i="6"/>
  <c r="I418" i="6"/>
  <c r="J422" i="6"/>
  <c r="P424" i="6"/>
  <c r="E256" i="6"/>
  <c r="D256" i="6"/>
  <c r="O454" i="6"/>
  <c r="D263" i="6"/>
  <c r="E263" i="6"/>
  <c r="J474" i="6"/>
  <c r="G472" i="6"/>
  <c r="K456" i="6"/>
  <c r="Q468" i="6"/>
  <c r="D296" i="6"/>
  <c r="R296" i="6"/>
  <c r="T296" i="6"/>
  <c r="I296" i="6"/>
  <c r="J296" i="6"/>
  <c r="P296" i="6"/>
  <c r="M296" i="6"/>
  <c r="P297" i="6"/>
  <c r="D301" i="6"/>
  <c r="T301" i="6"/>
  <c r="G301" i="6"/>
  <c r="P301" i="6"/>
  <c r="L301" i="6"/>
  <c r="R301" i="6"/>
  <c r="I301" i="6"/>
  <c r="H301" i="6"/>
  <c r="K301" i="6"/>
  <c r="G106" i="6"/>
  <c r="E203" i="6"/>
  <c r="D203" i="6"/>
  <c r="L316" i="6"/>
  <c r="N399" i="6"/>
  <c r="S399" i="6"/>
  <c r="L459" i="6"/>
  <c r="T474" i="6"/>
  <c r="U468" i="6"/>
  <c r="I474" i="6"/>
  <c r="E547" i="6"/>
  <c r="D547" i="6"/>
  <c r="D521" i="6"/>
  <c r="M301" i="6"/>
  <c r="R356" i="6"/>
  <c r="Q353" i="6"/>
  <c r="D357" i="6"/>
  <c r="P357" i="6"/>
  <c r="N357" i="6"/>
  <c r="J352" i="6"/>
  <c r="R326" i="6"/>
  <c r="P322" i="6"/>
  <c r="G158" i="6"/>
  <c r="G126" i="6"/>
  <c r="G110" i="6"/>
  <c r="D261" i="6"/>
  <c r="E261" i="6"/>
  <c r="Q465" i="6"/>
  <c r="R472" i="6"/>
  <c r="D395" i="6"/>
  <c r="H360" i="6"/>
  <c r="L353" i="6"/>
  <c r="D354" i="6"/>
  <c r="K354" i="6"/>
  <c r="N354" i="6"/>
  <c r="H354" i="6"/>
  <c r="I354" i="6"/>
  <c r="L354" i="6"/>
  <c r="D309" i="6"/>
  <c r="J309" i="6"/>
  <c r="R309" i="6"/>
  <c r="H309" i="6"/>
  <c r="O309" i="6"/>
  <c r="T421" i="6"/>
  <c r="N457" i="6"/>
  <c r="S405" i="6"/>
  <c r="F400" i="6"/>
  <c r="J399" i="6"/>
  <c r="I357" i="6"/>
  <c r="P352" i="6"/>
  <c r="D367" i="6"/>
  <c r="N367" i="6"/>
  <c r="U367" i="6"/>
  <c r="Q367" i="6"/>
  <c r="H367" i="6"/>
  <c r="S367" i="6"/>
  <c r="G367" i="6"/>
  <c r="L367" i="6"/>
  <c r="M350" i="6"/>
  <c r="G352" i="6"/>
  <c r="M354" i="6"/>
  <c r="R357" i="6"/>
  <c r="T354" i="6"/>
  <c r="H326" i="6"/>
  <c r="T309" i="6"/>
  <c r="H320" i="6"/>
  <c r="P326" i="6"/>
  <c r="Q322" i="6"/>
  <c r="K417" i="6"/>
  <c r="D429" i="6"/>
  <c r="F429" i="6"/>
  <c r="N429" i="6"/>
  <c r="G429" i="6"/>
  <c r="L429" i="6"/>
  <c r="R429" i="6"/>
  <c r="Q429" i="6"/>
  <c r="H417" i="6"/>
  <c r="G427" i="6"/>
  <c r="G465" i="6"/>
  <c r="H471" i="6"/>
  <c r="E265" i="6"/>
  <c r="D265" i="6"/>
  <c r="Q470" i="6"/>
  <c r="J454" i="6"/>
  <c r="K313" i="6"/>
  <c r="N417" i="6"/>
  <c r="M405" i="6"/>
  <c r="D360" i="6"/>
  <c r="I360" i="6"/>
  <c r="L360" i="6"/>
  <c r="K360" i="6"/>
  <c r="T360" i="6"/>
  <c r="D355" i="6"/>
  <c r="I355" i="6"/>
  <c r="R355" i="6"/>
  <c r="K355" i="6"/>
  <c r="H352" i="6"/>
  <c r="Q355" i="6"/>
  <c r="O355" i="6"/>
  <c r="G105" i="6"/>
  <c r="G153" i="6"/>
  <c r="G121" i="6"/>
  <c r="G137" i="6"/>
  <c r="H313" i="6"/>
  <c r="D319" i="6"/>
  <c r="T319" i="6"/>
  <c r="H319" i="6"/>
  <c r="G319" i="6"/>
  <c r="R319" i="6"/>
  <c r="I319" i="6"/>
  <c r="L319" i="6"/>
  <c r="Q319" i="6"/>
  <c r="E174" i="6"/>
  <c r="D174" i="6"/>
  <c r="D220" i="6"/>
  <c r="E220" i="6"/>
  <c r="F432" i="6"/>
  <c r="I432" i="6"/>
  <c r="G142" i="6"/>
  <c r="S421" i="6"/>
  <c r="F421" i="6"/>
  <c r="D428" i="6"/>
  <c r="I428" i="6"/>
  <c r="R428" i="6"/>
  <c r="H428" i="6"/>
  <c r="U428" i="6"/>
  <c r="K428" i="6"/>
  <c r="G428" i="6"/>
  <c r="N428" i="6"/>
  <c r="H112" i="6"/>
  <c r="R456" i="6"/>
  <c r="O468" i="6"/>
  <c r="H468" i="6"/>
  <c r="O472" i="6"/>
  <c r="K465" i="6"/>
  <c r="K295" i="6"/>
  <c r="D322" i="6"/>
  <c r="J322" i="6"/>
  <c r="H322" i="6"/>
  <c r="U322" i="6"/>
  <c r="O322" i="6"/>
  <c r="K322" i="6"/>
  <c r="I155" i="6"/>
  <c r="I139" i="6"/>
  <c r="I123" i="6"/>
  <c r="D352" i="6"/>
  <c r="T352" i="6"/>
  <c r="I352" i="6"/>
  <c r="O352" i="6"/>
  <c r="L352" i="6"/>
  <c r="R352" i="6"/>
  <c r="S322" i="6"/>
  <c r="N409" i="6"/>
  <c r="D399" i="6"/>
  <c r="F399" i="6"/>
  <c r="Q399" i="6"/>
  <c r="I399" i="6"/>
  <c r="T399" i="6"/>
  <c r="H399" i="6"/>
  <c r="O399" i="6"/>
  <c r="O357" i="6"/>
  <c r="D350" i="6"/>
  <c r="G350" i="6"/>
  <c r="T350" i="6"/>
  <c r="R350" i="6"/>
  <c r="K350" i="6"/>
  <c r="J350" i="6"/>
  <c r="J357" i="6"/>
  <c r="R316" i="6"/>
  <c r="G309" i="6"/>
  <c r="E216" i="6"/>
  <c r="D216" i="6"/>
  <c r="H142" i="6"/>
  <c r="H110" i="6"/>
  <c r="H158" i="6"/>
  <c r="H126" i="6"/>
  <c r="I110" i="6"/>
  <c r="I142" i="6"/>
  <c r="I158" i="6"/>
  <c r="N422" i="6"/>
  <c r="G421" i="6"/>
  <c r="S422" i="6"/>
  <c r="D424" i="6"/>
  <c r="S424" i="6"/>
  <c r="N424" i="6"/>
  <c r="U424" i="6"/>
  <c r="F424" i="6"/>
  <c r="L424" i="6"/>
  <c r="O428" i="6"/>
  <c r="T428" i="6"/>
  <c r="D218" i="6"/>
  <c r="E218" i="6"/>
  <c r="N459" i="6"/>
  <c r="G454" i="6"/>
  <c r="J456" i="6"/>
  <c r="N454" i="6"/>
  <c r="P457" i="6"/>
  <c r="H465" i="6"/>
  <c r="P456" i="6"/>
  <c r="D300" i="6"/>
  <c r="T300" i="6"/>
  <c r="S300" i="6"/>
  <c r="K300" i="6"/>
  <c r="H300" i="6"/>
  <c r="J300" i="6"/>
  <c r="M300" i="6"/>
  <c r="O300" i="6"/>
  <c r="L300" i="6"/>
  <c r="R300" i="6"/>
  <c r="M295" i="6"/>
  <c r="K429" i="6"/>
  <c r="D353" i="6"/>
  <c r="H353" i="6"/>
  <c r="J353" i="6"/>
  <c r="O353" i="6"/>
  <c r="N353" i="6"/>
  <c r="P353" i="6"/>
  <c r="E227" i="6"/>
  <c r="D227" i="6"/>
  <c r="S409" i="6"/>
  <c r="M355" i="6"/>
  <c r="K357" i="6"/>
  <c r="R313" i="6"/>
  <c r="O422" i="6"/>
  <c r="T417" i="6"/>
  <c r="D298" i="6"/>
  <c r="P298" i="6"/>
  <c r="I298" i="6"/>
  <c r="J298" i="6"/>
  <c r="T298" i="6"/>
  <c r="G298" i="6"/>
  <c r="H298" i="6"/>
  <c r="L298" i="6"/>
  <c r="K298" i="6"/>
  <c r="T60" i="6"/>
  <c r="K60" i="6"/>
  <c r="M60" i="6"/>
  <c r="N60" i="6"/>
  <c r="L355" i="6"/>
  <c r="T366" i="6"/>
  <c r="M360" i="6"/>
  <c r="F322" i="6"/>
  <c r="D326" i="6"/>
  <c r="I326" i="6"/>
  <c r="O326" i="6"/>
  <c r="L326" i="6"/>
  <c r="K326" i="6"/>
  <c r="G326" i="6"/>
  <c r="Q326" i="6"/>
  <c r="S326" i="6"/>
  <c r="M326" i="6"/>
  <c r="F326" i="6"/>
  <c r="U326" i="6"/>
  <c r="D226" i="6"/>
  <c r="E226" i="6"/>
  <c r="P417" i="6"/>
  <c r="H128" i="6"/>
  <c r="H144" i="6"/>
  <c r="U405" i="6"/>
  <c r="P399" i="6"/>
  <c r="H405" i="6"/>
  <c r="K353" i="6"/>
  <c r="D359" i="6"/>
  <c r="H359" i="6"/>
  <c r="P359" i="6"/>
  <c r="N359" i="6"/>
  <c r="I359" i="6"/>
  <c r="T359" i="6"/>
  <c r="D364" i="6"/>
  <c r="N364" i="6"/>
  <c r="T364" i="6"/>
  <c r="F364" i="6"/>
  <c r="G364" i="6"/>
  <c r="H364" i="6"/>
  <c r="M364" i="6"/>
  <c r="K364" i="6"/>
  <c r="J319" i="6"/>
  <c r="T214" i="6"/>
  <c r="R214" i="6"/>
  <c r="U214" i="6"/>
  <c r="J214" i="6"/>
  <c r="I214" i="6"/>
  <c r="H214" i="6"/>
  <c r="P214" i="6"/>
  <c r="O214" i="6"/>
  <c r="N214" i="6"/>
  <c r="M214" i="6"/>
  <c r="S214" i="6"/>
  <c r="Q214" i="6"/>
  <c r="L214" i="6"/>
  <c r="K214" i="6"/>
  <c r="G214" i="6"/>
  <c r="F214" i="6"/>
  <c r="D418" i="6"/>
  <c r="K418" i="6"/>
  <c r="R418" i="6"/>
  <c r="S418" i="6"/>
  <c r="N418" i="6"/>
  <c r="H418" i="6"/>
  <c r="P418" i="6"/>
  <c r="O418" i="6"/>
  <c r="M418" i="6"/>
  <c r="T418" i="6"/>
  <c r="D419" i="6"/>
  <c r="L419" i="6"/>
  <c r="N419" i="6"/>
  <c r="J419" i="6"/>
  <c r="O419" i="6"/>
  <c r="S419" i="6"/>
  <c r="I419" i="6"/>
  <c r="M419" i="6"/>
  <c r="G419" i="6"/>
  <c r="Q419" i="6"/>
  <c r="K419" i="6"/>
  <c r="R419" i="6"/>
  <c r="S428" i="6"/>
  <c r="T468" i="6"/>
  <c r="I459" i="6"/>
  <c r="J472" i="6"/>
  <c r="D471" i="6"/>
  <c r="G471" i="6"/>
  <c r="P471" i="6"/>
  <c r="R471" i="6"/>
  <c r="U471" i="6"/>
  <c r="N471" i="6"/>
  <c r="F471" i="6"/>
  <c r="K471" i="6"/>
  <c r="L471" i="6"/>
  <c r="G459" i="6"/>
  <c r="T190" i="6"/>
  <c r="G190" i="6"/>
  <c r="H190" i="6"/>
  <c r="O190" i="6"/>
  <c r="P190" i="6"/>
  <c r="N190" i="6"/>
  <c r="J190" i="6"/>
  <c r="U190" i="6"/>
  <c r="S190" i="6"/>
  <c r="M190" i="6"/>
  <c r="R190" i="6"/>
  <c r="Q190" i="6"/>
  <c r="L190" i="6"/>
  <c r="K190" i="6"/>
  <c r="F190" i="6"/>
  <c r="I190" i="6"/>
  <c r="U115" i="6"/>
  <c r="D303" i="6"/>
  <c r="K303" i="6"/>
  <c r="F303" i="6"/>
  <c r="L303" i="6"/>
  <c r="P303" i="6"/>
  <c r="H303" i="6"/>
  <c r="O303" i="6"/>
  <c r="T303" i="6"/>
  <c r="D297" i="6"/>
  <c r="R297" i="6"/>
  <c r="L297" i="6"/>
  <c r="I297" i="6"/>
  <c r="K297" i="6"/>
  <c r="O297" i="6"/>
  <c r="G297" i="6"/>
  <c r="N297" i="6"/>
  <c r="M297" i="6"/>
  <c r="D344" i="6"/>
  <c r="R344" i="6"/>
  <c r="L344" i="6"/>
  <c r="S344" i="6"/>
  <c r="U344" i="6"/>
  <c r="M344" i="6"/>
  <c r="T344" i="6"/>
  <c r="Q344" i="6"/>
  <c r="H344" i="6"/>
  <c r="N344" i="6"/>
  <c r="J344" i="6"/>
  <c r="P344" i="6"/>
  <c r="G344" i="6"/>
  <c r="I344" i="6"/>
  <c r="O344" i="6"/>
  <c r="K344" i="6"/>
  <c r="P366" i="6"/>
  <c r="D465" i="6"/>
  <c r="F465" i="6"/>
  <c r="O465" i="6"/>
  <c r="S465" i="6"/>
  <c r="I465" i="6"/>
  <c r="N465" i="6"/>
  <c r="P465" i="6"/>
  <c r="U465" i="6"/>
  <c r="D454" i="6"/>
  <c r="P454" i="6"/>
  <c r="K454" i="6"/>
  <c r="M454" i="6"/>
  <c r="R454" i="6"/>
  <c r="L454" i="6"/>
  <c r="T454" i="6"/>
  <c r="H454" i="6"/>
  <c r="H155" i="6"/>
  <c r="H107" i="6"/>
  <c r="H139" i="6"/>
  <c r="N360" i="6"/>
  <c r="P360" i="6"/>
  <c r="O354" i="6"/>
  <c r="U364" i="6"/>
  <c r="N322" i="6"/>
  <c r="D321" i="6"/>
  <c r="J321" i="6"/>
  <c r="N321" i="6"/>
  <c r="H321" i="6"/>
  <c r="M321" i="6"/>
  <c r="I321" i="6"/>
  <c r="R321" i="6"/>
  <c r="P309" i="6"/>
  <c r="J327" i="6"/>
  <c r="D223" i="6"/>
  <c r="E223" i="6"/>
  <c r="D426" i="6"/>
  <c r="S426" i="6"/>
  <c r="M426" i="6"/>
  <c r="Q426" i="6"/>
  <c r="F426" i="6"/>
  <c r="H426" i="6"/>
  <c r="O426" i="6"/>
  <c r="T426" i="6"/>
  <c r="J426" i="6"/>
  <c r="S429" i="6"/>
  <c r="D248" i="6"/>
  <c r="E248" i="6"/>
  <c r="D258" i="6"/>
  <c r="E258" i="6"/>
  <c r="F472" i="6"/>
  <c r="I470" i="6"/>
  <c r="M465" i="6"/>
  <c r="G474" i="6"/>
  <c r="N301" i="6"/>
  <c r="T297" i="6"/>
  <c r="D409" i="6"/>
  <c r="H409" i="6"/>
  <c r="G409" i="6"/>
  <c r="T409" i="6"/>
  <c r="O409" i="6"/>
  <c r="Q409" i="6"/>
  <c r="M409" i="6"/>
  <c r="L409" i="6"/>
  <c r="F409" i="6"/>
  <c r="K409" i="6"/>
  <c r="D405" i="6"/>
  <c r="L405" i="6"/>
  <c r="K405" i="6"/>
  <c r="N405" i="6"/>
  <c r="J405" i="6"/>
  <c r="I405" i="6"/>
  <c r="G405" i="6"/>
  <c r="R405" i="6"/>
  <c r="L399" i="6"/>
  <c r="J157" i="6"/>
  <c r="J141" i="6"/>
  <c r="J125" i="6"/>
  <c r="J109" i="6"/>
  <c r="J409" i="6"/>
  <c r="D400" i="6"/>
  <c r="O400" i="6"/>
  <c r="I400" i="6"/>
  <c r="M400" i="6"/>
  <c r="G400" i="6"/>
  <c r="R400" i="6"/>
  <c r="U400" i="6"/>
  <c r="K400" i="6"/>
  <c r="L400" i="6"/>
  <c r="J400" i="6"/>
  <c r="Q400" i="6"/>
  <c r="P400" i="6"/>
  <c r="O405" i="6"/>
  <c r="D408" i="6"/>
  <c r="G408" i="6"/>
  <c r="H408" i="6"/>
  <c r="I408" i="6"/>
  <c r="L408" i="6"/>
  <c r="Q408" i="6"/>
  <c r="U408" i="6"/>
  <c r="S408" i="6"/>
  <c r="R408" i="6"/>
  <c r="M408" i="6"/>
  <c r="P408" i="6"/>
  <c r="F405" i="6"/>
  <c r="T408" i="6"/>
  <c r="H153" i="6"/>
  <c r="H137" i="6"/>
  <c r="H121" i="6"/>
  <c r="K352" i="6"/>
  <c r="R360" i="6"/>
  <c r="R322" i="6"/>
  <c r="L313" i="6"/>
  <c r="I313" i="6"/>
  <c r="J313" i="6"/>
  <c r="D368" i="6"/>
  <c r="M368" i="6"/>
  <c r="G368" i="6"/>
  <c r="P368" i="6"/>
  <c r="Q368" i="6"/>
  <c r="O368" i="6"/>
  <c r="K368" i="6"/>
  <c r="F368" i="6"/>
  <c r="R368" i="6"/>
  <c r="I368" i="6"/>
  <c r="M421" i="6"/>
  <c r="U422" i="6"/>
  <c r="T432" i="6"/>
  <c r="F419" i="6"/>
  <c r="J428" i="6"/>
  <c r="M422" i="6"/>
  <c r="D412" i="6"/>
  <c r="R468" i="6"/>
  <c r="D262" i="6"/>
  <c r="E262" i="6"/>
  <c r="H474" i="6"/>
  <c r="I454" i="6"/>
  <c r="L468" i="6"/>
  <c r="J457" i="6"/>
  <c r="D291" i="6"/>
  <c r="Q291" i="6"/>
  <c r="L291" i="6"/>
  <c r="H291" i="6"/>
  <c r="N291" i="6"/>
  <c r="F291" i="6"/>
  <c r="O291" i="6"/>
  <c r="M303" i="6"/>
  <c r="J432" i="6"/>
  <c r="D427" i="6"/>
  <c r="M427" i="6"/>
  <c r="I427" i="6"/>
  <c r="J427" i="6"/>
  <c r="T427" i="6"/>
  <c r="K427" i="6"/>
  <c r="E251" i="6"/>
  <c r="D251" i="6"/>
  <c r="P468" i="6"/>
  <c r="J465" i="6"/>
  <c r="D458" i="6"/>
  <c r="S458" i="6"/>
  <c r="F458" i="6"/>
  <c r="K458" i="6"/>
  <c r="L458" i="6"/>
  <c r="J458" i="6"/>
  <c r="U458" i="6"/>
  <c r="H458" i="6"/>
  <c r="D530" i="6"/>
  <c r="D531" i="6"/>
  <c r="H225" i="6"/>
  <c r="F225" i="6"/>
  <c r="Q225" i="6"/>
  <c r="N225" i="6"/>
  <c r="R225" i="6"/>
  <c r="P225" i="6"/>
  <c r="O225" i="6"/>
  <c r="K225" i="6"/>
  <c r="T225" i="6"/>
  <c r="S225" i="6"/>
  <c r="M225" i="6"/>
  <c r="L225" i="6"/>
  <c r="U225" i="6"/>
  <c r="J225" i="6"/>
  <c r="I225" i="6"/>
  <c r="G225" i="6"/>
  <c r="K291" i="6"/>
  <c r="H296" i="6"/>
  <c r="R303" i="6"/>
  <c r="T322" i="6"/>
  <c r="E253" i="6"/>
  <c r="D253" i="6"/>
  <c r="D264" i="6"/>
  <c r="E264" i="6"/>
  <c r="D519" i="6"/>
  <c r="D544" i="6"/>
  <c r="E544" i="6"/>
  <c r="P147" i="6"/>
  <c r="P288" i="6"/>
  <c r="U147" i="6"/>
  <c r="O290" i="6"/>
  <c r="I287" i="6"/>
  <c r="N288" i="6"/>
  <c r="D293" i="6"/>
  <c r="R293" i="6"/>
  <c r="I293" i="6"/>
  <c r="T230" i="6"/>
  <c r="I230" i="6"/>
  <c r="H230" i="6"/>
  <c r="L230" i="6"/>
  <c r="U230" i="6"/>
  <c r="S230" i="6"/>
  <c r="R230" i="6"/>
  <c r="O230" i="6"/>
  <c r="N230" i="6"/>
  <c r="M230" i="6"/>
  <c r="J230" i="6"/>
  <c r="G230" i="6"/>
  <c r="F230" i="6"/>
  <c r="Q230" i="6"/>
  <c r="K230" i="6"/>
  <c r="P230" i="6"/>
  <c r="P255" i="6"/>
  <c r="U255" i="6"/>
  <c r="K255" i="6"/>
  <c r="R255" i="6"/>
  <c r="Q255" i="6"/>
  <c r="N255" i="6"/>
  <c r="M255" i="6"/>
  <c r="L255" i="6"/>
  <c r="O255" i="6"/>
  <c r="T255" i="6"/>
  <c r="S255" i="6"/>
  <c r="J255" i="6"/>
  <c r="I255" i="6"/>
  <c r="H255" i="6"/>
  <c r="G255" i="6"/>
  <c r="F255" i="6"/>
  <c r="R323" i="6"/>
  <c r="J328" i="6"/>
  <c r="H338" i="6"/>
  <c r="D438" i="6"/>
  <c r="K438" i="6"/>
  <c r="I438" i="6"/>
  <c r="T438" i="6"/>
  <c r="P438" i="6"/>
  <c r="U438" i="6"/>
  <c r="G438" i="6"/>
  <c r="J438" i="6"/>
  <c r="F438" i="6"/>
  <c r="Q438" i="6"/>
  <c r="N438" i="6"/>
  <c r="O438" i="6"/>
  <c r="H438" i="6"/>
  <c r="M438" i="6"/>
  <c r="R438" i="6"/>
  <c r="L438" i="6"/>
  <c r="D437" i="6"/>
  <c r="F437" i="6"/>
  <c r="S437" i="6"/>
  <c r="Q437" i="6"/>
  <c r="P437" i="6"/>
  <c r="G437" i="6"/>
  <c r="I437" i="6"/>
  <c r="R437" i="6"/>
  <c r="M437" i="6"/>
  <c r="H437" i="6"/>
  <c r="O437" i="6"/>
  <c r="M436" i="6"/>
  <c r="D517" i="6"/>
  <c r="D518" i="6"/>
  <c r="L286" i="6"/>
  <c r="F293" i="6"/>
  <c r="L287" i="6"/>
  <c r="J286" i="6"/>
  <c r="I292" i="6"/>
  <c r="N62" i="6"/>
  <c r="T210" i="6"/>
  <c r="P210" i="6"/>
  <c r="H210" i="6"/>
  <c r="I210" i="6"/>
  <c r="G210" i="6"/>
  <c r="F210" i="6"/>
  <c r="R210" i="6"/>
  <c r="Q210" i="6"/>
  <c r="O210" i="6"/>
  <c r="N210" i="6"/>
  <c r="S210" i="6"/>
  <c r="U210" i="6"/>
  <c r="M210" i="6"/>
  <c r="L210" i="6"/>
  <c r="K210" i="6"/>
  <c r="J210" i="6"/>
  <c r="U411" i="6"/>
  <c r="L351" i="6"/>
  <c r="U349" i="6"/>
  <c r="I329" i="6"/>
  <c r="O339" i="6"/>
  <c r="I338" i="6"/>
  <c r="D238" i="6"/>
  <c r="E238" i="6"/>
  <c r="H159" i="6"/>
  <c r="H143" i="6"/>
  <c r="H111" i="6"/>
  <c r="H127" i="6"/>
  <c r="K177" i="6"/>
  <c r="L177" i="6"/>
  <c r="F177" i="6"/>
  <c r="S177" i="6"/>
  <c r="G177" i="6"/>
  <c r="O177" i="6"/>
  <c r="N177" i="6"/>
  <c r="M177" i="6"/>
  <c r="J177" i="6"/>
  <c r="I177" i="6"/>
  <c r="H177" i="6"/>
  <c r="T177" i="6"/>
  <c r="R177" i="6"/>
  <c r="U177" i="6"/>
  <c r="Q177" i="6"/>
  <c r="P177" i="6"/>
  <c r="I466" i="6"/>
  <c r="D520" i="6"/>
  <c r="D533" i="6"/>
  <c r="Q115" i="6"/>
  <c r="Q147" i="6"/>
  <c r="D304" i="6"/>
  <c r="I304" i="6"/>
  <c r="S304" i="6"/>
  <c r="J293" i="6"/>
  <c r="D292" i="6"/>
  <c r="T292" i="6"/>
  <c r="L292" i="6"/>
  <c r="P292" i="6"/>
  <c r="K294" i="6"/>
  <c r="S306" i="6"/>
  <c r="F294" i="6"/>
  <c r="P59" i="6"/>
  <c r="P60" i="6"/>
  <c r="O61" i="6"/>
  <c r="F328" i="6"/>
  <c r="P330" i="6"/>
  <c r="M331" i="6"/>
  <c r="I331" i="6"/>
  <c r="K436" i="6"/>
  <c r="D523" i="6"/>
  <c r="D534" i="6"/>
  <c r="R59" i="6"/>
  <c r="G294" i="6"/>
  <c r="P294" i="6"/>
  <c r="H293" i="6"/>
  <c r="O286" i="6"/>
  <c r="O62" i="6"/>
  <c r="K62" i="6"/>
  <c r="O184" i="6"/>
  <c r="H184" i="6"/>
  <c r="G184" i="6"/>
  <c r="S184" i="6"/>
  <c r="R184" i="6"/>
  <c r="M184" i="6"/>
  <c r="F184" i="6"/>
  <c r="U184" i="6"/>
  <c r="P184" i="6"/>
  <c r="T184" i="6"/>
  <c r="Q184" i="6"/>
  <c r="N184" i="6"/>
  <c r="L184" i="6"/>
  <c r="K184" i="6"/>
  <c r="J184" i="6"/>
  <c r="I184" i="6"/>
  <c r="L338" i="6"/>
  <c r="Q330" i="6"/>
  <c r="D39" i="6"/>
  <c r="G397" i="6" s="1"/>
  <c r="D17" i="3"/>
  <c r="E17" i="3" s="1"/>
  <c r="F125" i="6"/>
  <c r="E213" i="6"/>
  <c r="F141" i="6"/>
  <c r="E207" i="6"/>
  <c r="E211" i="6"/>
  <c r="F109" i="6"/>
  <c r="D447" i="6"/>
  <c r="H447" i="6"/>
  <c r="I447" i="6"/>
  <c r="R447" i="6"/>
  <c r="L447" i="6"/>
  <c r="J447" i="6"/>
  <c r="M447" i="6"/>
  <c r="T447" i="6"/>
  <c r="S447" i="6"/>
  <c r="O447" i="6"/>
  <c r="U447" i="6"/>
  <c r="P447" i="6"/>
  <c r="E233" i="6"/>
  <c r="D233" i="6"/>
  <c r="N447" i="6"/>
  <c r="O60" i="6"/>
  <c r="O68" i="6"/>
  <c r="D328" i="6"/>
  <c r="L328" i="6"/>
  <c r="P328" i="6"/>
  <c r="M328" i="6"/>
  <c r="O328" i="6"/>
  <c r="D331" i="6"/>
  <c r="R331" i="6"/>
  <c r="J331" i="6"/>
  <c r="K331" i="6"/>
  <c r="G328" i="6"/>
  <c r="G127" i="6"/>
  <c r="G111" i="6"/>
  <c r="G143" i="6"/>
  <c r="N43" i="2"/>
  <c r="O43" i="2"/>
  <c r="M43" i="2"/>
  <c r="J43" i="2"/>
  <c r="L43" i="2"/>
  <c r="D404" i="6"/>
  <c r="S404" i="6"/>
  <c r="R404" i="6"/>
  <c r="K404" i="6"/>
  <c r="Q404" i="6"/>
  <c r="D365" i="6"/>
  <c r="K365" i="6"/>
  <c r="O310" i="6"/>
  <c r="D250" i="6"/>
  <c r="E250" i="6"/>
  <c r="D254" i="6"/>
  <c r="E254" i="6"/>
  <c r="I463" i="6"/>
  <c r="K464" i="6"/>
  <c r="G466" i="6"/>
  <c r="S466" i="6"/>
  <c r="P463" i="6"/>
  <c r="H463" i="6"/>
  <c r="E539" i="6"/>
  <c r="D539" i="6"/>
  <c r="D526" i="6"/>
  <c r="R131" i="6"/>
  <c r="S163" i="6"/>
  <c r="O299" i="6"/>
  <c r="T304" i="6"/>
  <c r="E171" i="6"/>
  <c r="D171" i="6"/>
  <c r="H304" i="6"/>
  <c r="O304" i="6"/>
  <c r="L396" i="6"/>
  <c r="R60" i="6"/>
  <c r="R62" i="6"/>
  <c r="R317" i="6"/>
  <c r="T349" i="6"/>
  <c r="D181" i="6"/>
  <c r="E181" i="6"/>
  <c r="D346" i="6"/>
  <c r="N346" i="6"/>
  <c r="K346" i="6"/>
  <c r="T346" i="6"/>
  <c r="G346" i="6"/>
  <c r="J346" i="6"/>
  <c r="P346" i="6"/>
  <c r="D336" i="6"/>
  <c r="M336" i="6"/>
  <c r="L336" i="6"/>
  <c r="G336" i="6"/>
  <c r="K336" i="6"/>
  <c r="N331" i="6"/>
  <c r="O335" i="6"/>
  <c r="D329" i="6"/>
  <c r="O329" i="6"/>
  <c r="T329" i="6"/>
  <c r="N329" i="6"/>
  <c r="L329" i="6"/>
  <c r="R329" i="6"/>
  <c r="H336" i="6"/>
  <c r="R436" i="6"/>
  <c r="D527" i="6"/>
  <c r="E542" i="6"/>
  <c r="D542" i="6"/>
  <c r="P215" i="6"/>
  <c r="S215" i="6"/>
  <c r="Q215" i="6"/>
  <c r="U215" i="6"/>
  <c r="J215" i="6"/>
  <c r="I215" i="6"/>
  <c r="H215" i="6"/>
  <c r="T215" i="6"/>
  <c r="R215" i="6"/>
  <c r="N215" i="6"/>
  <c r="M215" i="6"/>
  <c r="L215" i="6"/>
  <c r="K215" i="6"/>
  <c r="O215" i="6"/>
  <c r="G215" i="6"/>
  <c r="F215" i="6"/>
  <c r="D288" i="6"/>
  <c r="T288" i="6"/>
  <c r="O288" i="6"/>
  <c r="N59" i="6"/>
  <c r="B48" i="4"/>
  <c r="E48" i="4"/>
  <c r="C48" i="4"/>
  <c r="D48" i="4"/>
  <c r="L312" i="6"/>
  <c r="I404" i="6"/>
  <c r="H67" i="6"/>
  <c r="J329" i="6"/>
  <c r="J338" i="6"/>
  <c r="P338" i="6"/>
  <c r="D330" i="6"/>
  <c r="G330" i="6"/>
  <c r="N330" i="6"/>
  <c r="H330" i="6"/>
  <c r="T330" i="6"/>
  <c r="J330" i="6"/>
  <c r="O330" i="6"/>
  <c r="L330" i="6"/>
  <c r="J336" i="6"/>
  <c r="T437" i="6"/>
  <c r="U22" i="2"/>
  <c r="V22" i="2" s="1"/>
  <c r="W22" i="2"/>
  <c r="Q22" i="2"/>
  <c r="M98" i="6"/>
  <c r="K95" i="6"/>
  <c r="L96" i="6"/>
  <c r="K96" i="6"/>
  <c r="F91" i="6"/>
  <c r="I307" i="6"/>
  <c r="I318" i="6"/>
  <c r="H331" i="6"/>
  <c r="O340" i="6"/>
  <c r="Q24" i="2"/>
  <c r="T24" i="2" s="1"/>
  <c r="W24" i="2"/>
  <c r="U24" i="2"/>
  <c r="V24" i="2" s="1"/>
  <c r="H95" i="6"/>
  <c r="E237" i="6"/>
  <c r="D237" i="6"/>
  <c r="D333" i="6"/>
  <c r="J333" i="6"/>
  <c r="K333" i="6"/>
  <c r="I333" i="6"/>
  <c r="H333" i="6"/>
  <c r="T333" i="6"/>
  <c r="O333" i="6"/>
  <c r="P333" i="6"/>
  <c r="D179" i="6"/>
  <c r="E179" i="6"/>
  <c r="D436" i="6"/>
  <c r="Q436" i="6"/>
  <c r="H436" i="6"/>
  <c r="P436" i="6"/>
  <c r="T436" i="6"/>
  <c r="G436" i="6"/>
  <c r="D323" i="6"/>
  <c r="N323" i="6"/>
  <c r="S323" i="6"/>
  <c r="E175" i="6"/>
  <c r="D175" i="6"/>
  <c r="L323" i="6"/>
  <c r="O323" i="6"/>
  <c r="D325" i="6"/>
  <c r="T325" i="6"/>
  <c r="Q325" i="6"/>
  <c r="H325" i="6"/>
  <c r="U325" i="6"/>
  <c r="S325" i="6"/>
  <c r="R325" i="6"/>
  <c r="D430" i="6"/>
  <c r="T430" i="6"/>
  <c r="R430" i="6"/>
  <c r="E259" i="6"/>
  <c r="D259" i="6"/>
  <c r="J466" i="6"/>
  <c r="O466" i="6"/>
  <c r="D524" i="6"/>
  <c r="P163" i="6"/>
  <c r="L293" i="6"/>
  <c r="L365" i="6"/>
  <c r="F404" i="6"/>
  <c r="I349" i="6"/>
  <c r="D314" i="6"/>
  <c r="G314" i="6"/>
  <c r="L314" i="6"/>
  <c r="T314" i="6"/>
  <c r="S314" i="6"/>
  <c r="J325" i="6"/>
  <c r="D315" i="6"/>
  <c r="L315" i="6"/>
  <c r="O315" i="6"/>
  <c r="D423" i="6"/>
  <c r="M423" i="6"/>
  <c r="K423" i="6"/>
  <c r="J420" i="6"/>
  <c r="G431" i="6"/>
  <c r="N431" i="6"/>
  <c r="Q431" i="6"/>
  <c r="J464" i="6"/>
  <c r="F462" i="6"/>
  <c r="Q67" i="6"/>
  <c r="M467" i="6"/>
  <c r="D461" i="6"/>
  <c r="R461" i="6"/>
  <c r="K461" i="6"/>
  <c r="U473" i="6"/>
  <c r="H467" i="6"/>
  <c r="L467" i="6"/>
  <c r="K304" i="6"/>
  <c r="M292" i="6"/>
  <c r="D286" i="6"/>
  <c r="T286" i="6"/>
  <c r="M286" i="6"/>
  <c r="J306" i="6"/>
  <c r="F304" i="6"/>
  <c r="T306" i="6"/>
  <c r="J289" i="6"/>
  <c r="M288" i="6"/>
  <c r="R287" i="6"/>
  <c r="M302" i="6"/>
  <c r="F302" i="6"/>
  <c r="K302" i="6"/>
  <c r="O287" i="6"/>
  <c r="I302" i="6"/>
  <c r="N289" i="6"/>
  <c r="I60" i="6"/>
  <c r="H392" i="6"/>
  <c r="L60" i="6"/>
  <c r="U404" i="6"/>
  <c r="I67" i="6"/>
  <c r="G290" i="6"/>
  <c r="G331" i="6"/>
  <c r="D340" i="6"/>
  <c r="M340" i="6"/>
  <c r="P340" i="6"/>
  <c r="G340" i="6"/>
  <c r="J340" i="6"/>
  <c r="N340" i="6"/>
  <c r="I340" i="6"/>
  <c r="L340" i="6"/>
  <c r="F340" i="6"/>
  <c r="T340" i="6"/>
  <c r="J339" i="6"/>
  <c r="J341" i="6"/>
  <c r="S346" i="6"/>
  <c r="R335" i="6"/>
  <c r="P341" i="6"/>
  <c r="G159" i="6"/>
  <c r="D537" i="6"/>
  <c r="E537" i="6"/>
  <c r="O293" i="6"/>
  <c r="D306" i="6"/>
  <c r="M306" i="6"/>
  <c r="L306" i="6"/>
  <c r="K306" i="6"/>
  <c r="N306" i="6"/>
  <c r="L288" i="6"/>
  <c r="D411" i="6"/>
  <c r="R411" i="6"/>
  <c r="G155" i="6"/>
  <c r="I411" i="6"/>
  <c r="D406" i="6"/>
  <c r="N406" i="6"/>
  <c r="S406" i="6"/>
  <c r="G139" i="6"/>
  <c r="D361" i="6"/>
  <c r="S361" i="6"/>
  <c r="R361" i="6"/>
  <c r="Q361" i="6"/>
  <c r="P361" i="6"/>
  <c r="M361" i="6"/>
  <c r="L361" i="6"/>
  <c r="K349" i="6"/>
  <c r="O349" i="6"/>
  <c r="E541" i="6"/>
  <c r="D541" i="6"/>
  <c r="D532" i="6"/>
  <c r="U304" i="6"/>
  <c r="Q306" i="6"/>
  <c r="R306" i="6"/>
  <c r="H290" i="6"/>
  <c r="J290" i="6"/>
  <c r="K98" i="6"/>
  <c r="G325" i="6"/>
  <c r="I62" i="6"/>
  <c r="P430" i="6"/>
  <c r="O188" i="6"/>
  <c r="M188" i="6"/>
  <c r="S188" i="6"/>
  <c r="Q188" i="6"/>
  <c r="P188" i="6"/>
  <c r="J188" i="6"/>
  <c r="U188" i="6"/>
  <c r="T188" i="6"/>
  <c r="I188" i="6"/>
  <c r="H188" i="6"/>
  <c r="G188" i="6"/>
  <c r="F188" i="6"/>
  <c r="R188" i="6"/>
  <c r="N188" i="6"/>
  <c r="L188" i="6"/>
  <c r="K188" i="6"/>
  <c r="P62" i="6"/>
  <c r="T323" i="6"/>
  <c r="H411" i="6"/>
  <c r="I407" i="6"/>
  <c r="D345" i="6"/>
  <c r="M345" i="6"/>
  <c r="U345" i="6"/>
  <c r="R345" i="6"/>
  <c r="K345" i="6"/>
  <c r="O345" i="6"/>
  <c r="L345" i="6"/>
  <c r="S345" i="6"/>
  <c r="U341" i="6"/>
  <c r="D334" i="6"/>
  <c r="L334" i="6"/>
  <c r="U334" i="6"/>
  <c r="R334" i="6"/>
  <c r="O334" i="6"/>
  <c r="K334" i="6"/>
  <c r="M334" i="6"/>
  <c r="Q345" i="6"/>
  <c r="F93" i="6"/>
  <c r="O436" i="6"/>
  <c r="D452" i="6"/>
  <c r="U452" i="6"/>
  <c r="T452" i="6"/>
  <c r="O452" i="6"/>
  <c r="Q452" i="6"/>
  <c r="I452" i="6"/>
  <c r="S452" i="6"/>
  <c r="R452" i="6"/>
  <c r="L452" i="6"/>
  <c r="K452" i="6"/>
  <c r="J452" i="6"/>
  <c r="F452" i="6"/>
  <c r="H452" i="6"/>
  <c r="D446" i="6"/>
  <c r="N446" i="6"/>
  <c r="I446" i="6"/>
  <c r="U446" i="6"/>
  <c r="M446" i="6"/>
  <c r="S446" i="6"/>
  <c r="J446" i="6"/>
  <c r="R446" i="6"/>
  <c r="H446" i="6"/>
  <c r="G446" i="6"/>
  <c r="Q446" i="6"/>
  <c r="O446" i="6"/>
  <c r="L446" i="6"/>
  <c r="F446" i="6"/>
  <c r="T446" i="6"/>
  <c r="D435" i="6"/>
  <c r="K446" i="6"/>
  <c r="I95" i="6"/>
  <c r="O292" i="6"/>
  <c r="I290" i="6"/>
  <c r="H205" i="6"/>
  <c r="N205" i="6"/>
  <c r="Q205" i="6"/>
  <c r="F205" i="6"/>
  <c r="T205" i="6"/>
  <c r="L205" i="6"/>
  <c r="K205" i="6"/>
  <c r="J205" i="6"/>
  <c r="I205" i="6"/>
  <c r="U205" i="6"/>
  <c r="P205" i="6"/>
  <c r="M205" i="6"/>
  <c r="S205" i="6"/>
  <c r="R205" i="6"/>
  <c r="O205" i="6"/>
  <c r="G205" i="6"/>
  <c r="E187" i="6"/>
  <c r="D187" i="6"/>
  <c r="D392" i="6"/>
  <c r="G392" i="6"/>
  <c r="O351" i="6"/>
  <c r="H349" i="6"/>
  <c r="L311" i="6"/>
  <c r="K315" i="6"/>
  <c r="I325" i="6"/>
  <c r="M325" i="6"/>
  <c r="K325" i="6"/>
  <c r="H425" i="6"/>
  <c r="N425" i="6"/>
  <c r="O425" i="6"/>
  <c r="G423" i="6"/>
  <c r="H420" i="6"/>
  <c r="M430" i="6"/>
  <c r="R423" i="6"/>
  <c r="U425" i="6"/>
  <c r="D222" i="6"/>
  <c r="E222" i="6"/>
  <c r="L464" i="6"/>
  <c r="O464" i="6"/>
  <c r="D473" i="6"/>
  <c r="K473" i="6"/>
  <c r="S473" i="6"/>
  <c r="O467" i="6"/>
  <c r="S463" i="6"/>
  <c r="I462" i="6"/>
  <c r="O462" i="6"/>
  <c r="G462" i="6"/>
  <c r="D455" i="6"/>
  <c r="L294" i="6"/>
  <c r="D394" i="6"/>
  <c r="L394" i="6"/>
  <c r="L411" i="6"/>
  <c r="K411" i="6"/>
  <c r="D410" i="6"/>
  <c r="N410" i="6"/>
  <c r="F411" i="6"/>
  <c r="D407" i="6"/>
  <c r="P407" i="6"/>
  <c r="D396" i="6"/>
  <c r="G411" i="6"/>
  <c r="R365" i="6"/>
  <c r="P349" i="6"/>
  <c r="J361" i="6"/>
  <c r="E206" i="6"/>
  <c r="F315" i="6"/>
  <c r="D308" i="6"/>
  <c r="T308" i="6"/>
  <c r="D312" i="6"/>
  <c r="K312" i="6"/>
  <c r="T312" i="6"/>
  <c r="M312" i="6"/>
  <c r="H312" i="6"/>
  <c r="P317" i="6"/>
  <c r="I317" i="6"/>
  <c r="P308" i="6"/>
  <c r="D176" i="6"/>
  <c r="E176" i="6"/>
  <c r="G425" i="6"/>
  <c r="O431" i="6"/>
  <c r="R425" i="6"/>
  <c r="U431" i="6"/>
  <c r="S420" i="6"/>
  <c r="F430" i="6"/>
  <c r="L420" i="6"/>
  <c r="K185" i="6"/>
  <c r="F185" i="6"/>
  <c r="R185" i="6"/>
  <c r="Q185" i="6"/>
  <c r="M185" i="6"/>
  <c r="J185" i="6"/>
  <c r="I185" i="6"/>
  <c r="H185" i="6"/>
  <c r="G185" i="6"/>
  <c r="U185" i="6"/>
  <c r="T185" i="6"/>
  <c r="S185" i="6"/>
  <c r="P185" i="6"/>
  <c r="N185" i="6"/>
  <c r="O185" i="6"/>
  <c r="L185" i="6"/>
  <c r="L423" i="6"/>
  <c r="S464" i="6"/>
  <c r="F67" i="6"/>
  <c r="J455" i="6"/>
  <c r="M466" i="6"/>
  <c r="T462" i="6"/>
  <c r="G464" i="6"/>
  <c r="P473" i="6"/>
  <c r="R463" i="6"/>
  <c r="K463" i="6"/>
  <c r="D469" i="6"/>
  <c r="T469" i="6"/>
  <c r="F469" i="6"/>
  <c r="H229" i="6"/>
  <c r="L229" i="6"/>
  <c r="J229" i="6"/>
  <c r="M229" i="6"/>
  <c r="T229" i="6"/>
  <c r="S229" i="6"/>
  <c r="R229" i="6"/>
  <c r="O229" i="6"/>
  <c r="U229" i="6"/>
  <c r="Q229" i="6"/>
  <c r="P229" i="6"/>
  <c r="I229" i="6"/>
  <c r="G229" i="6"/>
  <c r="F229" i="6"/>
  <c r="N229" i="6"/>
  <c r="K229" i="6"/>
  <c r="L157" i="6"/>
  <c r="K173" i="6"/>
  <c r="F173" i="6"/>
  <c r="N173" i="6"/>
  <c r="M173" i="6"/>
  <c r="H173" i="6"/>
  <c r="S173" i="6"/>
  <c r="R173" i="6"/>
  <c r="Q173" i="6"/>
  <c r="P173" i="6"/>
  <c r="G173" i="6"/>
  <c r="J173" i="6"/>
  <c r="I173" i="6"/>
  <c r="T173" i="6"/>
  <c r="O173" i="6"/>
  <c r="L173" i="6"/>
  <c r="U173" i="6"/>
  <c r="T115" i="6"/>
  <c r="P290" i="6"/>
  <c r="S147" i="6"/>
  <c r="S131" i="6"/>
  <c r="R302" i="6"/>
  <c r="P306" i="6"/>
  <c r="P12" i="6" s="1"/>
  <c r="H286" i="6"/>
  <c r="P287" i="6"/>
  <c r="T293" i="6"/>
  <c r="P293" i="6"/>
  <c r="K314" i="6"/>
  <c r="L67" i="6"/>
  <c r="O307" i="6"/>
  <c r="H410" i="6"/>
  <c r="H62" i="6"/>
  <c r="E209" i="6"/>
  <c r="K329" i="6"/>
  <c r="F331" i="6"/>
  <c r="H340" i="6"/>
  <c r="G329" i="6"/>
  <c r="I335" i="6"/>
  <c r="R330" i="6"/>
  <c r="H341" i="6"/>
  <c r="L346" i="6"/>
  <c r="I436" i="6"/>
  <c r="K437" i="6"/>
  <c r="L436" i="6"/>
  <c r="K43" i="2"/>
  <c r="R43" i="2" s="1"/>
  <c r="D525" i="6"/>
  <c r="M59" i="6"/>
  <c r="L59" i="6"/>
  <c r="G59" i="6"/>
  <c r="F59" i="6"/>
  <c r="K59" i="6"/>
  <c r="J59" i="6"/>
  <c r="H59" i="6"/>
  <c r="Q131" i="6"/>
  <c r="O294" i="6"/>
  <c r="Q163" i="6"/>
  <c r="H288" i="6"/>
  <c r="D294" i="6"/>
  <c r="R294" i="6"/>
  <c r="J294" i="6"/>
  <c r="U131" i="6"/>
  <c r="O306" i="6"/>
  <c r="J287" i="6"/>
  <c r="I59" i="6"/>
  <c r="M294" i="6"/>
  <c r="K323" i="6"/>
  <c r="O308" i="6"/>
  <c r="O59" i="6"/>
  <c r="T331" i="6"/>
  <c r="G333" i="6"/>
  <c r="D433" i="6"/>
  <c r="U433" i="6"/>
  <c r="N143" i="6"/>
  <c r="N111" i="6"/>
  <c r="I127" i="6"/>
  <c r="I159" i="6"/>
  <c r="I143" i="6"/>
  <c r="G186" i="6"/>
  <c r="S186" i="6"/>
  <c r="Q186" i="6"/>
  <c r="P186" i="6"/>
  <c r="L186" i="6"/>
  <c r="N186" i="6"/>
  <c r="M186" i="6"/>
  <c r="K186" i="6"/>
  <c r="J186" i="6"/>
  <c r="U186" i="6"/>
  <c r="T186" i="6"/>
  <c r="R186" i="6"/>
  <c r="O186" i="6"/>
  <c r="F186" i="6"/>
  <c r="I186" i="6"/>
  <c r="H186" i="6"/>
  <c r="P61" i="6"/>
  <c r="N335" i="6"/>
  <c r="E180" i="6"/>
  <c r="D180" i="6"/>
  <c r="J335" i="6"/>
  <c r="T163" i="6"/>
  <c r="S26" i="2"/>
  <c r="V26" i="2"/>
  <c r="D244" i="6"/>
  <c r="E244" i="6"/>
  <c r="D236" i="6"/>
  <c r="E236" i="6"/>
  <c r="O442" i="6"/>
  <c r="K450" i="6"/>
  <c r="D19" i="3"/>
  <c r="E19" i="3" s="1"/>
  <c r="D41" i="6"/>
  <c r="G433" i="6" s="1"/>
  <c r="L260" i="6"/>
  <c r="G260" i="6"/>
  <c r="F260" i="6"/>
  <c r="I260" i="6"/>
  <c r="U260" i="6"/>
  <c r="T260" i="6"/>
  <c r="K260" i="6"/>
  <c r="J260" i="6"/>
  <c r="H260" i="6"/>
  <c r="N260" i="6"/>
  <c r="M260" i="6"/>
  <c r="S260" i="6"/>
  <c r="R260" i="6"/>
  <c r="Q260" i="6"/>
  <c r="P260" i="6"/>
  <c r="O260" i="6"/>
  <c r="H68" i="6"/>
  <c r="L68" i="6"/>
  <c r="D274" i="6"/>
  <c r="E274" i="6"/>
  <c r="M486" i="6"/>
  <c r="U490" i="6"/>
  <c r="R482" i="6"/>
  <c r="Q490" i="6"/>
  <c r="N476" i="6"/>
  <c r="J483" i="6"/>
  <c r="I493" i="6"/>
  <c r="I486" i="6"/>
  <c r="J490" i="6"/>
  <c r="K490" i="6"/>
  <c r="K493" i="6"/>
  <c r="O490" i="6"/>
  <c r="R486" i="6"/>
  <c r="H495" i="6"/>
  <c r="E195" i="6"/>
  <c r="D195" i="6"/>
  <c r="K124" i="6"/>
  <c r="S380" i="6"/>
  <c r="R389" i="6"/>
  <c r="F380" i="6"/>
  <c r="L99" i="6"/>
  <c r="E272" i="6"/>
  <c r="D272" i="6"/>
  <c r="M99" i="6"/>
  <c r="E268" i="6"/>
  <c r="D268" i="6"/>
  <c r="D282" i="6"/>
  <c r="E282" i="6"/>
  <c r="D266" i="6"/>
  <c r="E266" i="6"/>
  <c r="I487" i="6"/>
  <c r="O479" i="6"/>
  <c r="F493" i="6"/>
  <c r="T493" i="6"/>
  <c r="O482" i="6"/>
  <c r="J61" i="6"/>
  <c r="D192" i="6"/>
  <c r="E192" i="6"/>
  <c r="J97" i="6"/>
  <c r="T68" i="6"/>
  <c r="O113" i="6"/>
  <c r="E285" i="6"/>
  <c r="D285" i="6"/>
  <c r="D273" i="6"/>
  <c r="E273" i="6"/>
  <c r="H482" i="6"/>
  <c r="O476" i="6"/>
  <c r="I490" i="6"/>
  <c r="R476" i="6"/>
  <c r="L483" i="6"/>
  <c r="E200" i="6"/>
  <c r="D200" i="6"/>
  <c r="E239" i="6"/>
  <c r="D239" i="6"/>
  <c r="L97" i="6"/>
  <c r="N99" i="6"/>
  <c r="O486" i="6"/>
  <c r="U476" i="6"/>
  <c r="E279" i="6"/>
  <c r="D279" i="6"/>
  <c r="H483" i="6"/>
  <c r="F482" i="6"/>
  <c r="H476" i="6"/>
  <c r="F490" i="6"/>
  <c r="I381" i="6"/>
  <c r="O382" i="6"/>
  <c r="I389" i="6"/>
  <c r="H217" i="6"/>
  <c r="M217" i="6"/>
  <c r="N217" i="6"/>
  <c r="S217" i="6"/>
  <c r="K217" i="6"/>
  <c r="J217" i="6"/>
  <c r="I217" i="6"/>
  <c r="O217" i="6"/>
  <c r="L217" i="6"/>
  <c r="G217" i="6"/>
  <c r="F217" i="6"/>
  <c r="T217" i="6"/>
  <c r="U217" i="6"/>
  <c r="R217" i="6"/>
  <c r="Q217" i="6"/>
  <c r="P217" i="6"/>
  <c r="L476" i="6"/>
  <c r="I483" i="6"/>
  <c r="K476" i="6"/>
  <c r="T67" i="6"/>
  <c r="D198" i="6"/>
  <c r="E198" i="6"/>
  <c r="D194" i="6"/>
  <c r="E194" i="6"/>
  <c r="G94" i="6"/>
  <c r="K140" i="6"/>
  <c r="J389" i="6"/>
  <c r="R382" i="6"/>
  <c r="M380" i="6"/>
  <c r="O384" i="6"/>
  <c r="J98" i="6"/>
  <c r="M476" i="6"/>
  <c r="G487" i="6"/>
  <c r="I476" i="6"/>
  <c r="S483" i="6"/>
  <c r="S486" i="6"/>
  <c r="L61" i="6"/>
  <c r="J94" i="6"/>
  <c r="D341" i="6"/>
  <c r="L341" i="6"/>
  <c r="N341" i="6"/>
  <c r="K338" i="6"/>
  <c r="F341" i="6"/>
  <c r="M66" i="6"/>
  <c r="F442" i="6"/>
  <c r="E243" i="6"/>
  <c r="D243" i="6"/>
  <c r="Q444" i="6"/>
  <c r="P441" i="6"/>
  <c r="O441" i="6"/>
  <c r="M450" i="6"/>
  <c r="M441" i="6"/>
  <c r="L252" i="6"/>
  <c r="N252" i="6"/>
  <c r="M252" i="6"/>
  <c r="K252" i="6"/>
  <c r="Q252" i="6"/>
  <c r="T252" i="6"/>
  <c r="J252" i="6"/>
  <c r="I252" i="6"/>
  <c r="H252" i="6"/>
  <c r="G252" i="6"/>
  <c r="R252" i="6"/>
  <c r="U252" i="6"/>
  <c r="S252" i="6"/>
  <c r="P252" i="6"/>
  <c r="O252" i="6"/>
  <c r="F252" i="6"/>
  <c r="I68" i="6"/>
  <c r="I477" i="6"/>
  <c r="D278" i="6"/>
  <c r="E278" i="6"/>
  <c r="Q475" i="6"/>
  <c r="D277" i="6"/>
  <c r="E277" i="6"/>
  <c r="R490" i="6"/>
  <c r="N478" i="6"/>
  <c r="I495" i="6"/>
  <c r="O485" i="6"/>
  <c r="D492" i="6"/>
  <c r="K492" i="6"/>
  <c r="G489" i="6"/>
  <c r="S476" i="6"/>
  <c r="S482" i="6"/>
  <c r="J487" i="6"/>
  <c r="G476" i="6"/>
  <c r="L477" i="6"/>
  <c r="N479" i="6"/>
  <c r="R480" i="6"/>
  <c r="L478" i="6"/>
  <c r="J478" i="6"/>
  <c r="M493" i="6"/>
  <c r="P487" i="6"/>
  <c r="K382" i="6"/>
  <c r="O386" i="6"/>
  <c r="P380" i="6"/>
  <c r="L381" i="6"/>
  <c r="D202" i="6"/>
  <c r="E202" i="6"/>
  <c r="J384" i="6"/>
  <c r="N388" i="6"/>
  <c r="R388" i="6"/>
  <c r="P382" i="6"/>
  <c r="K386" i="6"/>
  <c r="C44" i="6"/>
  <c r="E534" i="6" s="1"/>
  <c r="B42" i="4"/>
  <c r="B10" i="4"/>
  <c r="D23" i="3"/>
  <c r="E23" i="3" s="1"/>
  <c r="L228" i="6"/>
  <c r="O228" i="6"/>
  <c r="K228" i="6"/>
  <c r="M228" i="6"/>
  <c r="T228" i="6"/>
  <c r="S228" i="6"/>
  <c r="R228" i="6"/>
  <c r="N228" i="6"/>
  <c r="J228" i="6"/>
  <c r="I228" i="6"/>
  <c r="H228" i="6"/>
  <c r="G228" i="6"/>
  <c r="U228" i="6"/>
  <c r="Q228" i="6"/>
  <c r="F228" i="6"/>
  <c r="P228" i="6"/>
  <c r="F92" i="6"/>
  <c r="D178" i="6"/>
  <c r="E178" i="6"/>
  <c r="R347" i="6"/>
  <c r="L339" i="6"/>
  <c r="F339" i="6"/>
  <c r="Q342" i="6"/>
  <c r="T348" i="6"/>
  <c r="J347" i="6"/>
  <c r="D241" i="6"/>
  <c r="E241" i="6"/>
  <c r="U441" i="6"/>
  <c r="F143" i="6"/>
  <c r="L441" i="6"/>
  <c r="N441" i="6"/>
  <c r="P442" i="6"/>
  <c r="N442" i="6"/>
  <c r="J442" i="6"/>
  <c r="N44" i="2"/>
  <c r="W28" i="2"/>
  <c r="U28" i="2"/>
  <c r="V28" i="2" s="1"/>
  <c r="Q28" i="2"/>
  <c r="K189" i="6"/>
  <c r="J189" i="6"/>
  <c r="Q189" i="6"/>
  <c r="P189" i="6"/>
  <c r="O189" i="6"/>
  <c r="I189" i="6"/>
  <c r="R189" i="6"/>
  <c r="N189" i="6"/>
  <c r="M189" i="6"/>
  <c r="G189" i="6"/>
  <c r="U189" i="6"/>
  <c r="F189" i="6"/>
  <c r="T189" i="6"/>
  <c r="L189" i="6"/>
  <c r="H189" i="6"/>
  <c r="E283" i="6"/>
  <c r="D283" i="6"/>
  <c r="N492" i="6"/>
  <c r="T492" i="6"/>
  <c r="O480" i="6"/>
  <c r="N486" i="6"/>
  <c r="H480" i="6"/>
  <c r="D270" i="6"/>
  <c r="E270" i="6"/>
  <c r="P482" i="6"/>
  <c r="J113" i="6"/>
  <c r="O488" i="6"/>
  <c r="T495" i="6"/>
  <c r="F476" i="6"/>
  <c r="M478" i="6"/>
  <c r="F484" i="6"/>
  <c r="R488" i="6"/>
  <c r="K477" i="6"/>
  <c r="Q478" i="6"/>
  <c r="P480" i="6"/>
  <c r="T481" i="6"/>
  <c r="L479" i="6"/>
  <c r="Q485" i="6"/>
  <c r="U482" i="6"/>
  <c r="G479" i="6"/>
  <c r="J494" i="6"/>
  <c r="M488" i="6"/>
  <c r="I383" i="6"/>
  <c r="I94" i="6"/>
  <c r="Q389" i="6"/>
  <c r="M384" i="6"/>
  <c r="L383" i="6"/>
  <c r="N383" i="6"/>
  <c r="U384" i="6"/>
  <c r="O380" i="6"/>
  <c r="T386" i="6"/>
  <c r="U389" i="6"/>
  <c r="D387" i="6"/>
  <c r="K387" i="6"/>
  <c r="R383" i="6"/>
  <c r="J379" i="6"/>
  <c r="I387" i="6"/>
  <c r="K44" i="2"/>
  <c r="R44" i="2" s="1"/>
  <c r="E240" i="6"/>
  <c r="D240" i="6"/>
  <c r="Q442" i="6"/>
  <c r="R442" i="6"/>
  <c r="F448" i="6"/>
  <c r="T487" i="6"/>
  <c r="S490" i="6"/>
  <c r="D271" i="6"/>
  <c r="E271" i="6"/>
  <c r="H486" i="6"/>
  <c r="O129" i="6"/>
  <c r="G493" i="6"/>
  <c r="L485" i="6"/>
  <c r="P478" i="6"/>
  <c r="U479" i="6"/>
  <c r="T482" i="6"/>
  <c r="P486" i="6"/>
  <c r="T483" i="6"/>
  <c r="G495" i="6"/>
  <c r="J489" i="6"/>
  <c r="H382" i="6"/>
  <c r="F389" i="6"/>
  <c r="G389" i="6"/>
  <c r="H380" i="6"/>
  <c r="M44" i="2"/>
  <c r="S44" i="2" s="1"/>
  <c r="E232" i="6"/>
  <c r="D232" i="6"/>
  <c r="M442" i="6"/>
  <c r="K448" i="6"/>
  <c r="K68" i="6"/>
  <c r="J68" i="6"/>
  <c r="R68" i="6"/>
  <c r="E281" i="6"/>
  <c r="D281" i="6"/>
  <c r="I479" i="6"/>
  <c r="H490" i="6"/>
  <c r="T479" i="6"/>
  <c r="Q487" i="6"/>
  <c r="G490" i="6"/>
  <c r="E201" i="6"/>
  <c r="D201" i="6"/>
  <c r="E199" i="6"/>
  <c r="D199" i="6"/>
  <c r="R381" i="6"/>
  <c r="T389" i="6"/>
  <c r="P372" i="6"/>
  <c r="G381" i="6"/>
  <c r="O44" i="2"/>
  <c r="W35" i="2"/>
  <c r="U35" i="2"/>
  <c r="V35" i="2" s="1"/>
  <c r="Q35" i="2"/>
  <c r="L109" i="6"/>
  <c r="L125" i="6"/>
  <c r="H335" i="6"/>
  <c r="K97" i="6"/>
  <c r="E247" i="6"/>
  <c r="D247" i="6"/>
  <c r="I66" i="6"/>
  <c r="D234" i="6"/>
  <c r="E234" i="6"/>
  <c r="D242" i="6"/>
  <c r="E242" i="6"/>
  <c r="P450" i="6"/>
  <c r="G440" i="6"/>
  <c r="S450" i="6"/>
  <c r="T442" i="6"/>
  <c r="G444" i="6"/>
  <c r="F445" i="6"/>
  <c r="S442" i="6"/>
  <c r="J450" i="6"/>
  <c r="R445" i="6"/>
  <c r="K445" i="6"/>
  <c r="I449" i="6"/>
  <c r="T444" i="6"/>
  <c r="U34" i="2"/>
  <c r="V34" i="2" s="1"/>
  <c r="W34" i="2"/>
  <c r="Q34" i="2"/>
  <c r="E280" i="6"/>
  <c r="D280" i="6"/>
  <c r="G68" i="6"/>
  <c r="D275" i="6"/>
  <c r="E275" i="6"/>
  <c r="M480" i="6"/>
  <c r="G483" i="6"/>
  <c r="U483" i="6"/>
  <c r="I161" i="6"/>
  <c r="O478" i="6"/>
  <c r="P479" i="6"/>
  <c r="M482" i="6"/>
  <c r="H475" i="6"/>
  <c r="M483" i="6"/>
  <c r="N489" i="6"/>
  <c r="G481" i="6"/>
  <c r="K482" i="6"/>
  <c r="M485" i="6"/>
  <c r="G486" i="6"/>
  <c r="L482" i="6"/>
  <c r="P488" i="6"/>
  <c r="R485" i="6"/>
  <c r="Q481" i="6"/>
  <c r="T475" i="6"/>
  <c r="G380" i="6"/>
  <c r="P381" i="6"/>
  <c r="P384" i="6"/>
  <c r="D197" i="6"/>
  <c r="E197" i="6"/>
  <c r="F388" i="6"/>
  <c r="F382" i="6"/>
  <c r="I380" i="6"/>
  <c r="T380" i="6"/>
  <c r="R341" i="6"/>
  <c r="I341" i="6"/>
  <c r="K341" i="6"/>
  <c r="M97" i="6"/>
  <c r="E245" i="6"/>
  <c r="D245" i="6"/>
  <c r="J453" i="6"/>
  <c r="N444" i="6"/>
  <c r="K453" i="6"/>
  <c r="G450" i="6"/>
  <c r="K99" i="6"/>
  <c r="H488" i="6"/>
  <c r="T488" i="6"/>
  <c r="D267" i="6"/>
  <c r="E267" i="6"/>
  <c r="G482" i="6"/>
  <c r="P476" i="6"/>
  <c r="N485" i="6"/>
  <c r="T490" i="6"/>
  <c r="J495" i="6"/>
  <c r="J482" i="6"/>
  <c r="Q483" i="6"/>
  <c r="T486" i="6"/>
  <c r="H487" i="6"/>
  <c r="N483" i="6"/>
  <c r="O489" i="6"/>
  <c r="Q486" i="6"/>
  <c r="N482" i="6"/>
  <c r="Q476" i="6"/>
  <c r="H389" i="6"/>
  <c r="H381" i="6"/>
  <c r="Q381" i="6"/>
  <c r="E538" i="6"/>
  <c r="D538" i="6"/>
  <c r="D516" i="6"/>
  <c r="P131" i="6"/>
  <c r="U163" i="6"/>
  <c r="D289" i="6"/>
  <c r="P191" i="6"/>
  <c r="U191" i="6"/>
  <c r="F191" i="6"/>
  <c r="N191" i="6"/>
  <c r="Q191" i="6"/>
  <c r="O191" i="6"/>
  <c r="J191" i="6"/>
  <c r="K191" i="6"/>
  <c r="I191" i="6"/>
  <c r="H191" i="6"/>
  <c r="G191" i="6"/>
  <c r="T191" i="6"/>
  <c r="S191" i="6"/>
  <c r="R191" i="6"/>
  <c r="M191" i="6"/>
  <c r="L191" i="6"/>
  <c r="W23" i="2"/>
  <c r="Q23" i="2"/>
  <c r="U23" i="2"/>
  <c r="V23" i="2" s="1"/>
  <c r="D342" i="6"/>
  <c r="U342" i="6"/>
  <c r="S61" i="6"/>
  <c r="H339" i="6"/>
  <c r="J348" i="6"/>
  <c r="R342" i="6"/>
  <c r="J342" i="6"/>
  <c r="O338" i="6"/>
  <c r="S348" i="6"/>
  <c r="H342" i="6"/>
  <c r="G182" i="6"/>
  <c r="N182" i="6"/>
  <c r="K182" i="6"/>
  <c r="T182" i="6"/>
  <c r="S182" i="6"/>
  <c r="O182" i="6"/>
  <c r="U182" i="6"/>
  <c r="R182" i="6"/>
  <c r="H182" i="6"/>
  <c r="F182" i="6"/>
  <c r="M182" i="6"/>
  <c r="L182" i="6"/>
  <c r="J182" i="6"/>
  <c r="I182" i="6"/>
  <c r="Q182" i="6"/>
  <c r="P182" i="6"/>
  <c r="L453" i="6"/>
  <c r="U453" i="6"/>
  <c r="L442" i="6"/>
  <c r="E276" i="6"/>
  <c r="D276" i="6"/>
  <c r="D269" i="6"/>
  <c r="E269" i="6"/>
  <c r="O145" i="6"/>
  <c r="N480" i="6"/>
  <c r="U493" i="6"/>
  <c r="S478" i="6"/>
  <c r="J476" i="6"/>
  <c r="F483" i="6"/>
  <c r="R489" i="6"/>
  <c r="G478" i="6"/>
  <c r="K487" i="6"/>
  <c r="G492" i="6"/>
  <c r="I482" i="6"/>
  <c r="P483" i="6"/>
  <c r="G485" i="6"/>
  <c r="H489" i="6"/>
  <c r="I488" i="6"/>
  <c r="N490" i="6"/>
  <c r="R487" i="6"/>
  <c r="K483" i="6"/>
  <c r="N477" i="6"/>
  <c r="Q492" i="6"/>
  <c r="L386" i="6"/>
  <c r="N389" i="6"/>
  <c r="M390" i="6"/>
  <c r="G383" i="6"/>
  <c r="F381" i="6"/>
  <c r="Q388" i="6"/>
  <c r="J390" i="6"/>
  <c r="U386" i="6"/>
  <c r="G382" i="6"/>
  <c r="N382" i="6"/>
  <c r="W33" i="2"/>
  <c r="Q33" i="2"/>
  <c r="T33" i="2" s="1"/>
  <c r="U33" i="2"/>
  <c r="V33" i="2" s="1"/>
  <c r="D45" i="2"/>
  <c r="J96" i="6"/>
  <c r="T62" i="6"/>
  <c r="E284" i="6"/>
  <c r="D284" i="6"/>
  <c r="J486" i="6"/>
  <c r="K486" i="6"/>
  <c r="S25" i="2"/>
  <c r="V25" i="2"/>
  <c r="E196" i="6"/>
  <c r="D196" i="6"/>
  <c r="D193" i="6"/>
  <c r="E193" i="6"/>
  <c r="V27" i="2"/>
  <c r="S27" i="2"/>
  <c r="S29" i="2"/>
  <c r="L146" i="6"/>
  <c r="L148" i="6" s="1"/>
  <c r="H555" i="6" s="1"/>
  <c r="L162" i="6"/>
  <c r="L164" i="6" s="1"/>
  <c r="I555" i="6" s="1"/>
  <c r="E545" i="6"/>
  <c r="D545" i="6"/>
  <c r="R147" i="6"/>
  <c r="P115" i="6"/>
  <c r="K289" i="6"/>
  <c r="M61" i="6"/>
  <c r="F61" i="6"/>
  <c r="I61" i="6"/>
  <c r="F338" i="6"/>
  <c r="K339" i="6"/>
  <c r="D183" i="6"/>
  <c r="E183" i="6"/>
  <c r="S441" i="6"/>
  <c r="E231" i="6"/>
  <c r="D231" i="6"/>
  <c r="N445" i="6"/>
  <c r="D235" i="6"/>
  <c r="E235" i="6"/>
  <c r="U450" i="6"/>
  <c r="M439" i="6"/>
  <c r="R440" i="6"/>
  <c r="N450" i="6"/>
  <c r="F439" i="6"/>
  <c r="L445" i="6"/>
  <c r="S449" i="6"/>
  <c r="T449" i="6"/>
  <c r="R448" i="6"/>
  <c r="K449" i="6"/>
  <c r="H448" i="6"/>
  <c r="D246" i="6"/>
  <c r="E246" i="6"/>
  <c r="M142" i="6"/>
  <c r="M158" i="6"/>
  <c r="C38" i="4"/>
  <c r="E38" i="4"/>
  <c r="D38" i="4"/>
  <c r="B38" i="4"/>
  <c r="M68" i="6"/>
  <c r="O493" i="6"/>
  <c r="P475" i="6"/>
  <c r="S475" i="6"/>
  <c r="T476" i="6"/>
  <c r="R483" i="6"/>
  <c r="Q484" i="6"/>
  <c r="L486" i="6"/>
  <c r="I485" i="6"/>
  <c r="N488" i="6"/>
  <c r="L490" i="6"/>
  <c r="G475" i="6"/>
  <c r="O481" i="6"/>
  <c r="I491" i="6"/>
  <c r="T494" i="6"/>
  <c r="U484" i="6"/>
  <c r="N487" i="6"/>
  <c r="S487" i="6"/>
  <c r="U491" i="6"/>
  <c r="M490" i="6"/>
  <c r="U486" i="6"/>
  <c r="L492" i="6"/>
  <c r="P489" i="6"/>
  <c r="U485" i="6"/>
  <c r="H479" i="6"/>
  <c r="K494" i="6"/>
  <c r="D16" i="3"/>
  <c r="E16" i="3" s="1"/>
  <c r="F156" i="6"/>
  <c r="D38" i="6"/>
  <c r="F375" i="6" s="1"/>
  <c r="K374" i="6"/>
  <c r="O379" i="6"/>
  <c r="H94" i="6"/>
  <c r="G379" i="6"/>
  <c r="Q380" i="6"/>
  <c r="O383" i="6"/>
  <c r="S386" i="6"/>
  <c r="Q379" i="6"/>
  <c r="S388" i="6"/>
  <c r="I379" i="6"/>
  <c r="H384" i="6"/>
  <c r="D40" i="6"/>
  <c r="L416" i="6" s="1"/>
  <c r="E221" i="6"/>
  <c r="E219" i="6"/>
  <c r="D18" i="3"/>
  <c r="E18" i="3" s="1"/>
  <c r="U356" i="6" l="1"/>
  <c r="U309" i="6"/>
  <c r="U358" i="6"/>
  <c r="U299" i="6"/>
  <c r="U321" i="6"/>
  <c r="U62" i="6"/>
  <c r="U351" i="6"/>
  <c r="U312" i="6"/>
  <c r="U307" i="6"/>
  <c r="U315" i="6"/>
  <c r="U355" i="6"/>
  <c r="Q372" i="6"/>
  <c r="U340" i="6"/>
  <c r="Q336" i="6"/>
  <c r="G138" i="6"/>
  <c r="F301" i="6"/>
  <c r="G313" i="6"/>
  <c r="S316" i="6"/>
  <c r="Q297" i="6"/>
  <c r="J62" i="6"/>
  <c r="U290" i="6"/>
  <c r="H307" i="6"/>
  <c r="U314" i="6"/>
  <c r="L144" i="6"/>
  <c r="U339" i="6"/>
  <c r="Q60" i="6"/>
  <c r="U298" i="6"/>
  <c r="U301" i="6"/>
  <c r="G122" i="6"/>
  <c r="Q316" i="6"/>
  <c r="F288" i="6"/>
  <c r="O341" i="6"/>
  <c r="O318" i="6"/>
  <c r="O350" i="6"/>
  <c r="O312" i="6"/>
  <c r="O317" i="6"/>
  <c r="O358" i="6"/>
  <c r="P339" i="6"/>
  <c r="P286" i="6"/>
  <c r="P356" i="6"/>
  <c r="P67" i="6"/>
  <c r="P307" i="6"/>
  <c r="P320" i="6"/>
  <c r="P321" i="6"/>
  <c r="P351" i="6"/>
  <c r="P302" i="6"/>
  <c r="P358" i="6"/>
  <c r="P318" i="6"/>
  <c r="Q329" i="6"/>
  <c r="Q289" i="6"/>
  <c r="Q358" i="6"/>
  <c r="Q309" i="6"/>
  <c r="Q321" i="6"/>
  <c r="Q299" i="6"/>
  <c r="Q349" i="6"/>
  <c r="Q351" i="6"/>
  <c r="Q287" i="6"/>
  <c r="Q318" i="6"/>
  <c r="Q341" i="6"/>
  <c r="Q320" i="6"/>
  <c r="Q286" i="6"/>
  <c r="Q307" i="6"/>
  <c r="S307" i="6"/>
  <c r="S310" i="6"/>
  <c r="S289" i="6"/>
  <c r="S320" i="6"/>
  <c r="S318" i="6"/>
  <c r="S302" i="6"/>
  <c r="S299" i="6"/>
  <c r="S317" i="6"/>
  <c r="S67" i="6"/>
  <c r="S309" i="6"/>
  <c r="S321" i="6"/>
  <c r="S351" i="6"/>
  <c r="S312" i="6"/>
  <c r="S286" i="6"/>
  <c r="S60" i="6"/>
  <c r="U455" i="6"/>
  <c r="S392" i="6"/>
  <c r="U329" i="6"/>
  <c r="S62" i="6"/>
  <c r="Q340" i="6"/>
  <c r="T43" i="2"/>
  <c r="Q328" i="6"/>
  <c r="G291" i="6"/>
  <c r="S355" i="6"/>
  <c r="U297" i="6"/>
  <c r="G60" i="6"/>
  <c r="F353" i="6"/>
  <c r="N319" i="6"/>
  <c r="N355" i="6"/>
  <c r="G303" i="6"/>
  <c r="M309" i="6"/>
  <c r="T291" i="6"/>
  <c r="O296" i="6"/>
  <c r="O313" i="6"/>
  <c r="O337" i="6"/>
  <c r="G321" i="6"/>
  <c r="P336" i="6"/>
  <c r="T320" i="6"/>
  <c r="S333" i="6"/>
  <c r="H299" i="6"/>
  <c r="S349" i="6"/>
  <c r="M12" i="6"/>
  <c r="N328" i="6"/>
  <c r="P68" i="6"/>
  <c r="U12" i="6"/>
  <c r="S291" i="6"/>
  <c r="O321" i="6"/>
  <c r="T316" i="6"/>
  <c r="M359" i="6"/>
  <c r="U60" i="6"/>
  <c r="U360" i="6"/>
  <c r="M353" i="6"/>
  <c r="J291" i="6"/>
  <c r="F309" i="6"/>
  <c r="J301" i="6"/>
  <c r="G296" i="6"/>
  <c r="T355" i="6"/>
  <c r="S313" i="6"/>
  <c r="J337" i="6"/>
  <c r="J208" i="6"/>
  <c r="J303" i="6"/>
  <c r="Q295" i="6"/>
  <c r="H334" i="6"/>
  <c r="T336" i="6"/>
  <c r="T294" i="6"/>
  <c r="J312" i="6"/>
  <c r="Q310" i="6"/>
  <c r="T328" i="6"/>
  <c r="O319" i="6"/>
  <c r="G312" i="6"/>
  <c r="P354" i="6"/>
  <c r="T289" i="6"/>
  <c r="Q454" i="6"/>
  <c r="S455" i="6"/>
  <c r="S292" i="6"/>
  <c r="U59" i="6"/>
  <c r="U310" i="6"/>
  <c r="U352" i="6"/>
  <c r="F332" i="6"/>
  <c r="E22" i="3"/>
  <c r="F22" i="3" s="1"/>
  <c r="P289" i="6"/>
  <c r="P350" i="6"/>
  <c r="Q308" i="6"/>
  <c r="U335" i="6"/>
  <c r="P310" i="6"/>
  <c r="P455" i="6"/>
  <c r="S338" i="6"/>
  <c r="O360" i="6"/>
  <c r="U333" i="6"/>
  <c r="U331" i="6"/>
  <c r="U67" i="6"/>
  <c r="U293" i="6"/>
  <c r="Q357" i="6"/>
  <c r="S353" i="6"/>
  <c r="F321" i="6"/>
  <c r="F299" i="6"/>
  <c r="U61" i="6"/>
  <c r="Q338" i="6"/>
  <c r="Q302" i="6"/>
  <c r="Q59" i="6"/>
  <c r="U328" i="6"/>
  <c r="S360" i="6"/>
  <c r="Q303" i="6"/>
  <c r="Q360" i="6"/>
  <c r="S296" i="6"/>
  <c r="S59" i="6"/>
  <c r="F286" i="6"/>
  <c r="Q290" i="6"/>
  <c r="H351" i="6"/>
  <c r="H302" i="6"/>
  <c r="H317" i="6"/>
  <c r="H310" i="6"/>
  <c r="H315" i="6"/>
  <c r="H318" i="6"/>
  <c r="H287" i="6"/>
  <c r="H60" i="6"/>
  <c r="S330" i="6"/>
  <c r="U311" i="6"/>
  <c r="G12" i="6"/>
  <c r="U294" i="6"/>
  <c r="L112" i="6"/>
  <c r="G109" i="6"/>
  <c r="U303" i="6"/>
  <c r="F352" i="6"/>
  <c r="F300" i="6"/>
  <c r="U319" i="6"/>
  <c r="F355" i="6"/>
  <c r="U296" i="6"/>
  <c r="U320" i="6"/>
  <c r="F319" i="6"/>
  <c r="F295" i="6"/>
  <c r="G334" i="6"/>
  <c r="U286" i="6"/>
  <c r="G356" i="6"/>
  <c r="J60" i="6"/>
  <c r="T310" i="6"/>
  <c r="T287" i="6"/>
  <c r="T358" i="6"/>
  <c r="T307" i="6"/>
  <c r="T318" i="6"/>
  <c r="T351" i="6"/>
  <c r="T302" i="6"/>
  <c r="T321" i="6"/>
  <c r="T315" i="6"/>
  <c r="T356" i="6"/>
  <c r="J334" i="6"/>
  <c r="S341" i="6"/>
  <c r="R12" i="6"/>
  <c r="U302" i="6"/>
  <c r="U330" i="6"/>
  <c r="Q294" i="6"/>
  <c r="Q313" i="6"/>
  <c r="S354" i="6"/>
  <c r="S301" i="6"/>
  <c r="S332" i="6"/>
  <c r="G300" i="6"/>
  <c r="Q334" i="6"/>
  <c r="S288" i="6"/>
  <c r="G61" i="6"/>
  <c r="S311" i="6"/>
  <c r="Q455" i="6"/>
  <c r="Q312" i="6"/>
  <c r="J349" i="6"/>
  <c r="H295" i="6"/>
  <c r="U68" i="6"/>
  <c r="O377" i="6"/>
  <c r="F374" i="6"/>
  <c r="Q433" i="6"/>
  <c r="S329" i="6"/>
  <c r="Q339" i="6"/>
  <c r="U288" i="6"/>
  <c r="Q315" i="6"/>
  <c r="Q298" i="6"/>
  <c r="Q300" i="6"/>
  <c r="Q352" i="6"/>
  <c r="Q296" i="6"/>
  <c r="U337" i="6"/>
  <c r="U332" i="6"/>
  <c r="S295" i="6"/>
  <c r="G289" i="6"/>
  <c r="U357" i="6"/>
  <c r="S334" i="6"/>
  <c r="M335" i="6"/>
  <c r="Q61" i="6"/>
  <c r="P291" i="6"/>
  <c r="G288" i="6"/>
  <c r="G293" i="6"/>
  <c r="G455" i="6"/>
  <c r="H292" i="6"/>
  <c r="T311" i="6"/>
  <c r="S356" i="6"/>
  <c r="Q396" i="6"/>
  <c r="S315" i="6"/>
  <c r="U336" i="6"/>
  <c r="S303" i="6"/>
  <c r="U359" i="6"/>
  <c r="S298" i="6"/>
  <c r="U300" i="6"/>
  <c r="U350" i="6"/>
  <c r="S357" i="6"/>
  <c r="Q332" i="6"/>
  <c r="U295" i="6"/>
  <c r="S336" i="6"/>
  <c r="J359" i="6"/>
  <c r="O289" i="6"/>
  <c r="U287" i="6"/>
  <c r="I12" i="6"/>
  <c r="S454" i="6"/>
  <c r="Q335" i="6"/>
  <c r="S294" i="6"/>
  <c r="G62" i="6"/>
  <c r="U354" i="6"/>
  <c r="S340" i="6"/>
  <c r="S308" i="6"/>
  <c r="U318" i="6"/>
  <c r="H329" i="6"/>
  <c r="Q288" i="6"/>
  <c r="Q333" i="6"/>
  <c r="Q301" i="6"/>
  <c r="U338" i="6"/>
  <c r="Q331" i="6"/>
  <c r="S293" i="6"/>
  <c r="O336" i="6"/>
  <c r="O331" i="6"/>
  <c r="U292" i="6"/>
  <c r="S328" i="6"/>
  <c r="U291" i="6"/>
  <c r="G360" i="6"/>
  <c r="H357" i="6"/>
  <c r="F297" i="6"/>
  <c r="G357" i="6"/>
  <c r="O298" i="6"/>
  <c r="J316" i="6"/>
  <c r="P300" i="6"/>
  <c r="Q350" i="6"/>
  <c r="T357" i="6"/>
  <c r="M357" i="6"/>
  <c r="O301" i="6"/>
  <c r="T337" i="6"/>
  <c r="G316" i="6"/>
  <c r="H332" i="6"/>
  <c r="S319" i="6"/>
  <c r="U454" i="6"/>
  <c r="P331" i="6"/>
  <c r="Q314" i="6"/>
  <c r="P329" i="6"/>
  <c r="S287" i="6"/>
  <c r="H289" i="6"/>
  <c r="H308" i="6"/>
  <c r="Q354" i="6"/>
  <c r="H455" i="6"/>
  <c r="K377" i="6"/>
  <c r="U376" i="6"/>
  <c r="S68" i="6"/>
  <c r="U289" i="6"/>
  <c r="P374" i="6"/>
  <c r="S339" i="6"/>
  <c r="Q62" i="6"/>
  <c r="S359" i="6"/>
  <c r="S297" i="6"/>
  <c r="Q359" i="6"/>
  <c r="S352" i="6"/>
  <c r="U313" i="6"/>
  <c r="S337" i="6"/>
  <c r="F316" i="6"/>
  <c r="N295" i="6"/>
  <c r="S331" i="6"/>
  <c r="Q292" i="6"/>
  <c r="S290" i="6"/>
  <c r="U308" i="6"/>
  <c r="Q293" i="6"/>
  <c r="J356" i="6"/>
  <c r="J351" i="6"/>
  <c r="J354" i="6"/>
  <c r="J307" i="6"/>
  <c r="J358" i="6"/>
  <c r="J320" i="6"/>
  <c r="J292" i="6"/>
  <c r="J315" i="6"/>
  <c r="J318" i="6"/>
  <c r="J302" i="6"/>
  <c r="H294" i="6"/>
  <c r="H350" i="6"/>
  <c r="F378" i="6"/>
  <c r="O373" i="6"/>
  <c r="P376" i="6"/>
  <c r="P204" i="6"/>
  <c r="I334" i="6"/>
  <c r="I351" i="6"/>
  <c r="I320" i="6"/>
  <c r="I312" i="6"/>
  <c r="I328" i="6"/>
  <c r="I356" i="6"/>
  <c r="I309" i="6"/>
  <c r="I291" i="6"/>
  <c r="I358" i="6"/>
  <c r="I315" i="6"/>
  <c r="I339" i="6"/>
  <c r="F290" i="6"/>
  <c r="N314" i="6"/>
  <c r="M375" i="6"/>
  <c r="R204" i="6"/>
  <c r="F334" i="6"/>
  <c r="N333" i="6"/>
  <c r="F60" i="6"/>
  <c r="N294" i="6"/>
  <c r="I286" i="6"/>
  <c r="R372" i="6"/>
  <c r="I353" i="6"/>
  <c r="I300" i="6"/>
  <c r="F360" i="6"/>
  <c r="N296" i="6"/>
  <c r="K204" i="6"/>
  <c r="I295" i="6"/>
  <c r="I299" i="6"/>
  <c r="N307" i="6"/>
  <c r="N292" i="6"/>
  <c r="O147" i="6"/>
  <c r="H506" i="6" s="1"/>
  <c r="G371" i="6"/>
  <c r="M204" i="6"/>
  <c r="F318" i="6"/>
  <c r="F351" i="6"/>
  <c r="F329" i="6"/>
  <c r="F307" i="6"/>
  <c r="F292" i="6"/>
  <c r="F312" i="6"/>
  <c r="F311" i="6"/>
  <c r="F454" i="6"/>
  <c r="F289" i="6"/>
  <c r="F62" i="6"/>
  <c r="F349" i="6"/>
  <c r="F335" i="6"/>
  <c r="F317" i="6"/>
  <c r="F358" i="6"/>
  <c r="F298" i="6"/>
  <c r="F310" i="6"/>
  <c r="F354" i="6"/>
  <c r="F314" i="6"/>
  <c r="F455" i="6"/>
  <c r="M314" i="6"/>
  <c r="M333" i="6"/>
  <c r="N300" i="6"/>
  <c r="S371" i="6"/>
  <c r="I374" i="6"/>
  <c r="S373" i="6"/>
  <c r="N377" i="6"/>
  <c r="Q373" i="6"/>
  <c r="U44" i="2"/>
  <c r="I435" i="6"/>
  <c r="Q12" i="6"/>
  <c r="F115" i="6"/>
  <c r="F497" i="6" s="1"/>
  <c r="N303" i="6"/>
  <c r="N313" i="6"/>
  <c r="N204" i="6"/>
  <c r="N316" i="6"/>
  <c r="G128" i="6"/>
  <c r="G160" i="6"/>
  <c r="G144" i="6"/>
  <c r="G112" i="6"/>
  <c r="G310" i="6"/>
  <c r="G355" i="6"/>
  <c r="G351" i="6"/>
  <c r="G358" i="6"/>
  <c r="G338" i="6"/>
  <c r="G339" i="6"/>
  <c r="G302" i="6"/>
  <c r="G320" i="6"/>
  <c r="G299" i="6"/>
  <c r="G307" i="6"/>
  <c r="G315" i="6"/>
  <c r="G67" i="6"/>
  <c r="G318" i="6"/>
  <c r="G349" i="6"/>
  <c r="G354" i="6"/>
  <c r="G317" i="6"/>
  <c r="G335" i="6"/>
  <c r="G287" i="6"/>
  <c r="G308" i="6"/>
  <c r="G311" i="6"/>
  <c r="G341" i="6"/>
  <c r="I288" i="6"/>
  <c r="I314" i="6"/>
  <c r="M373" i="6"/>
  <c r="F376" i="6"/>
  <c r="O115" i="6"/>
  <c r="F506" i="6" s="1"/>
  <c r="S24" i="2"/>
  <c r="J395" i="6"/>
  <c r="F204" i="6"/>
  <c r="N67" i="6"/>
  <c r="N351" i="6"/>
  <c r="N358" i="6"/>
  <c r="N320" i="6"/>
  <c r="N336" i="6"/>
  <c r="N356" i="6"/>
  <c r="N298" i="6"/>
  <c r="N310" i="6"/>
  <c r="N302" i="6"/>
  <c r="N308" i="6"/>
  <c r="N311" i="6"/>
  <c r="N286" i="6"/>
  <c r="N455" i="6"/>
  <c r="N339" i="6"/>
  <c r="N315" i="6"/>
  <c r="N318" i="6"/>
  <c r="N293" i="6"/>
  <c r="N299" i="6"/>
  <c r="N352" i="6"/>
  <c r="N317" i="6"/>
  <c r="M308" i="6"/>
  <c r="M352" i="6"/>
  <c r="N68" i="6"/>
  <c r="I308" i="6"/>
  <c r="I303" i="6"/>
  <c r="F12" i="6"/>
  <c r="H204" i="6"/>
  <c r="M62" i="6"/>
  <c r="M351" i="6"/>
  <c r="M315" i="6"/>
  <c r="M339" i="6"/>
  <c r="M349" i="6"/>
  <c r="M293" i="6"/>
  <c r="M356" i="6"/>
  <c r="M289" i="6"/>
  <c r="M330" i="6"/>
  <c r="M329" i="6"/>
  <c r="M317" i="6"/>
  <c r="M455" i="6"/>
  <c r="M298" i="6"/>
  <c r="M318" i="6"/>
  <c r="M311" i="6"/>
  <c r="M310" i="6"/>
  <c r="M358" i="6"/>
  <c r="I294" i="6"/>
  <c r="N312" i="6"/>
  <c r="I455" i="6"/>
  <c r="N334" i="6"/>
  <c r="J374" i="6"/>
  <c r="U371" i="6"/>
  <c r="O131" i="6"/>
  <c r="G506" i="6" s="1"/>
  <c r="O12" i="6"/>
  <c r="H12" i="6"/>
  <c r="T204" i="6"/>
  <c r="I311" i="6"/>
  <c r="F333" i="6"/>
  <c r="M307" i="6"/>
  <c r="M291" i="6"/>
  <c r="L375" i="6"/>
  <c r="R371" i="6"/>
  <c r="G204" i="6"/>
  <c r="T32" i="2"/>
  <c r="S32" i="2"/>
  <c r="F357" i="6"/>
  <c r="I330" i="6"/>
  <c r="N287" i="6"/>
  <c r="F356" i="6"/>
  <c r="M338" i="6"/>
  <c r="H371" i="6"/>
  <c r="F163" i="6"/>
  <c r="I497" i="6" s="1"/>
  <c r="I377" i="6"/>
  <c r="S378" i="6"/>
  <c r="F371" i="6"/>
  <c r="S204" i="6"/>
  <c r="F68" i="6"/>
  <c r="F336" i="6"/>
  <c r="M67" i="6"/>
  <c r="F330" i="6"/>
  <c r="F370" i="6"/>
  <c r="U378" i="6"/>
  <c r="L114" i="6"/>
  <c r="L116" i="6" s="1"/>
  <c r="F555" i="6" s="1"/>
  <c r="H376" i="6"/>
  <c r="O370" i="6"/>
  <c r="I370" i="6"/>
  <c r="F434" i="6"/>
  <c r="M434" i="6"/>
  <c r="F433" i="6"/>
  <c r="N349" i="6"/>
  <c r="I289" i="6"/>
  <c r="I350" i="6"/>
  <c r="Q204" i="6"/>
  <c r="I337" i="6"/>
  <c r="N350" i="6"/>
  <c r="M290" i="6"/>
  <c r="F350" i="6"/>
  <c r="T374" i="6"/>
  <c r="Q375" i="6"/>
  <c r="L204" i="6"/>
  <c r="H161" i="6"/>
  <c r="H129" i="6"/>
  <c r="H113" i="6"/>
  <c r="F287" i="6"/>
  <c r="N61" i="6"/>
  <c r="F147" i="6"/>
  <c r="H497" i="6" s="1"/>
  <c r="O376" i="6"/>
  <c r="N12" i="6"/>
  <c r="S43" i="2"/>
  <c r="U204" i="6"/>
  <c r="L372" i="6"/>
  <c r="H374" i="6"/>
  <c r="P373" i="6"/>
  <c r="H370" i="6"/>
  <c r="O375" i="6"/>
  <c r="I392" i="6"/>
  <c r="M332" i="6"/>
  <c r="G141" i="6"/>
  <c r="G125" i="6"/>
  <c r="J145" i="6"/>
  <c r="J161" i="6"/>
  <c r="J129" i="6"/>
  <c r="N338" i="6"/>
  <c r="N290" i="6"/>
  <c r="M299" i="6"/>
  <c r="I336" i="6"/>
  <c r="M534" i="6"/>
  <c r="L534" i="6"/>
  <c r="K534" i="6"/>
  <c r="F534" i="6"/>
  <c r="O534" i="6"/>
  <c r="N534" i="6"/>
  <c r="S534" i="6"/>
  <c r="U534" i="6"/>
  <c r="T534" i="6"/>
  <c r="R534" i="6"/>
  <c r="Q534" i="6"/>
  <c r="J534" i="6"/>
  <c r="I534" i="6"/>
  <c r="G534" i="6"/>
  <c r="H534" i="6"/>
  <c r="P534" i="6"/>
  <c r="T23" i="2"/>
  <c r="S23" i="2"/>
  <c r="M111" i="6"/>
  <c r="M143" i="6"/>
  <c r="M127" i="6"/>
  <c r="M159" i="6"/>
  <c r="H372" i="6"/>
  <c r="M371" i="6"/>
  <c r="I140" i="6"/>
  <c r="I124" i="6"/>
  <c r="I108" i="6"/>
  <c r="I156" i="6"/>
  <c r="Q371" i="6"/>
  <c r="P239" i="6"/>
  <c r="Q239" i="6"/>
  <c r="J239" i="6"/>
  <c r="F239" i="6"/>
  <c r="G239" i="6"/>
  <c r="U239" i="6"/>
  <c r="N239" i="6"/>
  <c r="M239" i="6"/>
  <c r="L239" i="6"/>
  <c r="K239" i="6"/>
  <c r="T239" i="6"/>
  <c r="S239" i="6"/>
  <c r="R239" i="6"/>
  <c r="O239" i="6"/>
  <c r="I239" i="6"/>
  <c r="H239" i="6"/>
  <c r="J433" i="6"/>
  <c r="F435" i="6"/>
  <c r="R70" i="6"/>
  <c r="P259" i="6"/>
  <c r="J259" i="6"/>
  <c r="I259" i="6"/>
  <c r="H259" i="6"/>
  <c r="U259" i="6"/>
  <c r="T259" i="6"/>
  <c r="F259" i="6"/>
  <c r="S259" i="6"/>
  <c r="R259" i="6"/>
  <c r="Q259" i="6"/>
  <c r="O259" i="6"/>
  <c r="L259" i="6"/>
  <c r="K259" i="6"/>
  <c r="G259" i="6"/>
  <c r="N259" i="6"/>
  <c r="M259" i="6"/>
  <c r="D49" i="4"/>
  <c r="D50" i="4" s="1"/>
  <c r="D51" i="4" s="1"/>
  <c r="I114" i="6"/>
  <c r="I116" i="6" s="1"/>
  <c r="F552" i="6" s="1"/>
  <c r="E518" i="6"/>
  <c r="T412" i="6"/>
  <c r="Q412" i="6"/>
  <c r="N397" i="6"/>
  <c r="J397" i="6"/>
  <c r="J111" i="6"/>
  <c r="J143" i="6"/>
  <c r="J127" i="6"/>
  <c r="J159" i="6"/>
  <c r="L268" i="6"/>
  <c r="R268" i="6"/>
  <c r="Q268" i="6"/>
  <c r="H268" i="6"/>
  <c r="G268" i="6"/>
  <c r="P268" i="6"/>
  <c r="O268" i="6"/>
  <c r="N268" i="6"/>
  <c r="T268" i="6"/>
  <c r="S268" i="6"/>
  <c r="U268" i="6"/>
  <c r="M268" i="6"/>
  <c r="K268" i="6"/>
  <c r="J268" i="6"/>
  <c r="I268" i="6"/>
  <c r="F268" i="6"/>
  <c r="H209" i="6"/>
  <c r="S209" i="6"/>
  <c r="J209" i="6"/>
  <c r="I209" i="6"/>
  <c r="G209" i="6"/>
  <c r="F209" i="6"/>
  <c r="N209" i="6"/>
  <c r="M209" i="6"/>
  <c r="L209" i="6"/>
  <c r="K209" i="6"/>
  <c r="Q209" i="6"/>
  <c r="P209" i="6"/>
  <c r="O209" i="6"/>
  <c r="U209" i="6"/>
  <c r="R209" i="6"/>
  <c r="T209" i="6"/>
  <c r="F70" i="6"/>
  <c r="C49" i="4"/>
  <c r="C50" i="4" s="1"/>
  <c r="C51" i="4" s="1"/>
  <c r="N539" i="6"/>
  <c r="M539" i="6"/>
  <c r="L539" i="6"/>
  <c r="G539" i="6"/>
  <c r="F539" i="6"/>
  <c r="I539" i="6"/>
  <c r="H539" i="6"/>
  <c r="Q539" i="6"/>
  <c r="P539" i="6"/>
  <c r="O539" i="6"/>
  <c r="K539" i="6"/>
  <c r="T539" i="6"/>
  <c r="S539" i="6"/>
  <c r="R539" i="6"/>
  <c r="J539" i="6"/>
  <c r="U539" i="6"/>
  <c r="N146" i="6"/>
  <c r="N148" i="6" s="1"/>
  <c r="H557" i="6" s="1"/>
  <c r="I130" i="6"/>
  <c r="I132" i="6" s="1"/>
  <c r="G552" i="6" s="1"/>
  <c r="E531" i="6"/>
  <c r="J412" i="6"/>
  <c r="L256" i="6"/>
  <c r="S256" i="6"/>
  <c r="R256" i="6"/>
  <c r="J256" i="6"/>
  <c r="T256" i="6"/>
  <c r="Q256" i="6"/>
  <c r="U256" i="6"/>
  <c r="P256" i="6"/>
  <c r="O256" i="6"/>
  <c r="G256" i="6"/>
  <c r="F256" i="6"/>
  <c r="N256" i="6"/>
  <c r="M256" i="6"/>
  <c r="K256" i="6"/>
  <c r="H256" i="6"/>
  <c r="I256" i="6"/>
  <c r="G536" i="6"/>
  <c r="F536" i="6"/>
  <c r="U536" i="6"/>
  <c r="M536" i="6"/>
  <c r="S536" i="6"/>
  <c r="R536" i="6"/>
  <c r="J536" i="6"/>
  <c r="N536" i="6"/>
  <c r="L536" i="6"/>
  <c r="K536" i="6"/>
  <c r="I536" i="6"/>
  <c r="T536" i="6"/>
  <c r="Q536" i="6"/>
  <c r="P536" i="6"/>
  <c r="O536" i="6"/>
  <c r="H536" i="6"/>
  <c r="E535" i="6"/>
  <c r="T34" i="2"/>
  <c r="S34" i="2"/>
  <c r="T371" i="6"/>
  <c r="H281" i="6"/>
  <c r="N281" i="6"/>
  <c r="M281" i="6"/>
  <c r="R281" i="6"/>
  <c r="T281" i="6"/>
  <c r="S281" i="6"/>
  <c r="Q281" i="6"/>
  <c r="O281" i="6"/>
  <c r="J281" i="6"/>
  <c r="I281" i="6"/>
  <c r="G281" i="6"/>
  <c r="F281" i="6"/>
  <c r="P281" i="6"/>
  <c r="L281" i="6"/>
  <c r="K281" i="6"/>
  <c r="U281" i="6"/>
  <c r="P271" i="6"/>
  <c r="I271" i="6"/>
  <c r="H271" i="6"/>
  <c r="K271" i="6"/>
  <c r="J271" i="6"/>
  <c r="U271" i="6"/>
  <c r="R271" i="6"/>
  <c r="Q271" i="6"/>
  <c r="O271" i="6"/>
  <c r="N271" i="6"/>
  <c r="M271" i="6"/>
  <c r="L271" i="6"/>
  <c r="F271" i="6"/>
  <c r="T271" i="6"/>
  <c r="S271" i="6"/>
  <c r="G271" i="6"/>
  <c r="T278" i="6"/>
  <c r="F278" i="6"/>
  <c r="R278" i="6"/>
  <c r="P278" i="6"/>
  <c r="O278" i="6"/>
  <c r="N278" i="6"/>
  <c r="J278" i="6"/>
  <c r="I278" i="6"/>
  <c r="H278" i="6"/>
  <c r="G278" i="6"/>
  <c r="U278" i="6"/>
  <c r="S278" i="6"/>
  <c r="Q278" i="6"/>
  <c r="K278" i="6"/>
  <c r="M278" i="6"/>
  <c r="L278" i="6"/>
  <c r="H375" i="6"/>
  <c r="I371" i="6"/>
  <c r="K371" i="6"/>
  <c r="M129" i="6"/>
  <c r="M113" i="6"/>
  <c r="M161" i="6"/>
  <c r="M145" i="6"/>
  <c r="U434" i="6"/>
  <c r="K434" i="6"/>
  <c r="T434" i="6"/>
  <c r="J434" i="6"/>
  <c r="S434" i="6"/>
  <c r="H434" i="6"/>
  <c r="Q434" i="6"/>
  <c r="P434" i="6"/>
  <c r="G434" i="6"/>
  <c r="G66" i="6"/>
  <c r="S66" i="6"/>
  <c r="P66" i="6"/>
  <c r="R66" i="6"/>
  <c r="R434" i="6"/>
  <c r="N434" i="6"/>
  <c r="T435" i="6"/>
  <c r="O434" i="6"/>
  <c r="F66" i="6"/>
  <c r="J66" i="6"/>
  <c r="U66" i="6"/>
  <c r="N66" i="6"/>
  <c r="T66" i="6"/>
  <c r="K435" i="6"/>
  <c r="S435" i="6"/>
  <c r="I433" i="6"/>
  <c r="H433" i="6"/>
  <c r="L434" i="6"/>
  <c r="K66" i="6"/>
  <c r="O66" i="6"/>
  <c r="S433" i="6"/>
  <c r="E525" i="6"/>
  <c r="T537" i="6"/>
  <c r="S537" i="6"/>
  <c r="R537" i="6"/>
  <c r="G537" i="6"/>
  <c r="F537" i="6"/>
  <c r="O537" i="6"/>
  <c r="P537" i="6"/>
  <c r="U537" i="6"/>
  <c r="Q537" i="6"/>
  <c r="M537" i="6"/>
  <c r="L537" i="6"/>
  <c r="H537" i="6"/>
  <c r="N537" i="6"/>
  <c r="K537" i="6"/>
  <c r="J537" i="6"/>
  <c r="I537" i="6"/>
  <c r="K413" i="6"/>
  <c r="I70" i="6"/>
  <c r="K158" i="6"/>
  <c r="K110" i="6"/>
  <c r="K142" i="6"/>
  <c r="K126" i="6"/>
  <c r="E49" i="4"/>
  <c r="E50" i="4" s="1"/>
  <c r="E51" i="4" s="1"/>
  <c r="K114" i="6"/>
  <c r="K116" i="6" s="1"/>
  <c r="F554" i="6" s="1"/>
  <c r="N114" i="6"/>
  <c r="N116" i="6" s="1"/>
  <c r="F557" i="6" s="1"/>
  <c r="N412" i="6"/>
  <c r="L433" i="6"/>
  <c r="R543" i="6"/>
  <c r="Q543" i="6"/>
  <c r="P543" i="6"/>
  <c r="J543" i="6"/>
  <c r="I543" i="6"/>
  <c r="N543" i="6"/>
  <c r="M543" i="6"/>
  <c r="T543" i="6"/>
  <c r="S543" i="6"/>
  <c r="G543" i="6"/>
  <c r="U543" i="6"/>
  <c r="O543" i="6"/>
  <c r="F543" i="6"/>
  <c r="L543" i="6"/>
  <c r="K543" i="6"/>
  <c r="H543" i="6"/>
  <c r="T242" i="6"/>
  <c r="H242" i="6"/>
  <c r="J242" i="6"/>
  <c r="I242" i="6"/>
  <c r="G242" i="6"/>
  <c r="L242" i="6"/>
  <c r="K242" i="6"/>
  <c r="F242" i="6"/>
  <c r="N242" i="6"/>
  <c r="M242" i="6"/>
  <c r="Q242" i="6"/>
  <c r="P242" i="6"/>
  <c r="O242" i="6"/>
  <c r="S242" i="6"/>
  <c r="R242" i="6"/>
  <c r="U242" i="6"/>
  <c r="T373" i="6"/>
  <c r="J371" i="6"/>
  <c r="L371" i="6"/>
  <c r="O433" i="6"/>
  <c r="I109" i="6"/>
  <c r="I125" i="6"/>
  <c r="I157" i="6"/>
  <c r="I141" i="6"/>
  <c r="J70" i="6"/>
  <c r="L142" i="6"/>
  <c r="L126" i="6"/>
  <c r="L110" i="6"/>
  <c r="L158" i="6"/>
  <c r="B49" i="4"/>
  <c r="B50" i="4" s="1"/>
  <c r="B51" i="4" s="1"/>
  <c r="E517" i="6"/>
  <c r="O544" i="6"/>
  <c r="N544" i="6"/>
  <c r="M544" i="6"/>
  <c r="J544" i="6"/>
  <c r="I544" i="6"/>
  <c r="S544" i="6"/>
  <c r="H544" i="6"/>
  <c r="G544" i="6"/>
  <c r="F544" i="6"/>
  <c r="R544" i="6"/>
  <c r="U544" i="6"/>
  <c r="T544" i="6"/>
  <c r="P544" i="6"/>
  <c r="Q544" i="6"/>
  <c r="L544" i="6"/>
  <c r="K544" i="6"/>
  <c r="E530" i="6"/>
  <c r="H412" i="6"/>
  <c r="T218" i="6"/>
  <c r="J218" i="6"/>
  <c r="L218" i="6"/>
  <c r="R218" i="6"/>
  <c r="M218" i="6"/>
  <c r="K218" i="6"/>
  <c r="I218" i="6"/>
  <c r="F218" i="6"/>
  <c r="U218" i="6"/>
  <c r="S218" i="6"/>
  <c r="Q218" i="6"/>
  <c r="P218" i="6"/>
  <c r="H218" i="6"/>
  <c r="G218" i="6"/>
  <c r="O218" i="6"/>
  <c r="N218" i="6"/>
  <c r="I395" i="6"/>
  <c r="I397" i="6"/>
  <c r="E529" i="6"/>
  <c r="G416" i="6"/>
  <c r="H245" i="6"/>
  <c r="P245" i="6"/>
  <c r="R245" i="6"/>
  <c r="K245" i="6"/>
  <c r="J245" i="6"/>
  <c r="I245" i="6"/>
  <c r="U245" i="6"/>
  <c r="T245" i="6"/>
  <c r="S245" i="6"/>
  <c r="Q245" i="6"/>
  <c r="M245" i="6"/>
  <c r="G245" i="6"/>
  <c r="F245" i="6"/>
  <c r="L245" i="6"/>
  <c r="O245" i="6"/>
  <c r="N245" i="6"/>
  <c r="H124" i="6"/>
  <c r="H156" i="6"/>
  <c r="H163" i="6" s="1"/>
  <c r="I499" i="6" s="1"/>
  <c r="H140" i="6"/>
  <c r="H108" i="6"/>
  <c r="L280" i="6"/>
  <c r="Q280" i="6"/>
  <c r="P280" i="6"/>
  <c r="S280" i="6"/>
  <c r="T280" i="6"/>
  <c r="R280" i="6"/>
  <c r="O280" i="6"/>
  <c r="U280" i="6"/>
  <c r="N280" i="6"/>
  <c r="J280" i="6"/>
  <c r="I280" i="6"/>
  <c r="H280" i="6"/>
  <c r="M280" i="6"/>
  <c r="K280" i="6"/>
  <c r="G280" i="6"/>
  <c r="F280" i="6"/>
  <c r="G124" i="6"/>
  <c r="G156" i="6"/>
  <c r="G163" i="6" s="1"/>
  <c r="I498" i="6" s="1"/>
  <c r="G140" i="6"/>
  <c r="G108" i="6"/>
  <c r="G115" i="6" s="1"/>
  <c r="F498" i="6" s="1"/>
  <c r="L192" i="6"/>
  <c r="R192" i="6"/>
  <c r="N192" i="6"/>
  <c r="Q192" i="6"/>
  <c r="P192" i="6"/>
  <c r="J192" i="6"/>
  <c r="S192" i="6"/>
  <c r="O192" i="6"/>
  <c r="M192" i="6"/>
  <c r="K192" i="6"/>
  <c r="U192" i="6"/>
  <c r="T192" i="6"/>
  <c r="I192" i="6"/>
  <c r="F192" i="6"/>
  <c r="H192" i="6"/>
  <c r="G192" i="6"/>
  <c r="L272" i="6"/>
  <c r="F272" i="6"/>
  <c r="U272" i="6"/>
  <c r="K272" i="6"/>
  <c r="J272" i="6"/>
  <c r="H272" i="6"/>
  <c r="G272" i="6"/>
  <c r="M272" i="6"/>
  <c r="I272" i="6"/>
  <c r="Q272" i="6"/>
  <c r="P272" i="6"/>
  <c r="O272" i="6"/>
  <c r="N272" i="6"/>
  <c r="T272" i="6"/>
  <c r="S272" i="6"/>
  <c r="R272" i="6"/>
  <c r="E532" i="6"/>
  <c r="N162" i="6"/>
  <c r="N164" i="6" s="1"/>
  <c r="I557" i="6" s="1"/>
  <c r="K70" i="6"/>
  <c r="H237" i="6"/>
  <c r="N237" i="6"/>
  <c r="G237" i="6"/>
  <c r="S237" i="6"/>
  <c r="U237" i="6"/>
  <c r="T237" i="6"/>
  <c r="R237" i="6"/>
  <c r="K237" i="6"/>
  <c r="J237" i="6"/>
  <c r="I237" i="6"/>
  <c r="F237" i="6"/>
  <c r="M237" i="6"/>
  <c r="L237" i="6"/>
  <c r="Q237" i="6"/>
  <c r="P237" i="6"/>
  <c r="O237" i="6"/>
  <c r="K157" i="6"/>
  <c r="K141" i="6"/>
  <c r="K125" i="6"/>
  <c r="K109" i="6"/>
  <c r="P211" i="6"/>
  <c r="M211" i="6"/>
  <c r="F211" i="6"/>
  <c r="H211" i="6"/>
  <c r="G211" i="6"/>
  <c r="U211" i="6"/>
  <c r="T211" i="6"/>
  <c r="S211" i="6"/>
  <c r="K211" i="6"/>
  <c r="J211" i="6"/>
  <c r="I211" i="6"/>
  <c r="R211" i="6"/>
  <c r="Q211" i="6"/>
  <c r="O211" i="6"/>
  <c r="N211" i="6"/>
  <c r="L211" i="6"/>
  <c r="G412" i="6"/>
  <c r="L395" i="6"/>
  <c r="Q397" i="6"/>
  <c r="T416" i="6"/>
  <c r="K375" i="6"/>
  <c r="P267" i="6"/>
  <c r="U267" i="6"/>
  <c r="T267" i="6"/>
  <c r="F267" i="6"/>
  <c r="H267" i="6"/>
  <c r="G267" i="6"/>
  <c r="M267" i="6"/>
  <c r="L267" i="6"/>
  <c r="K267" i="6"/>
  <c r="R267" i="6"/>
  <c r="Q267" i="6"/>
  <c r="O267" i="6"/>
  <c r="I267" i="6"/>
  <c r="S267" i="6"/>
  <c r="N267" i="6"/>
  <c r="J267" i="6"/>
  <c r="U375" i="6"/>
  <c r="N371" i="6"/>
  <c r="T270" i="6"/>
  <c r="L270" i="6"/>
  <c r="K270" i="6"/>
  <c r="I270" i="6"/>
  <c r="H270" i="6"/>
  <c r="U270" i="6"/>
  <c r="S270" i="6"/>
  <c r="P270" i="6"/>
  <c r="O270" i="6"/>
  <c r="N270" i="6"/>
  <c r="G270" i="6"/>
  <c r="J270" i="6"/>
  <c r="F270" i="6"/>
  <c r="Q270" i="6"/>
  <c r="M270" i="6"/>
  <c r="R270" i="6"/>
  <c r="J140" i="6"/>
  <c r="J156" i="6"/>
  <c r="J124" i="6"/>
  <c r="J108" i="6"/>
  <c r="T194" i="6"/>
  <c r="L194" i="6"/>
  <c r="R194" i="6"/>
  <c r="M194" i="6"/>
  <c r="S194" i="6"/>
  <c r="Q194" i="6"/>
  <c r="K194" i="6"/>
  <c r="N194" i="6"/>
  <c r="J194" i="6"/>
  <c r="I194" i="6"/>
  <c r="H194" i="6"/>
  <c r="P194" i="6"/>
  <c r="O194" i="6"/>
  <c r="G194" i="6"/>
  <c r="F194" i="6"/>
  <c r="U194" i="6"/>
  <c r="L200" i="6"/>
  <c r="K200" i="6"/>
  <c r="G200" i="6"/>
  <c r="I200" i="6"/>
  <c r="U200" i="6"/>
  <c r="Q200" i="6"/>
  <c r="J200" i="6"/>
  <c r="H200" i="6"/>
  <c r="F200" i="6"/>
  <c r="R200" i="6"/>
  <c r="S200" i="6"/>
  <c r="T200" i="6"/>
  <c r="P200" i="6"/>
  <c r="O200" i="6"/>
  <c r="N200" i="6"/>
  <c r="M200" i="6"/>
  <c r="L161" i="6"/>
  <c r="L145" i="6"/>
  <c r="L129" i="6"/>
  <c r="L113" i="6"/>
  <c r="M435" i="6"/>
  <c r="O70" i="6"/>
  <c r="H109" i="6"/>
  <c r="H141" i="6"/>
  <c r="H125" i="6"/>
  <c r="H157" i="6"/>
  <c r="M112" i="6"/>
  <c r="M128" i="6"/>
  <c r="M144" i="6"/>
  <c r="M147" i="6" s="1"/>
  <c r="H504" i="6" s="1"/>
  <c r="M160" i="6"/>
  <c r="H233" i="6"/>
  <c r="Q233" i="6"/>
  <c r="U233" i="6"/>
  <c r="J233" i="6"/>
  <c r="T233" i="6"/>
  <c r="P233" i="6"/>
  <c r="S233" i="6"/>
  <c r="R233" i="6"/>
  <c r="G233" i="6"/>
  <c r="F233" i="6"/>
  <c r="L233" i="6"/>
  <c r="K233" i="6"/>
  <c r="I233" i="6"/>
  <c r="O233" i="6"/>
  <c r="N233" i="6"/>
  <c r="M233" i="6"/>
  <c r="P207" i="6"/>
  <c r="H207" i="6"/>
  <c r="M207" i="6"/>
  <c r="G207" i="6"/>
  <c r="F207" i="6"/>
  <c r="U207" i="6"/>
  <c r="T207" i="6"/>
  <c r="S207" i="6"/>
  <c r="R207" i="6"/>
  <c r="Q207" i="6"/>
  <c r="O207" i="6"/>
  <c r="K207" i="6"/>
  <c r="N207" i="6"/>
  <c r="J207" i="6"/>
  <c r="I207" i="6"/>
  <c r="L207" i="6"/>
  <c r="L412" i="6"/>
  <c r="O395" i="6"/>
  <c r="E528" i="6"/>
  <c r="O114" i="6"/>
  <c r="O116" i="6" s="1"/>
  <c r="F558" i="6" s="1"/>
  <c r="D40" i="4"/>
  <c r="D39" i="4"/>
  <c r="L378" i="6"/>
  <c r="J370" i="6"/>
  <c r="I373" i="6"/>
  <c r="I376" i="6"/>
  <c r="O378" i="6"/>
  <c r="S377" i="6"/>
  <c r="O374" i="6"/>
  <c r="G373" i="6"/>
  <c r="U374" i="6"/>
  <c r="N378" i="6"/>
  <c r="P375" i="6"/>
  <c r="G375" i="6"/>
  <c r="F63" i="6"/>
  <c r="J372" i="6"/>
  <c r="U372" i="6"/>
  <c r="Q374" i="6"/>
  <c r="T63" i="6"/>
  <c r="N370" i="6"/>
  <c r="T378" i="6"/>
  <c r="R63" i="6"/>
  <c r="R377" i="6"/>
  <c r="M378" i="6"/>
  <c r="Q370" i="6"/>
  <c r="L63" i="6"/>
  <c r="K378" i="6"/>
  <c r="O63" i="6"/>
  <c r="N63" i="6"/>
  <c r="T370" i="6"/>
  <c r="R375" i="6"/>
  <c r="M377" i="6"/>
  <c r="P377" i="6"/>
  <c r="R378" i="6"/>
  <c r="H378" i="6"/>
  <c r="F373" i="6"/>
  <c r="M374" i="6"/>
  <c r="S376" i="6"/>
  <c r="G63" i="6"/>
  <c r="M376" i="6"/>
  <c r="G376" i="6"/>
  <c r="L377" i="6"/>
  <c r="S370" i="6"/>
  <c r="J63" i="6"/>
  <c r="R370" i="6"/>
  <c r="L374" i="6"/>
  <c r="G378" i="6"/>
  <c r="T372" i="6"/>
  <c r="T377" i="6"/>
  <c r="S375" i="6"/>
  <c r="S374" i="6"/>
  <c r="J378" i="6"/>
  <c r="U377" i="6"/>
  <c r="S372" i="6"/>
  <c r="N373" i="6"/>
  <c r="N375" i="6"/>
  <c r="L370" i="6"/>
  <c r="M370" i="6"/>
  <c r="S63" i="6"/>
  <c r="K370" i="6"/>
  <c r="U373" i="6"/>
  <c r="J377" i="6"/>
  <c r="P378" i="6"/>
  <c r="K376" i="6"/>
  <c r="U63" i="6"/>
  <c r="M372" i="6"/>
  <c r="U370" i="6"/>
  <c r="J376" i="6"/>
  <c r="F377" i="6"/>
  <c r="R374" i="6"/>
  <c r="P370" i="6"/>
  <c r="H63" i="6"/>
  <c r="I378" i="6"/>
  <c r="Q378" i="6"/>
  <c r="M63" i="6"/>
  <c r="Q63" i="6"/>
  <c r="E40" i="4"/>
  <c r="E39" i="4"/>
  <c r="L196" i="6"/>
  <c r="F196" i="6"/>
  <c r="O196" i="6"/>
  <c r="K196" i="6"/>
  <c r="T196" i="6"/>
  <c r="S196" i="6"/>
  <c r="N196" i="6"/>
  <c r="M196" i="6"/>
  <c r="J196" i="6"/>
  <c r="I196" i="6"/>
  <c r="H196" i="6"/>
  <c r="U196" i="6"/>
  <c r="R196" i="6"/>
  <c r="G196" i="6"/>
  <c r="Q196" i="6"/>
  <c r="P196" i="6"/>
  <c r="Q376" i="6"/>
  <c r="Q377" i="6"/>
  <c r="G178" i="6"/>
  <c r="I178" i="6"/>
  <c r="U178" i="6"/>
  <c r="Q178" i="6"/>
  <c r="J178" i="6"/>
  <c r="H178" i="6"/>
  <c r="F178" i="6"/>
  <c r="T178" i="6"/>
  <c r="S178" i="6"/>
  <c r="R178" i="6"/>
  <c r="N178" i="6"/>
  <c r="M178" i="6"/>
  <c r="P178" i="6"/>
  <c r="O178" i="6"/>
  <c r="L178" i="6"/>
  <c r="K178" i="6"/>
  <c r="T202" i="6"/>
  <c r="F202" i="6"/>
  <c r="I202" i="6"/>
  <c r="Q202" i="6"/>
  <c r="S202" i="6"/>
  <c r="R202" i="6"/>
  <c r="P202" i="6"/>
  <c r="O202" i="6"/>
  <c r="U202" i="6"/>
  <c r="N202" i="6"/>
  <c r="K202" i="6"/>
  <c r="M202" i="6"/>
  <c r="G202" i="6"/>
  <c r="H202" i="6"/>
  <c r="L202" i="6"/>
  <c r="J202" i="6"/>
  <c r="L236" i="6"/>
  <c r="H236" i="6"/>
  <c r="P236" i="6"/>
  <c r="G236" i="6"/>
  <c r="S236" i="6"/>
  <c r="R236" i="6"/>
  <c r="Q236" i="6"/>
  <c r="O236" i="6"/>
  <c r="N236" i="6"/>
  <c r="U236" i="6"/>
  <c r="T236" i="6"/>
  <c r="M236" i="6"/>
  <c r="K236" i="6"/>
  <c r="F236" i="6"/>
  <c r="J236" i="6"/>
  <c r="I236" i="6"/>
  <c r="O435" i="6"/>
  <c r="S70" i="6"/>
  <c r="T22" i="2"/>
  <c r="S22" i="2"/>
  <c r="I63" i="6"/>
  <c r="E519" i="6"/>
  <c r="G395" i="6"/>
  <c r="L397" i="6"/>
  <c r="K540" i="6"/>
  <c r="J540" i="6"/>
  <c r="I540" i="6"/>
  <c r="G540" i="6"/>
  <c r="F540" i="6"/>
  <c r="N540" i="6"/>
  <c r="M540" i="6"/>
  <c r="Q540" i="6"/>
  <c r="U540" i="6"/>
  <c r="T540" i="6"/>
  <c r="R540" i="6"/>
  <c r="P540" i="6"/>
  <c r="L540" i="6"/>
  <c r="H540" i="6"/>
  <c r="O540" i="6"/>
  <c r="S540" i="6"/>
  <c r="B39" i="4"/>
  <c r="B40" i="4" s="1"/>
  <c r="L435" i="6"/>
  <c r="H541" i="6"/>
  <c r="G541" i="6"/>
  <c r="F541" i="6"/>
  <c r="J541" i="6"/>
  <c r="I541" i="6"/>
  <c r="P541" i="6"/>
  <c r="O541" i="6"/>
  <c r="Q541" i="6"/>
  <c r="U541" i="6"/>
  <c r="T541" i="6"/>
  <c r="S541" i="6"/>
  <c r="L541" i="6"/>
  <c r="K541" i="6"/>
  <c r="R541" i="6"/>
  <c r="N541" i="6"/>
  <c r="M541" i="6"/>
  <c r="G70" i="6"/>
  <c r="S171" i="6"/>
  <c r="L171" i="6"/>
  <c r="Q171" i="6"/>
  <c r="P171" i="6"/>
  <c r="K171" i="6"/>
  <c r="N171" i="6"/>
  <c r="M171" i="6"/>
  <c r="J171" i="6"/>
  <c r="I171" i="6"/>
  <c r="U171" i="6"/>
  <c r="T171" i="6"/>
  <c r="O171" i="6"/>
  <c r="F171" i="6"/>
  <c r="H171" i="6"/>
  <c r="G171" i="6"/>
  <c r="R171" i="6"/>
  <c r="G130" i="6"/>
  <c r="G132" i="6" s="1"/>
  <c r="G550" i="6" s="1"/>
  <c r="L264" i="6"/>
  <c r="M264" i="6"/>
  <c r="K264" i="6"/>
  <c r="F264" i="6"/>
  <c r="U264" i="6"/>
  <c r="R264" i="6"/>
  <c r="Q264" i="6"/>
  <c r="P264" i="6"/>
  <c r="J264" i="6"/>
  <c r="O264" i="6"/>
  <c r="N264" i="6"/>
  <c r="I264" i="6"/>
  <c r="H264" i="6"/>
  <c r="T264" i="6"/>
  <c r="G264" i="6"/>
  <c r="S264" i="6"/>
  <c r="S395" i="6"/>
  <c r="J110" i="6"/>
  <c r="J158" i="6"/>
  <c r="J126" i="6"/>
  <c r="J142" i="6"/>
  <c r="L276" i="6"/>
  <c r="K276" i="6"/>
  <c r="J276" i="6"/>
  <c r="T276" i="6"/>
  <c r="P276" i="6"/>
  <c r="O276" i="6"/>
  <c r="N276" i="6"/>
  <c r="U276" i="6"/>
  <c r="S276" i="6"/>
  <c r="M276" i="6"/>
  <c r="R276" i="6"/>
  <c r="Q276" i="6"/>
  <c r="I276" i="6"/>
  <c r="F276" i="6"/>
  <c r="H276" i="6"/>
  <c r="G276" i="6"/>
  <c r="H193" i="6"/>
  <c r="O193" i="6"/>
  <c r="T193" i="6"/>
  <c r="M193" i="6"/>
  <c r="R193" i="6"/>
  <c r="Q193" i="6"/>
  <c r="K193" i="6"/>
  <c r="U193" i="6"/>
  <c r="S193" i="6"/>
  <c r="J193" i="6"/>
  <c r="N193" i="6"/>
  <c r="L193" i="6"/>
  <c r="P193" i="6"/>
  <c r="F193" i="6"/>
  <c r="I193" i="6"/>
  <c r="G193" i="6"/>
  <c r="T234" i="6"/>
  <c r="N234" i="6"/>
  <c r="S234" i="6"/>
  <c r="I234" i="6"/>
  <c r="Q234" i="6"/>
  <c r="F234" i="6"/>
  <c r="U234" i="6"/>
  <c r="R234" i="6"/>
  <c r="P234" i="6"/>
  <c r="O234" i="6"/>
  <c r="K234" i="6"/>
  <c r="L234" i="6"/>
  <c r="J234" i="6"/>
  <c r="H234" i="6"/>
  <c r="G234" i="6"/>
  <c r="M234" i="6"/>
  <c r="E516" i="6"/>
  <c r="K63" i="6"/>
  <c r="F372" i="6"/>
  <c r="L244" i="6"/>
  <c r="S244" i="6"/>
  <c r="T244" i="6"/>
  <c r="J244" i="6"/>
  <c r="I244" i="6"/>
  <c r="H244" i="6"/>
  <c r="U244" i="6"/>
  <c r="R244" i="6"/>
  <c r="G244" i="6"/>
  <c r="F244" i="6"/>
  <c r="Q244" i="6"/>
  <c r="P244" i="6"/>
  <c r="K244" i="6"/>
  <c r="O244" i="6"/>
  <c r="N244" i="6"/>
  <c r="M244" i="6"/>
  <c r="Q435" i="6"/>
  <c r="N130" i="6"/>
  <c r="N132" i="6" s="1"/>
  <c r="G557" i="6" s="1"/>
  <c r="H70" i="6"/>
  <c r="S179" i="6"/>
  <c r="F179" i="6"/>
  <c r="P179" i="6"/>
  <c r="U179" i="6"/>
  <c r="O179" i="6"/>
  <c r="K179" i="6"/>
  <c r="J179" i="6"/>
  <c r="I179" i="6"/>
  <c r="H179" i="6"/>
  <c r="N179" i="6"/>
  <c r="M179" i="6"/>
  <c r="L179" i="6"/>
  <c r="G179" i="6"/>
  <c r="T179" i="6"/>
  <c r="R179" i="6"/>
  <c r="Q179" i="6"/>
  <c r="H213" i="6"/>
  <c r="G213" i="6"/>
  <c r="T213" i="6"/>
  <c r="U213" i="6"/>
  <c r="J213" i="6"/>
  <c r="I213" i="6"/>
  <c r="F213" i="6"/>
  <c r="M213" i="6"/>
  <c r="L213" i="6"/>
  <c r="K213" i="6"/>
  <c r="O213" i="6"/>
  <c r="N213" i="6"/>
  <c r="Q213" i="6"/>
  <c r="P213" i="6"/>
  <c r="S213" i="6"/>
  <c r="R213" i="6"/>
  <c r="J416" i="6"/>
  <c r="H265" i="6"/>
  <c r="J265" i="6"/>
  <c r="I265" i="6"/>
  <c r="F265" i="6"/>
  <c r="U265" i="6"/>
  <c r="R265" i="6"/>
  <c r="Q265" i="6"/>
  <c r="P265" i="6"/>
  <c r="O265" i="6"/>
  <c r="N265" i="6"/>
  <c r="L265" i="6"/>
  <c r="K265" i="6"/>
  <c r="G265" i="6"/>
  <c r="S265" i="6"/>
  <c r="M265" i="6"/>
  <c r="T265" i="6"/>
  <c r="M397" i="6"/>
  <c r="P203" i="6"/>
  <c r="T203" i="6"/>
  <c r="U203" i="6"/>
  <c r="H203" i="6"/>
  <c r="R203" i="6"/>
  <c r="G203" i="6"/>
  <c r="F203" i="6"/>
  <c r="S203" i="6"/>
  <c r="Q203" i="6"/>
  <c r="L203" i="6"/>
  <c r="K203" i="6"/>
  <c r="J203" i="6"/>
  <c r="I203" i="6"/>
  <c r="M203" i="6"/>
  <c r="N203" i="6"/>
  <c r="O203" i="6"/>
  <c r="R395" i="6"/>
  <c r="P247" i="6"/>
  <c r="K247" i="6"/>
  <c r="J247" i="6"/>
  <c r="O247" i="6"/>
  <c r="M247" i="6"/>
  <c r="L247" i="6"/>
  <c r="I247" i="6"/>
  <c r="F247" i="6"/>
  <c r="U247" i="6"/>
  <c r="T247" i="6"/>
  <c r="S247" i="6"/>
  <c r="R247" i="6"/>
  <c r="Q247" i="6"/>
  <c r="N247" i="6"/>
  <c r="H247" i="6"/>
  <c r="G247" i="6"/>
  <c r="K111" i="6"/>
  <c r="K159" i="6"/>
  <c r="K143" i="6"/>
  <c r="K127" i="6"/>
  <c r="O371" i="6"/>
  <c r="N374" i="6"/>
  <c r="I375" i="6"/>
  <c r="K113" i="6"/>
  <c r="K145" i="6"/>
  <c r="K161" i="6"/>
  <c r="K129" i="6"/>
  <c r="G370" i="6"/>
  <c r="T35" i="2"/>
  <c r="S35" i="2"/>
  <c r="P199" i="6"/>
  <c r="N199" i="6"/>
  <c r="I199" i="6"/>
  <c r="J199" i="6"/>
  <c r="U199" i="6"/>
  <c r="Q199" i="6"/>
  <c r="O199" i="6"/>
  <c r="M199" i="6"/>
  <c r="L199" i="6"/>
  <c r="K199" i="6"/>
  <c r="F199" i="6"/>
  <c r="R199" i="6"/>
  <c r="H199" i="6"/>
  <c r="G199" i="6"/>
  <c r="T199" i="6"/>
  <c r="S199" i="6"/>
  <c r="P279" i="6"/>
  <c r="T279" i="6"/>
  <c r="S279" i="6"/>
  <c r="R279" i="6"/>
  <c r="Q279" i="6"/>
  <c r="O279" i="6"/>
  <c r="N279" i="6"/>
  <c r="M279" i="6"/>
  <c r="L279" i="6"/>
  <c r="K279" i="6"/>
  <c r="J279" i="6"/>
  <c r="U279" i="6"/>
  <c r="H279" i="6"/>
  <c r="G279" i="6"/>
  <c r="I279" i="6"/>
  <c r="F279" i="6"/>
  <c r="J375" i="6"/>
  <c r="K433" i="6"/>
  <c r="T222" i="6"/>
  <c r="O222" i="6"/>
  <c r="P222" i="6"/>
  <c r="N222" i="6"/>
  <c r="M222" i="6"/>
  <c r="L222" i="6"/>
  <c r="I222" i="6"/>
  <c r="U222" i="6"/>
  <c r="S222" i="6"/>
  <c r="F222" i="6"/>
  <c r="Q222" i="6"/>
  <c r="H222" i="6"/>
  <c r="G222" i="6"/>
  <c r="J222" i="6"/>
  <c r="R222" i="6"/>
  <c r="K222" i="6"/>
  <c r="U435" i="6"/>
  <c r="E524" i="6"/>
  <c r="P70" i="6"/>
  <c r="K181" i="6"/>
  <c r="Q181" i="6"/>
  <c r="M181" i="6"/>
  <c r="U181" i="6"/>
  <c r="T181" i="6"/>
  <c r="O181" i="6"/>
  <c r="S181" i="6"/>
  <c r="R181" i="6"/>
  <c r="P181" i="6"/>
  <c r="N181" i="6"/>
  <c r="L181" i="6"/>
  <c r="J181" i="6"/>
  <c r="I181" i="6"/>
  <c r="H181" i="6"/>
  <c r="F181" i="6"/>
  <c r="G181" i="6"/>
  <c r="T254" i="6"/>
  <c r="H254" i="6"/>
  <c r="G254" i="6"/>
  <c r="L254" i="6"/>
  <c r="Q254" i="6"/>
  <c r="P254" i="6"/>
  <c r="K254" i="6"/>
  <c r="J254" i="6"/>
  <c r="O254" i="6"/>
  <c r="N254" i="6"/>
  <c r="M254" i="6"/>
  <c r="I254" i="6"/>
  <c r="F254" i="6"/>
  <c r="R254" i="6"/>
  <c r="U254" i="6"/>
  <c r="S254" i="6"/>
  <c r="Q43" i="2"/>
  <c r="Q66" i="6"/>
  <c r="P223" i="6"/>
  <c r="L223" i="6"/>
  <c r="U223" i="6"/>
  <c r="O223" i="6"/>
  <c r="Q223" i="6"/>
  <c r="N223" i="6"/>
  <c r="M223" i="6"/>
  <c r="I223" i="6"/>
  <c r="T223" i="6"/>
  <c r="S223" i="6"/>
  <c r="R223" i="6"/>
  <c r="H223" i="6"/>
  <c r="K223" i="6"/>
  <c r="J223" i="6"/>
  <c r="G223" i="6"/>
  <c r="F223" i="6"/>
  <c r="P397" i="6"/>
  <c r="E522" i="6"/>
  <c r="Q65" i="6"/>
  <c r="O65" i="6"/>
  <c r="N65" i="6"/>
  <c r="R65" i="6"/>
  <c r="U65" i="6"/>
  <c r="P65" i="6"/>
  <c r="K65" i="6"/>
  <c r="I65" i="6"/>
  <c r="K414" i="6"/>
  <c r="H415" i="6"/>
  <c r="J65" i="6"/>
  <c r="G65" i="6"/>
  <c r="L65" i="6"/>
  <c r="M414" i="6"/>
  <c r="N414" i="6"/>
  <c r="R414" i="6"/>
  <c r="N415" i="6"/>
  <c r="N413" i="6"/>
  <c r="T65" i="6"/>
  <c r="H65" i="6"/>
  <c r="Q414" i="6"/>
  <c r="I415" i="6"/>
  <c r="P413" i="6"/>
  <c r="M65" i="6"/>
  <c r="H414" i="6"/>
  <c r="H413" i="6"/>
  <c r="P412" i="6"/>
  <c r="T414" i="6"/>
  <c r="J413" i="6"/>
  <c r="T415" i="6"/>
  <c r="S414" i="6"/>
  <c r="O415" i="6"/>
  <c r="U413" i="6"/>
  <c r="F414" i="6"/>
  <c r="O412" i="6"/>
  <c r="J415" i="6"/>
  <c r="I416" i="6"/>
  <c r="F413" i="6"/>
  <c r="T413" i="6"/>
  <c r="O413" i="6"/>
  <c r="I414" i="6"/>
  <c r="P415" i="6"/>
  <c r="M415" i="6"/>
  <c r="S65" i="6"/>
  <c r="F65" i="6"/>
  <c r="R413" i="6"/>
  <c r="U414" i="6"/>
  <c r="L414" i="6"/>
  <c r="Q415" i="6"/>
  <c r="R412" i="6"/>
  <c r="U415" i="6"/>
  <c r="M412" i="6"/>
  <c r="U416" i="6"/>
  <c r="H416" i="6"/>
  <c r="N416" i="6"/>
  <c r="M413" i="6"/>
  <c r="F416" i="6"/>
  <c r="S413" i="6"/>
  <c r="P414" i="6"/>
  <c r="S412" i="6"/>
  <c r="L413" i="6"/>
  <c r="K412" i="6"/>
  <c r="K416" i="6"/>
  <c r="F412" i="6"/>
  <c r="R415" i="6"/>
  <c r="G415" i="6"/>
  <c r="G414" i="6"/>
  <c r="S415" i="6"/>
  <c r="K415" i="6"/>
  <c r="L415" i="6"/>
  <c r="S416" i="6"/>
  <c r="O414" i="6"/>
  <c r="R416" i="6"/>
  <c r="Q413" i="6"/>
  <c r="F415" i="6"/>
  <c r="J414" i="6"/>
  <c r="G413" i="6"/>
  <c r="N45" i="2"/>
  <c r="U45" i="2" s="1"/>
  <c r="M45" i="2"/>
  <c r="L45" i="2"/>
  <c r="K45" i="2"/>
  <c r="O45" i="2"/>
  <c r="J45" i="2"/>
  <c r="C39" i="4"/>
  <c r="C40" i="4" s="1"/>
  <c r="L232" i="6"/>
  <c r="T232" i="6"/>
  <c r="J232" i="6"/>
  <c r="U232" i="6"/>
  <c r="S232" i="6"/>
  <c r="P232" i="6"/>
  <c r="O232" i="6"/>
  <c r="N232" i="6"/>
  <c r="M232" i="6"/>
  <c r="K232" i="6"/>
  <c r="I232" i="6"/>
  <c r="R232" i="6"/>
  <c r="Q232" i="6"/>
  <c r="G232" i="6"/>
  <c r="F232" i="6"/>
  <c r="H232" i="6"/>
  <c r="L240" i="6"/>
  <c r="N240" i="6"/>
  <c r="H240" i="6"/>
  <c r="G240" i="6"/>
  <c r="F240" i="6"/>
  <c r="U240" i="6"/>
  <c r="T240" i="6"/>
  <c r="S240" i="6"/>
  <c r="R240" i="6"/>
  <c r="Q240" i="6"/>
  <c r="M240" i="6"/>
  <c r="K240" i="6"/>
  <c r="J240" i="6"/>
  <c r="I240" i="6"/>
  <c r="P240" i="6"/>
  <c r="O240" i="6"/>
  <c r="I434" i="6"/>
  <c r="M433" i="6"/>
  <c r="N435" i="6"/>
  <c r="K128" i="6"/>
  <c r="K112" i="6"/>
  <c r="K160" i="6"/>
  <c r="K144" i="6"/>
  <c r="T12" i="6"/>
  <c r="U70" i="6"/>
  <c r="M130" i="6"/>
  <c r="M132" i="6" s="1"/>
  <c r="G556" i="6" s="1"/>
  <c r="T238" i="6"/>
  <c r="S238" i="6"/>
  <c r="L238" i="6"/>
  <c r="G238" i="6"/>
  <c r="F238" i="6"/>
  <c r="U238" i="6"/>
  <c r="I238" i="6"/>
  <c r="H238" i="6"/>
  <c r="P238" i="6"/>
  <c r="O238" i="6"/>
  <c r="N238" i="6"/>
  <c r="M238" i="6"/>
  <c r="R238" i="6"/>
  <c r="Q238" i="6"/>
  <c r="K238" i="6"/>
  <c r="J238" i="6"/>
  <c r="H253" i="6"/>
  <c r="K253" i="6"/>
  <c r="J253" i="6"/>
  <c r="M253" i="6"/>
  <c r="Q253" i="6"/>
  <c r="P253" i="6"/>
  <c r="F253" i="6"/>
  <c r="G253" i="6"/>
  <c r="U253" i="6"/>
  <c r="T253" i="6"/>
  <c r="S253" i="6"/>
  <c r="R253" i="6"/>
  <c r="L253" i="6"/>
  <c r="O253" i="6"/>
  <c r="N253" i="6"/>
  <c r="I253" i="6"/>
  <c r="T262" i="6"/>
  <c r="R262" i="6"/>
  <c r="Q262" i="6"/>
  <c r="H262" i="6"/>
  <c r="P262" i="6"/>
  <c r="O262" i="6"/>
  <c r="N262" i="6"/>
  <c r="F262" i="6"/>
  <c r="I262" i="6"/>
  <c r="G262" i="6"/>
  <c r="L262" i="6"/>
  <c r="K262" i="6"/>
  <c r="U262" i="6"/>
  <c r="M262" i="6"/>
  <c r="S262" i="6"/>
  <c r="J262" i="6"/>
  <c r="T258" i="6"/>
  <c r="M258" i="6"/>
  <c r="L258" i="6"/>
  <c r="I258" i="6"/>
  <c r="U258" i="6"/>
  <c r="S258" i="6"/>
  <c r="R258" i="6"/>
  <c r="Q258" i="6"/>
  <c r="N258" i="6"/>
  <c r="F258" i="6"/>
  <c r="K258" i="6"/>
  <c r="P258" i="6"/>
  <c r="O258" i="6"/>
  <c r="J258" i="6"/>
  <c r="H258" i="6"/>
  <c r="G258" i="6"/>
  <c r="O397" i="6"/>
  <c r="L216" i="6"/>
  <c r="P216" i="6"/>
  <c r="O216" i="6"/>
  <c r="T216" i="6"/>
  <c r="J216" i="6"/>
  <c r="I216" i="6"/>
  <c r="H216" i="6"/>
  <c r="Q216" i="6"/>
  <c r="N216" i="6"/>
  <c r="M216" i="6"/>
  <c r="K216" i="6"/>
  <c r="U216" i="6"/>
  <c r="S216" i="6"/>
  <c r="R216" i="6"/>
  <c r="G216" i="6"/>
  <c r="F216" i="6"/>
  <c r="P235" i="6"/>
  <c r="K235" i="6"/>
  <c r="R235" i="6"/>
  <c r="H235" i="6"/>
  <c r="S235" i="6"/>
  <c r="L235" i="6"/>
  <c r="J235" i="6"/>
  <c r="I235" i="6"/>
  <c r="G235" i="6"/>
  <c r="U235" i="6"/>
  <c r="O235" i="6"/>
  <c r="N235" i="6"/>
  <c r="T235" i="6"/>
  <c r="M235" i="6"/>
  <c r="Q235" i="6"/>
  <c r="F235" i="6"/>
  <c r="T198" i="6"/>
  <c r="Q198" i="6"/>
  <c r="K198" i="6"/>
  <c r="J198" i="6"/>
  <c r="U198" i="6"/>
  <c r="O198" i="6"/>
  <c r="S198" i="6"/>
  <c r="R198" i="6"/>
  <c r="L198" i="6"/>
  <c r="P198" i="6"/>
  <c r="H198" i="6"/>
  <c r="G198" i="6"/>
  <c r="N198" i="6"/>
  <c r="M198" i="6"/>
  <c r="I198" i="6"/>
  <c r="F198" i="6"/>
  <c r="G377" i="6"/>
  <c r="I372" i="6"/>
  <c r="P63" i="6"/>
  <c r="L376" i="6"/>
  <c r="T246" i="6"/>
  <c r="M246" i="6"/>
  <c r="P246" i="6"/>
  <c r="K246" i="6"/>
  <c r="J246" i="6"/>
  <c r="I246" i="6"/>
  <c r="F246" i="6"/>
  <c r="N246" i="6"/>
  <c r="L246" i="6"/>
  <c r="H246" i="6"/>
  <c r="G246" i="6"/>
  <c r="S246" i="6"/>
  <c r="U246" i="6"/>
  <c r="R246" i="6"/>
  <c r="O246" i="6"/>
  <c r="Q246" i="6"/>
  <c r="H377" i="6"/>
  <c r="Q538" i="6"/>
  <c r="P538" i="6"/>
  <c r="O538" i="6"/>
  <c r="G538" i="6"/>
  <c r="F538" i="6"/>
  <c r="T538" i="6"/>
  <c r="H538" i="6"/>
  <c r="M538" i="6"/>
  <c r="N538" i="6"/>
  <c r="K538" i="6"/>
  <c r="U538" i="6"/>
  <c r="S538" i="6"/>
  <c r="I538" i="6"/>
  <c r="R538" i="6"/>
  <c r="L538" i="6"/>
  <c r="J538" i="6"/>
  <c r="T44" i="2"/>
  <c r="H66" i="6"/>
  <c r="H69" i="6" s="1"/>
  <c r="B11" i="4"/>
  <c r="H273" i="6"/>
  <c r="T273" i="6"/>
  <c r="S273" i="6"/>
  <c r="L273" i="6"/>
  <c r="K273" i="6"/>
  <c r="M273" i="6"/>
  <c r="J273" i="6"/>
  <c r="I273" i="6"/>
  <c r="G273" i="6"/>
  <c r="U273" i="6"/>
  <c r="R273" i="6"/>
  <c r="Q273" i="6"/>
  <c r="N273" i="6"/>
  <c r="P273" i="6"/>
  <c r="O273" i="6"/>
  <c r="F273" i="6"/>
  <c r="T375" i="6"/>
  <c r="T433" i="6"/>
  <c r="T206" i="6"/>
  <c r="K206" i="6"/>
  <c r="O206" i="6"/>
  <c r="F206" i="6"/>
  <c r="G206" i="6"/>
  <c r="U206" i="6"/>
  <c r="Q206" i="6"/>
  <c r="P206" i="6"/>
  <c r="N206" i="6"/>
  <c r="M206" i="6"/>
  <c r="H206" i="6"/>
  <c r="J206" i="6"/>
  <c r="I206" i="6"/>
  <c r="R206" i="6"/>
  <c r="L206" i="6"/>
  <c r="S206" i="6"/>
  <c r="H435" i="6"/>
  <c r="T70" i="6"/>
  <c r="M114" i="6"/>
  <c r="M116" i="6" s="1"/>
  <c r="F556" i="6" s="1"/>
  <c r="Q44" i="2"/>
  <c r="T250" i="6"/>
  <c r="S250" i="6"/>
  <c r="R250" i="6"/>
  <c r="M250" i="6"/>
  <c r="U250" i="6"/>
  <c r="Q250" i="6"/>
  <c r="P250" i="6"/>
  <c r="L250" i="6"/>
  <c r="O250" i="6"/>
  <c r="N250" i="6"/>
  <c r="K250" i="6"/>
  <c r="J250" i="6"/>
  <c r="I250" i="6"/>
  <c r="H250" i="6"/>
  <c r="G250" i="6"/>
  <c r="F250" i="6"/>
  <c r="K64" i="6"/>
  <c r="G64" i="6"/>
  <c r="J64" i="6"/>
  <c r="T393" i="6"/>
  <c r="I64" i="6"/>
  <c r="K393" i="6"/>
  <c r="N391" i="6"/>
  <c r="S64" i="6"/>
  <c r="P64" i="6"/>
  <c r="J393" i="6"/>
  <c r="M391" i="6"/>
  <c r="U394" i="6"/>
  <c r="K396" i="6"/>
  <c r="H394" i="6"/>
  <c r="F64" i="6"/>
  <c r="U64" i="6"/>
  <c r="M64" i="6"/>
  <c r="J391" i="6"/>
  <c r="R393" i="6"/>
  <c r="L64" i="6"/>
  <c r="F396" i="6"/>
  <c r="J394" i="6"/>
  <c r="U391" i="6"/>
  <c r="M393" i="6"/>
  <c r="H396" i="6"/>
  <c r="R64" i="6"/>
  <c r="O393" i="6"/>
  <c r="N396" i="6"/>
  <c r="T391" i="6"/>
  <c r="M392" i="6"/>
  <c r="Q64" i="6"/>
  <c r="G396" i="6"/>
  <c r="S393" i="6"/>
  <c r="O64" i="6"/>
  <c r="U392" i="6"/>
  <c r="J396" i="6"/>
  <c r="J392" i="6"/>
  <c r="G393" i="6"/>
  <c r="I394" i="6"/>
  <c r="L391" i="6"/>
  <c r="U393" i="6"/>
  <c r="T395" i="6"/>
  <c r="G391" i="6"/>
  <c r="F397" i="6"/>
  <c r="U395" i="6"/>
  <c r="N392" i="6"/>
  <c r="Q393" i="6"/>
  <c r="L393" i="6"/>
  <c r="M395" i="6"/>
  <c r="F394" i="6"/>
  <c r="K397" i="6"/>
  <c r="O392" i="6"/>
  <c r="F395" i="6"/>
  <c r="N393" i="6"/>
  <c r="O394" i="6"/>
  <c r="T64" i="6"/>
  <c r="N64" i="6"/>
  <c r="F391" i="6"/>
  <c r="P393" i="6"/>
  <c r="H391" i="6"/>
  <c r="G394" i="6"/>
  <c r="H393" i="6"/>
  <c r="F393" i="6"/>
  <c r="N394" i="6"/>
  <c r="I391" i="6"/>
  <c r="I396" i="6"/>
  <c r="S396" i="6"/>
  <c r="Q392" i="6"/>
  <c r="K391" i="6"/>
  <c r="P396" i="6"/>
  <c r="U396" i="6"/>
  <c r="I393" i="6"/>
  <c r="P392" i="6"/>
  <c r="Q391" i="6"/>
  <c r="F392" i="6"/>
  <c r="T396" i="6"/>
  <c r="P394" i="6"/>
  <c r="Q394" i="6"/>
  <c r="R391" i="6"/>
  <c r="K392" i="6"/>
  <c r="M394" i="6"/>
  <c r="M396" i="6"/>
  <c r="R394" i="6"/>
  <c r="R392" i="6"/>
  <c r="R396" i="6"/>
  <c r="T392" i="6"/>
  <c r="H64" i="6"/>
  <c r="N395" i="6"/>
  <c r="O391" i="6"/>
  <c r="L392" i="6"/>
  <c r="S391" i="6"/>
  <c r="H395" i="6"/>
  <c r="P391" i="6"/>
  <c r="P395" i="6"/>
  <c r="K394" i="6"/>
  <c r="Q395" i="6"/>
  <c r="E533" i="6"/>
  <c r="L220" i="6"/>
  <c r="U220" i="6"/>
  <c r="H220" i="6"/>
  <c r="Q220" i="6"/>
  <c r="N220" i="6"/>
  <c r="M220" i="6"/>
  <c r="K220" i="6"/>
  <c r="G220" i="6"/>
  <c r="F220" i="6"/>
  <c r="J220" i="6"/>
  <c r="I220" i="6"/>
  <c r="T220" i="6"/>
  <c r="S220" i="6"/>
  <c r="R220" i="6"/>
  <c r="P220" i="6"/>
  <c r="O220" i="6"/>
  <c r="H261" i="6"/>
  <c r="U261" i="6"/>
  <c r="T261" i="6"/>
  <c r="I261" i="6"/>
  <c r="N261" i="6"/>
  <c r="M261" i="6"/>
  <c r="L261" i="6"/>
  <c r="S261" i="6"/>
  <c r="R261" i="6"/>
  <c r="Q261" i="6"/>
  <c r="K261" i="6"/>
  <c r="P261" i="6"/>
  <c r="O261" i="6"/>
  <c r="J261" i="6"/>
  <c r="G261" i="6"/>
  <c r="F261" i="6"/>
  <c r="R397" i="6"/>
  <c r="P219" i="6"/>
  <c r="G219" i="6"/>
  <c r="J219" i="6"/>
  <c r="R219" i="6"/>
  <c r="M219" i="6"/>
  <c r="L219" i="6"/>
  <c r="K219" i="6"/>
  <c r="F219" i="6"/>
  <c r="U219" i="6"/>
  <c r="T219" i="6"/>
  <c r="O219" i="6"/>
  <c r="S219" i="6"/>
  <c r="N219" i="6"/>
  <c r="Q219" i="6"/>
  <c r="I219" i="6"/>
  <c r="H219" i="6"/>
  <c r="H221" i="6"/>
  <c r="R221" i="6"/>
  <c r="F221" i="6"/>
  <c r="P221" i="6"/>
  <c r="N221" i="6"/>
  <c r="M221" i="6"/>
  <c r="L221" i="6"/>
  <c r="I221" i="6"/>
  <c r="Q221" i="6"/>
  <c r="O221" i="6"/>
  <c r="K221" i="6"/>
  <c r="J221" i="6"/>
  <c r="U221" i="6"/>
  <c r="G221" i="6"/>
  <c r="T221" i="6"/>
  <c r="S221" i="6"/>
  <c r="H277" i="6"/>
  <c r="I277" i="6"/>
  <c r="G277" i="6"/>
  <c r="S277" i="6"/>
  <c r="P277" i="6"/>
  <c r="O277" i="6"/>
  <c r="N277" i="6"/>
  <c r="F277" i="6"/>
  <c r="U277" i="6"/>
  <c r="T277" i="6"/>
  <c r="R277" i="6"/>
  <c r="Q277" i="6"/>
  <c r="K277" i="6"/>
  <c r="J277" i="6"/>
  <c r="L277" i="6"/>
  <c r="M277" i="6"/>
  <c r="H373" i="6"/>
  <c r="P371" i="6"/>
  <c r="P231" i="6"/>
  <c r="F231" i="6"/>
  <c r="G231" i="6"/>
  <c r="K231" i="6"/>
  <c r="U231" i="6"/>
  <c r="T231" i="6"/>
  <c r="S231" i="6"/>
  <c r="O231" i="6"/>
  <c r="I231" i="6"/>
  <c r="H231" i="6"/>
  <c r="L231" i="6"/>
  <c r="J231" i="6"/>
  <c r="R231" i="6"/>
  <c r="Q231" i="6"/>
  <c r="N231" i="6"/>
  <c r="M231" i="6"/>
  <c r="N376" i="6"/>
  <c r="R373" i="6"/>
  <c r="H201" i="6"/>
  <c r="I201" i="6"/>
  <c r="J201" i="6"/>
  <c r="U201" i="6"/>
  <c r="Q201" i="6"/>
  <c r="O201" i="6"/>
  <c r="N201" i="6"/>
  <c r="M201" i="6"/>
  <c r="L201" i="6"/>
  <c r="G201" i="6"/>
  <c r="F201" i="6"/>
  <c r="T201" i="6"/>
  <c r="S201" i="6"/>
  <c r="R201" i="6"/>
  <c r="P201" i="6"/>
  <c r="K201" i="6"/>
  <c r="L545" i="6"/>
  <c r="K545" i="6"/>
  <c r="J545" i="6"/>
  <c r="M545" i="6"/>
  <c r="I545" i="6"/>
  <c r="U545" i="6"/>
  <c r="F545" i="6"/>
  <c r="S545" i="6"/>
  <c r="R545" i="6"/>
  <c r="Q545" i="6"/>
  <c r="P545" i="6"/>
  <c r="N545" i="6"/>
  <c r="H545" i="6"/>
  <c r="G545" i="6"/>
  <c r="O545" i="6"/>
  <c r="T545" i="6"/>
  <c r="L284" i="6"/>
  <c r="U284" i="6"/>
  <c r="P284" i="6"/>
  <c r="O284" i="6"/>
  <c r="T284" i="6"/>
  <c r="S284" i="6"/>
  <c r="R284" i="6"/>
  <c r="Q284" i="6"/>
  <c r="N284" i="6"/>
  <c r="G284" i="6"/>
  <c r="F284" i="6"/>
  <c r="K284" i="6"/>
  <c r="J284" i="6"/>
  <c r="I284" i="6"/>
  <c r="H284" i="6"/>
  <c r="M284" i="6"/>
  <c r="J373" i="6"/>
  <c r="R376" i="6"/>
  <c r="G374" i="6"/>
  <c r="L66" i="6"/>
  <c r="K373" i="6"/>
  <c r="O372" i="6"/>
  <c r="H241" i="6"/>
  <c r="K241" i="6"/>
  <c r="F241" i="6"/>
  <c r="I241" i="6"/>
  <c r="G241" i="6"/>
  <c r="U241" i="6"/>
  <c r="T241" i="6"/>
  <c r="S241" i="6"/>
  <c r="P241" i="6"/>
  <c r="R241" i="6"/>
  <c r="M241" i="6"/>
  <c r="J241" i="6"/>
  <c r="O241" i="6"/>
  <c r="Q241" i="6"/>
  <c r="L241" i="6"/>
  <c r="N241" i="6"/>
  <c r="T376" i="6"/>
  <c r="P243" i="6"/>
  <c r="U243" i="6"/>
  <c r="J243" i="6"/>
  <c r="I243" i="6"/>
  <c r="H243" i="6"/>
  <c r="Q243" i="6"/>
  <c r="O243" i="6"/>
  <c r="N243" i="6"/>
  <c r="M243" i="6"/>
  <c r="T243" i="6"/>
  <c r="L243" i="6"/>
  <c r="G243" i="6"/>
  <c r="F243" i="6"/>
  <c r="R243" i="6"/>
  <c r="K243" i="6"/>
  <c r="S243" i="6"/>
  <c r="J112" i="6"/>
  <c r="J144" i="6"/>
  <c r="J160" i="6"/>
  <c r="J128" i="6"/>
  <c r="N161" i="6"/>
  <c r="N163" i="6" s="1"/>
  <c r="I505" i="6" s="1"/>
  <c r="N113" i="6"/>
  <c r="N115" i="6" s="1"/>
  <c r="F505" i="6" s="1"/>
  <c r="N145" i="6"/>
  <c r="N147" i="6" s="1"/>
  <c r="H505" i="6" s="1"/>
  <c r="N129" i="6"/>
  <c r="N131" i="6" s="1"/>
  <c r="G505" i="6" s="1"/>
  <c r="T266" i="6"/>
  <c r="G266" i="6"/>
  <c r="F266" i="6"/>
  <c r="H266" i="6"/>
  <c r="K266" i="6"/>
  <c r="J266" i="6"/>
  <c r="I266" i="6"/>
  <c r="L266" i="6"/>
  <c r="U266" i="6"/>
  <c r="S266" i="6"/>
  <c r="R266" i="6"/>
  <c r="Q266" i="6"/>
  <c r="N266" i="6"/>
  <c r="O266" i="6"/>
  <c r="P266" i="6"/>
  <c r="M266" i="6"/>
  <c r="L373" i="6"/>
  <c r="N433" i="6"/>
  <c r="J435" i="6"/>
  <c r="J12" i="6"/>
  <c r="L70" i="6"/>
  <c r="M162" i="6"/>
  <c r="M164" i="6" s="1"/>
  <c r="I556" i="6" s="1"/>
  <c r="S394" i="6"/>
  <c r="U43" i="2"/>
  <c r="L248" i="6"/>
  <c r="H248" i="6"/>
  <c r="G248" i="6"/>
  <c r="O248" i="6"/>
  <c r="P248" i="6"/>
  <c r="N248" i="6"/>
  <c r="M248" i="6"/>
  <c r="I248" i="6"/>
  <c r="F248" i="6"/>
  <c r="T248" i="6"/>
  <c r="S248" i="6"/>
  <c r="R248" i="6"/>
  <c r="Q248" i="6"/>
  <c r="U248" i="6"/>
  <c r="J248" i="6"/>
  <c r="K248" i="6"/>
  <c r="Q416" i="6"/>
  <c r="E521" i="6"/>
  <c r="H397" i="6"/>
  <c r="T394" i="6"/>
  <c r="P275" i="6"/>
  <c r="N275" i="6"/>
  <c r="M275" i="6"/>
  <c r="U275" i="6"/>
  <c r="L275" i="6"/>
  <c r="K275" i="6"/>
  <c r="T275" i="6"/>
  <c r="S275" i="6"/>
  <c r="R275" i="6"/>
  <c r="Q275" i="6"/>
  <c r="I275" i="6"/>
  <c r="H275" i="6"/>
  <c r="G275" i="6"/>
  <c r="F275" i="6"/>
  <c r="O275" i="6"/>
  <c r="J275" i="6"/>
  <c r="N372" i="6"/>
  <c r="K372" i="6"/>
  <c r="P283" i="6"/>
  <c r="H283" i="6"/>
  <c r="G283" i="6"/>
  <c r="Q283" i="6"/>
  <c r="O283" i="6"/>
  <c r="U283" i="6"/>
  <c r="T283" i="6"/>
  <c r="M283" i="6"/>
  <c r="L283" i="6"/>
  <c r="K283" i="6"/>
  <c r="J283" i="6"/>
  <c r="I283" i="6"/>
  <c r="N283" i="6"/>
  <c r="F283" i="6"/>
  <c r="S283" i="6"/>
  <c r="R283" i="6"/>
  <c r="S33" i="2"/>
  <c r="P433" i="6"/>
  <c r="O176" i="6"/>
  <c r="N176" i="6"/>
  <c r="H176" i="6"/>
  <c r="G176" i="6"/>
  <c r="U176" i="6"/>
  <c r="J176" i="6"/>
  <c r="I176" i="6"/>
  <c r="F176" i="6"/>
  <c r="Q176" i="6"/>
  <c r="P176" i="6"/>
  <c r="M176" i="6"/>
  <c r="L176" i="6"/>
  <c r="K176" i="6"/>
  <c r="R176" i="6"/>
  <c r="T176" i="6"/>
  <c r="S176" i="6"/>
  <c r="I413" i="6"/>
  <c r="P435" i="6"/>
  <c r="K12" i="6"/>
  <c r="M70" i="6"/>
  <c r="U542" i="6"/>
  <c r="T542" i="6"/>
  <c r="S542" i="6"/>
  <c r="J542" i="6"/>
  <c r="I542" i="6"/>
  <c r="L542" i="6"/>
  <c r="R542" i="6"/>
  <c r="Q542" i="6"/>
  <c r="F542" i="6"/>
  <c r="P542" i="6"/>
  <c r="O542" i="6"/>
  <c r="N542" i="6"/>
  <c r="M542" i="6"/>
  <c r="H542" i="6"/>
  <c r="G542" i="6"/>
  <c r="K542" i="6"/>
  <c r="F131" i="6"/>
  <c r="G497" i="6" s="1"/>
  <c r="S12" i="6"/>
  <c r="M416" i="6"/>
  <c r="P263" i="6"/>
  <c r="O263" i="6"/>
  <c r="N263" i="6"/>
  <c r="G263" i="6"/>
  <c r="U263" i="6"/>
  <c r="T263" i="6"/>
  <c r="S263" i="6"/>
  <c r="J263" i="6"/>
  <c r="I263" i="6"/>
  <c r="H263" i="6"/>
  <c r="R263" i="6"/>
  <c r="Q263" i="6"/>
  <c r="M263" i="6"/>
  <c r="L263" i="6"/>
  <c r="K263" i="6"/>
  <c r="F263" i="6"/>
  <c r="T397" i="6"/>
  <c r="H249" i="6"/>
  <c r="U249" i="6"/>
  <c r="N249" i="6"/>
  <c r="Q249" i="6"/>
  <c r="P249" i="6"/>
  <c r="O249" i="6"/>
  <c r="K249" i="6"/>
  <c r="J249" i="6"/>
  <c r="I249" i="6"/>
  <c r="G249" i="6"/>
  <c r="F249" i="6"/>
  <c r="T249" i="6"/>
  <c r="S249" i="6"/>
  <c r="R249" i="6"/>
  <c r="M249" i="6"/>
  <c r="L249" i="6"/>
  <c r="S183" i="6"/>
  <c r="K183" i="6"/>
  <c r="I183" i="6"/>
  <c r="T183" i="6"/>
  <c r="R183" i="6"/>
  <c r="N183" i="6"/>
  <c r="Q183" i="6"/>
  <c r="P183" i="6"/>
  <c r="O183" i="6"/>
  <c r="M183" i="6"/>
  <c r="H183" i="6"/>
  <c r="U183" i="6"/>
  <c r="F183" i="6"/>
  <c r="L183" i="6"/>
  <c r="J183" i="6"/>
  <c r="G183" i="6"/>
  <c r="H269" i="6"/>
  <c r="O269" i="6"/>
  <c r="N269" i="6"/>
  <c r="I269" i="6"/>
  <c r="G269" i="6"/>
  <c r="T269" i="6"/>
  <c r="S269" i="6"/>
  <c r="R269" i="6"/>
  <c r="F269" i="6"/>
  <c r="Q269" i="6"/>
  <c r="P269" i="6"/>
  <c r="M269" i="6"/>
  <c r="L269" i="6"/>
  <c r="U269" i="6"/>
  <c r="K269" i="6"/>
  <c r="J269" i="6"/>
  <c r="H197" i="6"/>
  <c r="T197" i="6"/>
  <c r="M197" i="6"/>
  <c r="K197" i="6"/>
  <c r="U197" i="6"/>
  <c r="S197" i="6"/>
  <c r="O197" i="6"/>
  <c r="R197" i="6"/>
  <c r="Q197" i="6"/>
  <c r="P197" i="6"/>
  <c r="N197" i="6"/>
  <c r="L197" i="6"/>
  <c r="G197" i="6"/>
  <c r="I197" i="6"/>
  <c r="J197" i="6"/>
  <c r="F197" i="6"/>
  <c r="T28" i="2"/>
  <c r="S28" i="2"/>
  <c r="F130" i="6"/>
  <c r="F132" i="6" s="1"/>
  <c r="G549" i="6" s="1"/>
  <c r="G114" i="6"/>
  <c r="G116" i="6" s="1"/>
  <c r="F550" i="6" s="1"/>
  <c r="J130" i="6"/>
  <c r="J132" i="6" s="1"/>
  <c r="G553" i="6" s="1"/>
  <c r="H162" i="6"/>
  <c r="H164" i="6" s="1"/>
  <c r="I551" i="6" s="1"/>
  <c r="K146" i="6"/>
  <c r="K148" i="6" s="1"/>
  <c r="H554" i="6" s="1"/>
  <c r="J114" i="6"/>
  <c r="J116" i="6" s="1"/>
  <c r="F553" i="6" s="1"/>
  <c r="J146" i="6"/>
  <c r="J148" i="6" s="1"/>
  <c r="H553" i="6" s="1"/>
  <c r="J162" i="6"/>
  <c r="J164" i="6" s="1"/>
  <c r="I553" i="6" s="1"/>
  <c r="H146" i="6"/>
  <c r="H148" i="6" s="1"/>
  <c r="H551" i="6" s="1"/>
  <c r="F162" i="6"/>
  <c r="F164" i="6" s="1"/>
  <c r="I549" i="6" s="1"/>
  <c r="O146" i="6"/>
  <c r="O148" i="6" s="1"/>
  <c r="H558" i="6" s="1"/>
  <c r="O130" i="6"/>
  <c r="O132" i="6" s="1"/>
  <c r="G558" i="6" s="1"/>
  <c r="F114" i="6"/>
  <c r="F116" i="6" s="1"/>
  <c r="F549" i="6" s="1"/>
  <c r="F146" i="6"/>
  <c r="F148" i="6" s="1"/>
  <c r="H549" i="6" s="1"/>
  <c r="H130" i="6"/>
  <c r="H132" i="6" s="1"/>
  <c r="G551" i="6" s="1"/>
  <c r="L130" i="6"/>
  <c r="L132" i="6" s="1"/>
  <c r="G555" i="6" s="1"/>
  <c r="H114" i="6"/>
  <c r="H116" i="6" s="1"/>
  <c r="F551" i="6" s="1"/>
  <c r="M146" i="6"/>
  <c r="M148" i="6" s="1"/>
  <c r="H556" i="6" s="1"/>
  <c r="K162" i="6"/>
  <c r="K164" i="6" s="1"/>
  <c r="I554" i="6" s="1"/>
  <c r="G162" i="6"/>
  <c r="G164" i="6" s="1"/>
  <c r="I550" i="6" s="1"/>
  <c r="G146" i="6"/>
  <c r="G148" i="6" s="1"/>
  <c r="H550" i="6" s="1"/>
  <c r="O162" i="6"/>
  <c r="O164" i="6" s="1"/>
  <c r="I558" i="6" s="1"/>
  <c r="I162" i="6"/>
  <c r="I164" i="6" s="1"/>
  <c r="I552" i="6" s="1"/>
  <c r="G372" i="6"/>
  <c r="L143" i="6"/>
  <c r="L127" i="6"/>
  <c r="L131" i="6" s="1"/>
  <c r="G503" i="6" s="1"/>
  <c r="L111" i="6"/>
  <c r="L159" i="6"/>
  <c r="H285" i="6"/>
  <c r="S285" i="6"/>
  <c r="R285" i="6"/>
  <c r="O285" i="6"/>
  <c r="N285" i="6"/>
  <c r="U285" i="6"/>
  <c r="T285" i="6"/>
  <c r="Q285" i="6"/>
  <c r="L285" i="6"/>
  <c r="K285" i="6"/>
  <c r="J285" i="6"/>
  <c r="I285" i="6"/>
  <c r="G285" i="6"/>
  <c r="P285" i="6"/>
  <c r="F285" i="6"/>
  <c r="M285" i="6"/>
  <c r="T282" i="6"/>
  <c r="K282" i="6"/>
  <c r="J282" i="6"/>
  <c r="Q282" i="6"/>
  <c r="U282" i="6"/>
  <c r="S282" i="6"/>
  <c r="R282" i="6"/>
  <c r="G282" i="6"/>
  <c r="F282" i="6"/>
  <c r="I282" i="6"/>
  <c r="H282" i="6"/>
  <c r="P282" i="6"/>
  <c r="O282" i="6"/>
  <c r="N282" i="6"/>
  <c r="M282" i="6"/>
  <c r="L282" i="6"/>
  <c r="T274" i="6"/>
  <c r="Q274" i="6"/>
  <c r="P274" i="6"/>
  <c r="L274" i="6"/>
  <c r="K274" i="6"/>
  <c r="O274" i="6"/>
  <c r="N274" i="6"/>
  <c r="M274" i="6"/>
  <c r="J274" i="6"/>
  <c r="U274" i="6"/>
  <c r="I274" i="6"/>
  <c r="S274" i="6"/>
  <c r="R274" i="6"/>
  <c r="G274" i="6"/>
  <c r="F274" i="6"/>
  <c r="H274" i="6"/>
  <c r="R433" i="6"/>
  <c r="G435" i="6"/>
  <c r="L12" i="6"/>
  <c r="N70" i="6"/>
  <c r="S175" i="6"/>
  <c r="Q175" i="6"/>
  <c r="J175" i="6"/>
  <c r="I175" i="6"/>
  <c r="U175" i="6"/>
  <c r="T175" i="6"/>
  <c r="O175" i="6"/>
  <c r="L175" i="6"/>
  <c r="K175" i="6"/>
  <c r="H175" i="6"/>
  <c r="G175" i="6"/>
  <c r="M175" i="6"/>
  <c r="F175" i="6"/>
  <c r="R175" i="6"/>
  <c r="P175" i="6"/>
  <c r="N175" i="6"/>
  <c r="E520" i="6"/>
  <c r="U412" i="6"/>
  <c r="T226" i="6"/>
  <c r="U226" i="6"/>
  <c r="O226" i="6"/>
  <c r="M226" i="6"/>
  <c r="R226" i="6"/>
  <c r="Q226" i="6"/>
  <c r="P226" i="6"/>
  <c r="K226" i="6"/>
  <c r="J226" i="6"/>
  <c r="I226" i="6"/>
  <c r="H226" i="6"/>
  <c r="G226" i="6"/>
  <c r="L226" i="6"/>
  <c r="F226" i="6"/>
  <c r="S226" i="6"/>
  <c r="N226" i="6"/>
  <c r="P416" i="6"/>
  <c r="G174" i="6"/>
  <c r="T174" i="6"/>
  <c r="L174" i="6"/>
  <c r="K174" i="6"/>
  <c r="F174" i="6"/>
  <c r="U174" i="6"/>
  <c r="S174" i="6"/>
  <c r="R174" i="6"/>
  <c r="Q174" i="6"/>
  <c r="P174" i="6"/>
  <c r="O174" i="6"/>
  <c r="N174" i="6"/>
  <c r="M174" i="6"/>
  <c r="H174" i="6"/>
  <c r="J174" i="6"/>
  <c r="I174" i="6"/>
  <c r="U397" i="6"/>
  <c r="S397" i="6"/>
  <c r="P195" i="6"/>
  <c r="I195" i="6"/>
  <c r="Q195" i="6"/>
  <c r="L195" i="6"/>
  <c r="T195" i="6"/>
  <c r="S195" i="6"/>
  <c r="M195" i="6"/>
  <c r="G195" i="6"/>
  <c r="F195" i="6"/>
  <c r="O195" i="6"/>
  <c r="U195" i="6"/>
  <c r="R195" i="6"/>
  <c r="N195" i="6"/>
  <c r="K195" i="6"/>
  <c r="J195" i="6"/>
  <c r="H195" i="6"/>
  <c r="O180" i="6"/>
  <c r="T180" i="6"/>
  <c r="N180" i="6"/>
  <c r="U180" i="6"/>
  <c r="P180" i="6"/>
  <c r="M180" i="6"/>
  <c r="L180" i="6"/>
  <c r="K180" i="6"/>
  <c r="J180" i="6"/>
  <c r="R180" i="6"/>
  <c r="Q180" i="6"/>
  <c r="I180" i="6"/>
  <c r="H180" i="6"/>
  <c r="S180" i="6"/>
  <c r="G180" i="6"/>
  <c r="F180" i="6"/>
  <c r="S187" i="6"/>
  <c r="P187" i="6"/>
  <c r="U187" i="6"/>
  <c r="Q187" i="6"/>
  <c r="O187" i="6"/>
  <c r="K187" i="6"/>
  <c r="T187" i="6"/>
  <c r="R187" i="6"/>
  <c r="N187" i="6"/>
  <c r="M187" i="6"/>
  <c r="H187" i="6"/>
  <c r="L187" i="6"/>
  <c r="J187" i="6"/>
  <c r="I187" i="6"/>
  <c r="G187" i="6"/>
  <c r="F187" i="6"/>
  <c r="Q70" i="6"/>
  <c r="O163" i="6"/>
  <c r="I506" i="6" s="1"/>
  <c r="E527" i="6"/>
  <c r="E526" i="6"/>
  <c r="E523" i="6"/>
  <c r="I146" i="6"/>
  <c r="I148" i="6" s="1"/>
  <c r="H552" i="6" s="1"/>
  <c r="K130" i="6"/>
  <c r="K132" i="6" s="1"/>
  <c r="G554" i="6" s="1"/>
  <c r="P251" i="6"/>
  <c r="Q251" i="6"/>
  <c r="O251" i="6"/>
  <c r="L251" i="6"/>
  <c r="U251" i="6"/>
  <c r="T251" i="6"/>
  <c r="N251" i="6"/>
  <c r="S251" i="6"/>
  <c r="R251" i="6"/>
  <c r="M251" i="6"/>
  <c r="K251" i="6"/>
  <c r="H251" i="6"/>
  <c r="J251" i="6"/>
  <c r="I251" i="6"/>
  <c r="G251" i="6"/>
  <c r="F251" i="6"/>
  <c r="I412" i="6"/>
  <c r="P227" i="6"/>
  <c r="R227" i="6"/>
  <c r="M227" i="6"/>
  <c r="L227" i="6"/>
  <c r="T227" i="6"/>
  <c r="S227" i="6"/>
  <c r="Q227" i="6"/>
  <c r="K227" i="6"/>
  <c r="F227" i="6"/>
  <c r="O227" i="6"/>
  <c r="N227" i="6"/>
  <c r="J227" i="6"/>
  <c r="I227" i="6"/>
  <c r="G227" i="6"/>
  <c r="U227" i="6"/>
  <c r="H227" i="6"/>
  <c r="O416" i="6"/>
  <c r="O396" i="6"/>
  <c r="F547" i="6"/>
  <c r="U547" i="6"/>
  <c r="T547" i="6"/>
  <c r="M547" i="6"/>
  <c r="L547" i="6"/>
  <c r="G547" i="6"/>
  <c r="O547" i="6"/>
  <c r="N547" i="6"/>
  <c r="J547" i="6"/>
  <c r="I547" i="6"/>
  <c r="H547" i="6"/>
  <c r="S547" i="6"/>
  <c r="R547" i="6"/>
  <c r="Q547" i="6"/>
  <c r="P547" i="6"/>
  <c r="K547" i="6"/>
  <c r="R435" i="6"/>
  <c r="I546" i="6"/>
  <c r="H546" i="6"/>
  <c r="G546" i="6"/>
  <c r="M546" i="6"/>
  <c r="L546" i="6"/>
  <c r="K546" i="6"/>
  <c r="J546" i="6"/>
  <c r="O546" i="6"/>
  <c r="T546" i="6"/>
  <c r="S546" i="6"/>
  <c r="F546" i="6"/>
  <c r="R546" i="6"/>
  <c r="P546" i="6"/>
  <c r="U546" i="6"/>
  <c r="Q546" i="6"/>
  <c r="N546" i="6"/>
  <c r="K395" i="6"/>
  <c r="I9" i="6" l="1"/>
  <c r="E28" i="3" s="1"/>
  <c r="G131" i="6"/>
  <c r="G498" i="6" s="1"/>
  <c r="B54" i="3"/>
  <c r="H147" i="6"/>
  <c r="H499" i="6" s="1"/>
  <c r="J69" i="6"/>
  <c r="P44" i="2"/>
  <c r="O69" i="6"/>
  <c r="B55" i="3"/>
  <c r="Q69" i="6"/>
  <c r="Q496" i="6" s="1"/>
  <c r="Q14" i="6" s="1"/>
  <c r="F69" i="6"/>
  <c r="B57" i="3"/>
  <c r="K131" i="6"/>
  <c r="G502" i="6" s="1"/>
  <c r="B53" i="3"/>
  <c r="B51" i="3"/>
  <c r="M163" i="6"/>
  <c r="I504" i="6" s="1"/>
  <c r="M131" i="6"/>
  <c r="G504" i="6" s="1"/>
  <c r="O9" i="6"/>
  <c r="B56" i="3"/>
  <c r="S69" i="6"/>
  <c r="S496" i="6" s="1"/>
  <c r="S14" i="6" s="1"/>
  <c r="G147" i="6"/>
  <c r="H498" i="6" s="1"/>
  <c r="L163" i="6"/>
  <c r="I503" i="6" s="1"/>
  <c r="J131" i="6"/>
  <c r="G501" i="6" s="1"/>
  <c r="B50" i="3"/>
  <c r="J9" i="6"/>
  <c r="B48" i="3"/>
  <c r="L115" i="6"/>
  <c r="F503" i="6" s="1"/>
  <c r="M69" i="6"/>
  <c r="M13" i="6" s="1"/>
  <c r="R9" i="6"/>
  <c r="B49" i="3"/>
  <c r="L69" i="6"/>
  <c r="L496" i="6" s="1"/>
  <c r="L14" i="6" s="1"/>
  <c r="R69" i="6"/>
  <c r="R13" i="6" s="1"/>
  <c r="K69" i="6"/>
  <c r="K13" i="6" s="1"/>
  <c r="F9" i="6"/>
  <c r="B28" i="3" s="1"/>
  <c r="G69" i="6"/>
  <c r="U9" i="6"/>
  <c r="I69" i="6"/>
  <c r="I496" i="6" s="1"/>
  <c r="I14" i="6" s="1"/>
  <c r="E31" i="3" s="1"/>
  <c r="H131" i="6"/>
  <c r="G499" i="6" s="1"/>
  <c r="P69" i="6"/>
  <c r="P13" i="6" s="1"/>
  <c r="L9" i="6"/>
  <c r="T69" i="6"/>
  <c r="T496" i="6" s="1"/>
  <c r="T14" i="6" s="1"/>
  <c r="I115" i="6"/>
  <c r="F500" i="6" s="1"/>
  <c r="S45" i="2"/>
  <c r="B52" i="3"/>
  <c r="K147" i="6"/>
  <c r="H502" i="6" s="1"/>
  <c r="C55" i="4"/>
  <c r="C41" i="4"/>
  <c r="F496" i="6"/>
  <c r="F14" i="6" s="1"/>
  <c r="B31" i="3" s="1"/>
  <c r="F13" i="6"/>
  <c r="B30" i="3" s="1"/>
  <c r="S13" i="6"/>
  <c r="M496" i="6"/>
  <c r="M14" i="6" s="1"/>
  <c r="B55" i="4"/>
  <c r="B41" i="4"/>
  <c r="R496" i="6"/>
  <c r="R14" i="6" s="1"/>
  <c r="P496" i="6"/>
  <c r="P14" i="6" s="1"/>
  <c r="H496" i="6"/>
  <c r="H14" i="6" s="1"/>
  <c r="D31" i="3" s="1"/>
  <c r="H13" i="6"/>
  <c r="D30" i="3" s="1"/>
  <c r="G496" i="6"/>
  <c r="G14" i="6" s="1"/>
  <c r="C31" i="3" s="1"/>
  <c r="G13" i="6"/>
  <c r="C30" i="3" s="1"/>
  <c r="J496" i="6"/>
  <c r="J14" i="6" s="1"/>
  <c r="J13" i="6"/>
  <c r="G520" i="6"/>
  <c r="F520" i="6"/>
  <c r="U520" i="6"/>
  <c r="N520" i="6"/>
  <c r="M520" i="6"/>
  <c r="J520" i="6"/>
  <c r="I520" i="6"/>
  <c r="H520" i="6"/>
  <c r="T520" i="6"/>
  <c r="S520" i="6"/>
  <c r="R520" i="6"/>
  <c r="Q520" i="6"/>
  <c r="O520" i="6"/>
  <c r="L520" i="6"/>
  <c r="K520" i="6"/>
  <c r="P520" i="6"/>
  <c r="J10" i="6"/>
  <c r="H115" i="6"/>
  <c r="F499" i="6" s="1"/>
  <c r="L147" i="6"/>
  <c r="H503" i="6" s="1"/>
  <c r="R45" i="2"/>
  <c r="S516" i="6"/>
  <c r="R516" i="6"/>
  <c r="Q516" i="6"/>
  <c r="K516" i="6"/>
  <c r="J516" i="6"/>
  <c r="I516" i="6"/>
  <c r="T516" i="6"/>
  <c r="P516" i="6"/>
  <c r="H516" i="6"/>
  <c r="G516" i="6"/>
  <c r="F516" i="6"/>
  <c r="U516" i="6"/>
  <c r="O516" i="6"/>
  <c r="N516" i="6"/>
  <c r="L516" i="6"/>
  <c r="M516" i="6"/>
  <c r="M10" i="6"/>
  <c r="J548" i="6"/>
  <c r="J21" i="6"/>
  <c r="M518" i="6"/>
  <c r="L518" i="6"/>
  <c r="K518" i="6"/>
  <c r="N518" i="6"/>
  <c r="J518" i="6"/>
  <c r="R518" i="6"/>
  <c r="S518" i="6"/>
  <c r="U518" i="6"/>
  <c r="T518" i="6"/>
  <c r="H518" i="6"/>
  <c r="I518" i="6"/>
  <c r="G518" i="6"/>
  <c r="Q518" i="6"/>
  <c r="P518" i="6"/>
  <c r="O518" i="6"/>
  <c r="F518" i="6"/>
  <c r="Q522" i="6"/>
  <c r="P522" i="6"/>
  <c r="O522" i="6"/>
  <c r="N522" i="6"/>
  <c r="M522" i="6"/>
  <c r="H522" i="6"/>
  <c r="S522" i="6"/>
  <c r="R522" i="6"/>
  <c r="K522" i="6"/>
  <c r="J522" i="6"/>
  <c r="I522" i="6"/>
  <c r="G522" i="6"/>
  <c r="U522" i="6"/>
  <c r="F522" i="6"/>
  <c r="L522" i="6"/>
  <c r="T522" i="6"/>
  <c r="N10" i="6"/>
  <c r="F531" i="6"/>
  <c r="U531" i="6"/>
  <c r="T531" i="6"/>
  <c r="S531" i="6"/>
  <c r="P531" i="6"/>
  <c r="R531" i="6"/>
  <c r="Q531" i="6"/>
  <c r="O531" i="6"/>
  <c r="N531" i="6"/>
  <c r="M531" i="6"/>
  <c r="K531" i="6"/>
  <c r="J531" i="6"/>
  <c r="L531" i="6"/>
  <c r="I531" i="6"/>
  <c r="H531" i="6"/>
  <c r="G531" i="6"/>
  <c r="M115" i="6"/>
  <c r="F504" i="6" s="1"/>
  <c r="T548" i="6"/>
  <c r="T21" i="6"/>
  <c r="T45" i="2"/>
  <c r="K10" i="6"/>
  <c r="K9" i="6"/>
  <c r="P10" i="6"/>
  <c r="O548" i="6"/>
  <c r="O21" i="6"/>
  <c r="I548" i="6"/>
  <c r="I21" i="6"/>
  <c r="E37" i="3" s="1"/>
  <c r="P43" i="2"/>
  <c r="Q10" i="6"/>
  <c r="Q9" i="6"/>
  <c r="K115" i="6"/>
  <c r="F502" i="6" s="1"/>
  <c r="L529" i="6"/>
  <c r="K529" i="6"/>
  <c r="J529" i="6"/>
  <c r="T529" i="6"/>
  <c r="S529" i="6"/>
  <c r="I529" i="6"/>
  <c r="R529" i="6"/>
  <c r="Q529" i="6"/>
  <c r="U529" i="6"/>
  <c r="P529" i="6"/>
  <c r="G529" i="6"/>
  <c r="M529" i="6"/>
  <c r="H529" i="6"/>
  <c r="N529" i="6"/>
  <c r="F529" i="6"/>
  <c r="O529" i="6"/>
  <c r="R548" i="6"/>
  <c r="R21" i="6"/>
  <c r="P548" i="6"/>
  <c r="P21" i="6"/>
  <c r="L10" i="6"/>
  <c r="S548" i="6"/>
  <c r="S21" i="6"/>
  <c r="H525" i="6"/>
  <c r="G525" i="6"/>
  <c r="F525" i="6"/>
  <c r="Q525" i="6"/>
  <c r="P525" i="6"/>
  <c r="S525" i="6"/>
  <c r="N525" i="6"/>
  <c r="M525" i="6"/>
  <c r="L525" i="6"/>
  <c r="K525" i="6"/>
  <c r="I525" i="6"/>
  <c r="U525" i="6"/>
  <c r="T525" i="6"/>
  <c r="R525" i="6"/>
  <c r="O525" i="6"/>
  <c r="J525" i="6"/>
  <c r="L548" i="6"/>
  <c r="L21" i="6"/>
  <c r="B19" i="4"/>
  <c r="B12" i="4"/>
  <c r="E19" i="4"/>
  <c r="D19" i="4"/>
  <c r="C19" i="4"/>
  <c r="N523" i="6"/>
  <c r="M523" i="6"/>
  <c r="L523" i="6"/>
  <c r="Q523" i="6"/>
  <c r="P523" i="6"/>
  <c r="J523" i="6"/>
  <c r="U523" i="6"/>
  <c r="T523" i="6"/>
  <c r="F523" i="6"/>
  <c r="S523" i="6"/>
  <c r="O523" i="6"/>
  <c r="K523" i="6"/>
  <c r="G523" i="6"/>
  <c r="R523" i="6"/>
  <c r="I523" i="6"/>
  <c r="H523" i="6"/>
  <c r="S10" i="6"/>
  <c r="U69" i="6"/>
  <c r="D41" i="4"/>
  <c r="D55" i="4"/>
  <c r="F548" i="6"/>
  <c r="F21" i="6"/>
  <c r="B37" i="3" s="1"/>
  <c r="K524" i="6"/>
  <c r="J524" i="6"/>
  <c r="I524" i="6"/>
  <c r="Q524" i="6"/>
  <c r="P524" i="6"/>
  <c r="O524" i="6"/>
  <c r="N524" i="6"/>
  <c r="M524" i="6"/>
  <c r="U524" i="6"/>
  <c r="H524" i="6"/>
  <c r="G524" i="6"/>
  <c r="F524" i="6"/>
  <c r="T524" i="6"/>
  <c r="S524" i="6"/>
  <c r="R524" i="6"/>
  <c r="L524" i="6"/>
  <c r="U526" i="6"/>
  <c r="T526" i="6"/>
  <c r="S526" i="6"/>
  <c r="Q526" i="6"/>
  <c r="P526" i="6"/>
  <c r="I526" i="6"/>
  <c r="H526" i="6"/>
  <c r="F526" i="6"/>
  <c r="O526" i="6"/>
  <c r="N526" i="6"/>
  <c r="G526" i="6"/>
  <c r="L526" i="6"/>
  <c r="J526" i="6"/>
  <c r="R526" i="6"/>
  <c r="M526" i="6"/>
  <c r="K526" i="6"/>
  <c r="R10" i="6"/>
  <c r="G548" i="6"/>
  <c r="G21" i="6"/>
  <c r="C37" i="3" s="1"/>
  <c r="J519" i="6"/>
  <c r="I519" i="6"/>
  <c r="H519" i="6"/>
  <c r="N519" i="6"/>
  <c r="M519" i="6"/>
  <c r="T519" i="6"/>
  <c r="L519" i="6"/>
  <c r="K519" i="6"/>
  <c r="G519" i="6"/>
  <c r="F519" i="6"/>
  <c r="S519" i="6"/>
  <c r="U519" i="6"/>
  <c r="O519" i="6"/>
  <c r="P519" i="6"/>
  <c r="R519" i="6"/>
  <c r="Q519" i="6"/>
  <c r="K163" i="6"/>
  <c r="I502" i="6" s="1"/>
  <c r="M548" i="6"/>
  <c r="M21" i="6"/>
  <c r="R527" i="6"/>
  <c r="Q527" i="6"/>
  <c r="P527" i="6"/>
  <c r="T527" i="6"/>
  <c r="S527" i="6"/>
  <c r="K527" i="6"/>
  <c r="J527" i="6"/>
  <c r="M527" i="6"/>
  <c r="G527" i="6"/>
  <c r="F527" i="6"/>
  <c r="O527" i="6"/>
  <c r="N527" i="6"/>
  <c r="L527" i="6"/>
  <c r="I527" i="6"/>
  <c r="H527" i="6"/>
  <c r="U527" i="6"/>
  <c r="G10" i="6"/>
  <c r="O528" i="6"/>
  <c r="N528" i="6"/>
  <c r="M528" i="6"/>
  <c r="T528" i="6"/>
  <c r="S528" i="6"/>
  <c r="G528" i="6"/>
  <c r="C54" i="3" s="1"/>
  <c r="P528" i="6"/>
  <c r="L528" i="6"/>
  <c r="R528" i="6"/>
  <c r="Q528" i="6"/>
  <c r="K528" i="6"/>
  <c r="J528" i="6"/>
  <c r="H528" i="6"/>
  <c r="F528" i="6"/>
  <c r="U528" i="6"/>
  <c r="I528" i="6"/>
  <c r="K548" i="6"/>
  <c r="K21" i="6"/>
  <c r="I530" i="6"/>
  <c r="H530" i="6"/>
  <c r="G530" i="6"/>
  <c r="T530" i="6"/>
  <c r="S530" i="6"/>
  <c r="N530" i="6"/>
  <c r="U530" i="6"/>
  <c r="L530" i="6"/>
  <c r="J530" i="6"/>
  <c r="F530" i="6"/>
  <c r="Q530" i="6"/>
  <c r="M530" i="6"/>
  <c r="R530" i="6"/>
  <c r="O530" i="6"/>
  <c r="K530" i="6"/>
  <c r="P530" i="6"/>
  <c r="I163" i="6"/>
  <c r="I500" i="6" s="1"/>
  <c r="N548" i="6"/>
  <c r="N21" i="6"/>
  <c r="H10" i="6"/>
  <c r="N9" i="6"/>
  <c r="J115" i="6"/>
  <c r="F501" i="6" s="1"/>
  <c r="P517" i="6"/>
  <c r="O517" i="6"/>
  <c r="N517" i="6"/>
  <c r="K517" i="6"/>
  <c r="J517" i="6"/>
  <c r="M517" i="6"/>
  <c r="U517" i="6"/>
  <c r="H517" i="6"/>
  <c r="T517" i="6"/>
  <c r="S517" i="6"/>
  <c r="R517" i="6"/>
  <c r="Q517" i="6"/>
  <c r="I517" i="6"/>
  <c r="G517" i="6"/>
  <c r="L517" i="6"/>
  <c r="F517" i="6"/>
  <c r="T521" i="6"/>
  <c r="S521" i="6"/>
  <c r="R521" i="6"/>
  <c r="N521" i="6"/>
  <c r="M521" i="6"/>
  <c r="F521" i="6"/>
  <c r="L521" i="6"/>
  <c r="K521" i="6"/>
  <c r="Q521" i="6"/>
  <c r="J521" i="6"/>
  <c r="U521" i="6"/>
  <c r="P521" i="6"/>
  <c r="I521" i="6"/>
  <c r="O521" i="6"/>
  <c r="H521" i="6"/>
  <c r="G521" i="6"/>
  <c r="S532" i="6"/>
  <c r="R532" i="6"/>
  <c r="Q532" i="6"/>
  <c r="U532" i="6"/>
  <c r="H532" i="6"/>
  <c r="G532" i="6"/>
  <c r="T532" i="6"/>
  <c r="P532" i="6"/>
  <c r="K532" i="6"/>
  <c r="O532" i="6"/>
  <c r="N532" i="6"/>
  <c r="I532" i="6"/>
  <c r="F532" i="6"/>
  <c r="J532" i="6"/>
  <c r="M532" i="6"/>
  <c r="L532" i="6"/>
  <c r="I131" i="6"/>
  <c r="G500" i="6" s="1"/>
  <c r="O496" i="6"/>
  <c r="O14" i="6" s="1"/>
  <c r="O13" i="6"/>
  <c r="Q548" i="6"/>
  <c r="Q21" i="6"/>
  <c r="F10" i="6"/>
  <c r="H548" i="6"/>
  <c r="H21" i="6"/>
  <c r="D37" i="3" s="1"/>
  <c r="O10" i="6"/>
  <c r="M9" i="6"/>
  <c r="J163" i="6"/>
  <c r="I501" i="6" s="1"/>
  <c r="I147" i="6"/>
  <c r="H500" i="6" s="1"/>
  <c r="T10" i="6"/>
  <c r="P9" i="6"/>
  <c r="T9" i="6"/>
  <c r="J147" i="6"/>
  <c r="H501" i="6" s="1"/>
  <c r="U548" i="6"/>
  <c r="U21" i="6"/>
  <c r="U10" i="6"/>
  <c r="G9" i="6"/>
  <c r="C28" i="3" s="1"/>
  <c r="E55" i="4"/>
  <c r="E41" i="4"/>
  <c r="N69" i="6"/>
  <c r="P533" i="6"/>
  <c r="O533" i="6"/>
  <c r="N533" i="6"/>
  <c r="J533" i="6"/>
  <c r="I533" i="6"/>
  <c r="K533" i="6"/>
  <c r="L533" i="6"/>
  <c r="H533" i="6"/>
  <c r="G533" i="6"/>
  <c r="F533" i="6"/>
  <c r="T533" i="6"/>
  <c r="U533" i="6"/>
  <c r="S533" i="6"/>
  <c r="R533" i="6"/>
  <c r="Q533" i="6"/>
  <c r="M533" i="6"/>
  <c r="Q45" i="2"/>
  <c r="I10" i="6"/>
  <c r="S9" i="6"/>
  <c r="H9" i="6"/>
  <c r="D28" i="3" s="1"/>
  <c r="J535" i="6"/>
  <c r="I535" i="6"/>
  <c r="H535" i="6"/>
  <c r="K535" i="6"/>
  <c r="Q535" i="6"/>
  <c r="P535" i="6"/>
  <c r="U535" i="6"/>
  <c r="T535" i="6"/>
  <c r="M535" i="6"/>
  <c r="R535" i="6"/>
  <c r="F535" i="6"/>
  <c r="S535" i="6"/>
  <c r="N535" i="6"/>
  <c r="L535" i="6"/>
  <c r="G535" i="6"/>
  <c r="C57" i="3" s="1"/>
  <c r="O535" i="6"/>
  <c r="Q13" i="6" l="1"/>
  <c r="C55" i="3"/>
  <c r="C52" i="3"/>
  <c r="K496" i="6"/>
  <c r="K14" i="6" s="1"/>
  <c r="G23" i="6"/>
  <c r="C39" i="3" s="1"/>
  <c r="I15" i="6"/>
  <c r="E32" i="3" s="1"/>
  <c r="F15" i="6"/>
  <c r="B32" i="3" s="1"/>
  <c r="T13" i="6"/>
  <c r="I13" i="6"/>
  <c r="E30" i="3" s="1"/>
  <c r="S22" i="6"/>
  <c r="S25" i="6" s="1"/>
  <c r="R27" i="6" s="1"/>
  <c r="H15" i="6"/>
  <c r="D32" i="3" s="1"/>
  <c r="H23" i="6"/>
  <c r="D39" i="3" s="1"/>
  <c r="L13" i="6"/>
  <c r="L16" i="6" s="1"/>
  <c r="C56" i="3"/>
  <c r="E57" i="4"/>
  <c r="E56" i="4"/>
  <c r="G16" i="6"/>
  <c r="C33" i="3" s="1"/>
  <c r="G11" i="6"/>
  <c r="C29" i="3" s="1"/>
  <c r="M18" i="6"/>
  <c r="M17" i="6"/>
  <c r="U11" i="6"/>
  <c r="M22" i="6"/>
  <c r="M25" i="6" s="1"/>
  <c r="K27" i="6" s="1"/>
  <c r="I22" i="6"/>
  <c r="N18" i="6"/>
  <c r="N17" i="6"/>
  <c r="I23" i="6"/>
  <c r="E39" i="3" s="1"/>
  <c r="P16" i="6"/>
  <c r="P11" i="6"/>
  <c r="F18" i="6"/>
  <c r="F17" i="6"/>
  <c r="B35" i="3" s="1"/>
  <c r="B57" i="4"/>
  <c r="B56" i="4"/>
  <c r="F22" i="6"/>
  <c r="N11" i="6"/>
  <c r="S11" i="6"/>
  <c r="S16" i="6"/>
  <c r="Q18" i="6"/>
  <c r="Q17" i="6"/>
  <c r="C53" i="3"/>
  <c r="N496" i="6"/>
  <c r="N14" i="6" s="1"/>
  <c r="N13" i="6"/>
  <c r="N16" i="6" s="1"/>
  <c r="H22" i="6"/>
  <c r="Q16" i="6"/>
  <c r="Q11" i="6"/>
  <c r="J22" i="6"/>
  <c r="J25" i="6" s="1"/>
  <c r="H27" i="6" s="1"/>
  <c r="R18" i="6"/>
  <c r="R17" i="6"/>
  <c r="H11" i="6"/>
  <c r="D29" i="3" s="1"/>
  <c r="H16" i="6"/>
  <c r="D33" i="3" s="1"/>
  <c r="P18" i="6"/>
  <c r="P17" i="6"/>
  <c r="P22" i="6"/>
  <c r="P25" i="6" s="1"/>
  <c r="O27" i="6" s="1"/>
  <c r="D57" i="4"/>
  <c r="D56" i="4"/>
  <c r="O16" i="6"/>
  <c r="O11" i="6"/>
  <c r="P45" i="2"/>
  <c r="G15" i="6"/>
  <c r="C32" i="3" s="1"/>
  <c r="Q22" i="6"/>
  <c r="Q25" i="6" s="1"/>
  <c r="P27" i="6" s="1"/>
  <c r="P28" i="6" s="1"/>
  <c r="E18" i="4"/>
  <c r="D18" i="4"/>
  <c r="C18" i="4"/>
  <c r="B18" i="4"/>
  <c r="C51" i="3"/>
  <c r="C49" i="3"/>
  <c r="L18" i="6"/>
  <c r="L17" i="6"/>
  <c r="T18" i="6"/>
  <c r="T17" i="6"/>
  <c r="I11" i="6"/>
  <c r="E29" i="3" s="1"/>
  <c r="I16" i="6"/>
  <c r="E33" i="3" s="1"/>
  <c r="F16" i="6"/>
  <c r="B33" i="3" s="1"/>
  <c r="F11" i="6"/>
  <c r="B29" i="3" s="1"/>
  <c r="K22" i="6"/>
  <c r="S18" i="6"/>
  <c r="S17" i="6"/>
  <c r="M11" i="6"/>
  <c r="M16" i="6"/>
  <c r="J11" i="6"/>
  <c r="J16" i="6"/>
  <c r="C50" i="3"/>
  <c r="G22" i="6"/>
  <c r="G18" i="6"/>
  <c r="C48" i="3"/>
  <c r="G17" i="6"/>
  <c r="C35" i="3" s="1"/>
  <c r="R11" i="6"/>
  <c r="R16" i="6"/>
  <c r="L11" i="6"/>
  <c r="K11" i="6"/>
  <c r="K16" i="6"/>
  <c r="H18" i="6"/>
  <c r="H17" i="6"/>
  <c r="D35" i="3" s="1"/>
  <c r="T16" i="6"/>
  <c r="T11" i="6"/>
  <c r="T22" i="6"/>
  <c r="T25" i="6" s="1"/>
  <c r="S27" i="6" s="1"/>
  <c r="I18" i="6"/>
  <c r="I17" i="6"/>
  <c r="E35" i="3" s="1"/>
  <c r="R22" i="6"/>
  <c r="R25" i="6" s="1"/>
  <c r="Q27" i="6" s="1"/>
  <c r="J18" i="6"/>
  <c r="J17" i="6"/>
  <c r="N22" i="6"/>
  <c r="U496" i="6"/>
  <c r="U14" i="6" s="1"/>
  <c r="U13" i="6"/>
  <c r="U16" i="6" s="1"/>
  <c r="K18" i="6"/>
  <c r="K17" i="6"/>
  <c r="O18" i="6"/>
  <c r="O17" i="6"/>
  <c r="U22" i="6"/>
  <c r="F23" i="6"/>
  <c r="B39" i="3" s="1"/>
  <c r="L22" i="6"/>
  <c r="L25" i="6" s="1"/>
  <c r="J27" i="6" s="1"/>
  <c r="O22" i="6"/>
  <c r="O25" i="6" s="1"/>
  <c r="M27" i="6" s="1"/>
  <c r="U18" i="6"/>
  <c r="U17" i="6"/>
  <c r="C57" i="4"/>
  <c r="C56" i="4"/>
  <c r="K25" i="6" l="1"/>
  <c r="I27" i="6" s="1"/>
  <c r="I28" i="6" s="1"/>
  <c r="Q28" i="6"/>
  <c r="S24" i="6"/>
  <c r="S19" i="6"/>
  <c r="K24" i="6"/>
  <c r="K19" i="6"/>
  <c r="H25" i="6"/>
  <c r="N27" i="6" s="1"/>
  <c r="N28" i="6" s="1"/>
  <c r="D38" i="3"/>
  <c r="O24" i="6"/>
  <c r="O19" i="6"/>
  <c r="F19" i="6"/>
  <c r="B36" i="3" s="1"/>
  <c r="F24" i="6"/>
  <c r="B40" i="3" s="1"/>
  <c r="N25" i="6"/>
  <c r="L27" i="6" s="1"/>
  <c r="L28" i="6" s="1"/>
  <c r="N19" i="6"/>
  <c r="N24" i="6"/>
  <c r="K28" i="6"/>
  <c r="O28" i="6"/>
  <c r="I25" i="6"/>
  <c r="T27" i="6" s="1"/>
  <c r="E38" i="3"/>
  <c r="J24" i="6"/>
  <c r="J19" i="6"/>
  <c r="Q24" i="6"/>
  <c r="Q19" i="6"/>
  <c r="G24" i="6"/>
  <c r="C40" i="3" s="1"/>
  <c r="G19" i="6"/>
  <c r="C36" i="3" s="1"/>
  <c r="T24" i="6"/>
  <c r="T19" i="6"/>
  <c r="R28" i="6"/>
  <c r="G25" i="6"/>
  <c r="G27" i="6" s="1"/>
  <c r="G28" i="6" s="1"/>
  <c r="C38" i="3"/>
  <c r="P24" i="6"/>
  <c r="P19" i="6"/>
  <c r="M19" i="6"/>
  <c r="M24" i="6"/>
  <c r="U19" i="6"/>
  <c r="U24" i="6"/>
  <c r="I24" i="6"/>
  <c r="E40" i="3" s="1"/>
  <c r="I19" i="6"/>
  <c r="E36" i="3" s="1"/>
  <c r="L24" i="6"/>
  <c r="L19" i="6"/>
  <c r="J28" i="6"/>
  <c r="F25" i="6"/>
  <c r="F27" i="6" s="1"/>
  <c r="B38" i="3"/>
  <c r="U25" i="6"/>
  <c r="U27" i="6" s="1"/>
  <c r="R24" i="6"/>
  <c r="R19" i="6"/>
  <c r="M28" i="6"/>
  <c r="H24" i="6"/>
  <c r="D40" i="3" s="1"/>
  <c r="H19" i="6"/>
  <c r="D36" i="3" s="1"/>
  <c r="H28" i="6"/>
  <c r="T28" i="6" l="1"/>
  <c r="S28" i="6"/>
  <c r="F28" i="6"/>
  <c r="F29" i="6" l="1"/>
  <c r="B43" i="3" s="1"/>
</calcChain>
</file>

<file path=xl/sharedStrings.xml><?xml version="1.0" encoding="utf-8"?>
<sst xmlns="http://schemas.openxmlformats.org/spreadsheetml/2006/main" count="768" uniqueCount="274">
  <si>
    <t>Scaletta contro titolo lungo: 200.000 € a 73 anni nel BTP 2053</t>
  </si>
  <si>
    <t>Strumento informativo / divulgativo. NON è consulenza finanziaria. I valori sono indicativi al 2026 e vanno verificati col tuo consulente.</t>
  </si>
  <si>
    <t>Indice</t>
  </si>
  <si>
    <t>1 - Titoli e shock</t>
  </si>
  <si>
    <t>15 titoli quotati: rateo, rendimento lordo e netto, duration, shock dei tassi, 12 mesi contro un conto deposito</t>
  </si>
  <si>
    <t>2 - Scaletta e confronto</t>
  </si>
  <si>
    <t>Scaletta di 10 titoli contro il titolo unico 2053 a H anni: reddito, valore, rendimento, pareggio</t>
  </si>
  <si>
    <t>3 - Inflazione e vendita</t>
  </si>
  <si>
    <t>Cedola in euro di oggi, vendita a 80 anni, vendita per cassa (ipotesi di scena)</t>
  </si>
  <si>
    <t>4 - Vita e successione</t>
  </si>
  <si>
    <t>Probabilità di essere vivi (ISTAT 2025) e successione dei titoli di Stato</t>
  </si>
  <si>
    <t>5 - Motore flussi</t>
  </si>
  <si>
    <t>Flussi datati e XIRR per scenario: motore del calcolo, non modificare</t>
  </si>
  <si>
    <t>Come usare</t>
  </si>
  <si>
    <t>1. Le celle GIALLE sono input — modificale coi tuoi numeri.</t>
  </si>
  <si>
    <t>2. Le celle VERDI sono output — si aggiornano automaticamente.</t>
  </si>
  <si>
    <t>3. Tutti i numeri di default sono al 2026 da fonti pubbliche.</t>
  </si>
  <si>
    <t>4. Niente codice nascosto: l'Excel è solo formule modificabili.</t>
  </si>
  <si>
    <t>Fonti dati</t>
  </si>
  <si>
    <t>• Borsa Italiana, schede dei titoli, prezzi di riferimento del 15/10/2026 (regolamento 19/10/2026)</t>
  </si>
  <si>
    <t>• ISTAT, tavole di mortalità 2025 per ripartizione (tavola di periodo; non conta i miglioramenti futuri)</t>
  </si>
  <si>
    <t>• D.Lgs. 346/1990 art. 12 c. 1 lett. h)-i); dal 1/1/2027 D.Lgs. 123/2025 art. 97 (decorrenza spostata dal D.L. 200/2025 art. 4 c. 5)</t>
  </si>
  <si>
    <t>• Imposta 12,5% su cedole e sconto; bollo 0,20% (DPR 642/1972, Tariffa art. 13 c. 2-ter); D.Lgs. 139/2024 (aliquote di successione)</t>
  </si>
  <si>
    <t>• Calcoli miei: dossier del video, motore in Python e questo foglio. Il caso di Ennio è inventato</t>
  </si>
  <si>
    <t>Aggiornamenti: github.com/marcofire-it/marco-fire-simulatori</t>
  </si>
  <si>
    <t>Titoli quotati, shock dei tassi e 12 mesi contro un conto deposito</t>
  </si>
  <si>
    <t>Parametri (celle gialle = input)</t>
  </si>
  <si>
    <t>Data dei prezzi (Borsa Italiana)</t>
  </si>
  <si>
    <t>Data di regolamento</t>
  </si>
  <si>
    <t>Capitale investito (€)</t>
  </si>
  <si>
    <t>Aliquota su cedole e sconto</t>
  </si>
  <si>
    <t>Bollo annuo sul valore</t>
  </si>
  <si>
    <t>Shock dei tassi Δ (punti, da −1 a +3)</t>
  </si>
  <si>
    <t>Orizzonte H (anni: 7, 10, 14 o 16)</t>
  </si>
  <si>
    <t>Tasso di reinvestimento lordo effettivo: forzatura (vuoto = rendimento del 10 anni ott 2036)</t>
  </si>
  <si>
    <t>Tasso di reinvestimento usato</t>
  </si>
  <si>
    <t>Conto deposito, rendimento lordo annuo</t>
  </si>
  <si>
    <t>Imposta sugli interessi del conto</t>
  </si>
  <si>
    <t>Data fra 12 mesi</t>
  </si>
  <si>
    <t>Data di fine orizzonte</t>
  </si>
  <si>
    <t>I 15 titoli: dati Borsa Italiana (gialli) e calcoli (verdi)</t>
  </si>
  <si>
    <t>Titolo</t>
  </si>
  <si>
    <t>Codice</t>
  </si>
  <si>
    <t>Cedola</t>
  </si>
  <si>
    <t>Scadenza</t>
  </si>
  <si>
    <t>Prezzo secco</t>
  </si>
  <si>
    <t>Lordo Borsa Italiana</t>
  </si>
  <si>
    <t>Netto Borsa Italiana</t>
  </si>
  <si>
    <t>Duration Borsa Italiana</t>
  </si>
  <si>
    <t>Rateo lordo per 100</t>
  </si>
  <si>
    <t>Rendimento nominale</t>
  </si>
  <si>
    <t>Lordo effettivo</t>
  </si>
  <si>
    <t>Duration (calcolo)</t>
  </si>
  <si>
    <t>Netto nominale (imposta anche sullo sconto)</t>
  </si>
  <si>
    <t>Netto effettivo</t>
  </si>
  <si>
    <t>Netto dopo bollo</t>
  </si>
  <si>
    <t>Vita residua (anni)</t>
  </si>
  <si>
    <t>Prezzo dopo lo shock Δ</t>
  </si>
  <si>
    <t>Nominale acquistato (€)</t>
  </si>
  <si>
    <t>Variazione in € (Δ)</t>
  </si>
  <si>
    <t>Variazione % (Δ)</t>
  </si>
  <si>
    <t>Prezzo con +1 punto</t>
  </si>
  <si>
    <t>Variazione in € (+1 punto)</t>
  </si>
  <si>
    <t>Lordo calcolo − Borsa Italiana (punti)</t>
  </si>
  <si>
    <t>BTP 2,70% ott 2027</t>
  </si>
  <si>
    <t>IT0005622128</t>
  </si>
  <si>
    <t>BTP 2,80% dic 2028</t>
  </si>
  <si>
    <t>IT0005340929</t>
  </si>
  <si>
    <t>BTP 3,00% ott 2029</t>
  </si>
  <si>
    <t>IT0005611055</t>
  </si>
  <si>
    <t>BTP 2,70% ott 2030</t>
  </si>
  <si>
    <t>IT0005654642</t>
  </si>
  <si>
    <t>BTP 3,15% nov 2031</t>
  </si>
  <si>
    <t>IT0005619546</t>
  </si>
  <si>
    <t>BTP 3,25% nov 2032</t>
  </si>
  <si>
    <t>IT0005668220</t>
  </si>
  <si>
    <t>BTP 4,35% nov 2033</t>
  </si>
  <si>
    <t>IT0005544082</t>
  </si>
  <si>
    <t>BTP 3,85% feb 2035</t>
  </si>
  <si>
    <t>IT0005607970</t>
  </si>
  <si>
    <t>BTP 3,60% ott 2035</t>
  </si>
  <si>
    <t>IT0005648149</t>
  </si>
  <si>
    <t>BTP 4,00% ott 2036</t>
  </si>
  <si>
    <t>IT0005729931</t>
  </si>
  <si>
    <t>BTP 3,95% ott 2041</t>
  </si>
  <si>
    <t>IT0005694630</t>
  </si>
  <si>
    <t>BTP 2,70% mar 2047</t>
  </si>
  <si>
    <t>IT0005162828</t>
  </si>
  <si>
    <t>BTP 4,50% ott 2053</t>
  </si>
  <si>
    <t>IT0005534141</t>
  </si>
  <si>
    <t>BTP 4,30% ott 2054</t>
  </si>
  <si>
    <t>IT0005611741</t>
  </si>
  <si>
    <t>BTP 4,65% ott 2055</t>
  </si>
  <si>
    <t>IT0005668238</t>
  </si>
  <si>
    <t>Il netto usa la convenzione dello speciale: imposta 12,5% sulle cedole e anche sullo sconto sotto la pari; Borsa Italiana conta le sole cedole, per questo i suoi netti sono un poco più alti. La duration Borsa Italiana del 2053 è 14,69.</t>
  </si>
  <si>
    <t>Curva dei rendimenti: i 15 titoli ordinati per vita residua (colonne P e K), interpolazione lineare nel foglio 5.</t>
  </si>
  <si>
    <t>12 mesi: titolo contro conto deposito (prezzo fra un anno = rendimento di oggi + Δ)</t>
  </si>
  <si>
    <t>Conto deposito netto a 12 mesi</t>
  </si>
  <si>
    <t>Δ da provare (punti) →</t>
  </si>
  <si>
    <t>Prezzo oggi</t>
  </si>
  <si>
    <t>Rateo oggi</t>
  </si>
  <si>
    <t>Prima cedola</t>
  </si>
  <si>
    <t>Quota 1ª cedola tassata</t>
  </si>
  <si>
    <t>Cedola lorda semestrale</t>
  </si>
  <si>
    <t>Cedole nette a 12 mesi</t>
  </si>
  <si>
    <t>Rateo fra 12 mesi</t>
  </si>
  <si>
    <t>Pareggio contro il conto (punti)</t>
  </si>
  <si>
    <t>Passaggio 1</t>
  </si>
  <si>
    <t>Passaggio 2</t>
  </si>
  <si>
    <t>Passaggio 3</t>
  </si>
  <si>
    <t>Passaggio 4</t>
  </si>
  <si>
    <t>Passaggio 5</t>
  </si>
  <si>
    <t>Rendimento a 12 mesi netto (colonne J-O) = prezzo fra un anno + rateo + cedole nette − imposta sulla plusvalenza e sul rateo, rispetto al prezzo pieno di oggi. È un carry con curva che si muove di Δ, non un invito. Il pareggio è interpolato sulla griglia.</t>
  </si>
  <si>
    <t>Il foglio 5 è il motore del calcolo, non modificare.</t>
  </si>
  <si>
    <t>Scaletta di dieci titoli contro il titolo unico 2053</t>
  </si>
  <si>
    <t>Parametri (dal foglio 1: si cambiano là)</t>
  </si>
  <si>
    <t>Orizzonte H (anni)</t>
  </si>
  <si>
    <t>Tasso di reinvestimento lordo effettivo usato</t>
  </si>
  <si>
    <t>Capitale (€)</t>
  </si>
  <si>
    <t>Importo per ogni titolo della scaletta (€)</t>
  </si>
  <si>
    <t>Composizione della scaletta (prezzi Borsa Italiana, 15/10/2026)</t>
  </si>
  <si>
    <t>Nominale (€)</t>
  </si>
  <si>
    <t>Cedola netta annua a regime (€)</t>
  </si>
  <si>
    <t>Totale scaletta: cedola netta a regime (€) e in % del capitale</t>
  </si>
  <si>
    <t>Titolo unico 2053: nominale (€) e cedola netta annua a regime (€)</t>
  </si>
  <si>
    <t>Confronto a H anni: quattro ipotesi di tassi (curva ferma = Δ 0; Δ in punti)</t>
  </si>
  <si>
    <t>Misura</t>
  </si>
  <si>
    <t>Scaletta</t>
  </si>
  <si>
    <t xml:space="preserve">   reddito 1° anno</t>
  </si>
  <si>
    <t xml:space="preserve">   reddito medio annuo</t>
  </si>
  <si>
    <t xml:space="preserve">   valore netto finale</t>
  </si>
  <si>
    <t xml:space="preserve">   rendimento annuo XIRR, prima del bollo</t>
  </si>
  <si>
    <t xml:space="preserve">   rendimento annuo XIRR, dopo il bollo</t>
  </si>
  <si>
    <t xml:space="preserve">   prelievo annuo che lascia 200.000 € di valore di mercato a H anni</t>
  </si>
  <si>
    <t>Titolo 2053</t>
  </si>
  <si>
    <t>Pareggio: di quanto devono salire i tassi perché la scaletta renda come il 2053</t>
  </si>
  <si>
    <t>Pareggio (Δ in punti, interpolato sulla griglia del foglio 5)</t>
  </si>
  <si>
    <t>Cambiando H (7, 10, 14, 16) o il tasso di reinvestimento nel foglio 1 il pareggio si ricalcola: è un intervallo, non un numero. Il prelievo che lascia 200.000 € di valore di mercato a H anni non è un rendimento: oltre la cedola, per il titolo 2053 richiede vendite parziali al prezzo del giorno. Per la vendita a 7 anni del video impostare H = 7; per l'intervallo del pareggio cambiare il reinvestimento (foglio 1, B12) a 4,00% e 5,04%.</t>
  </si>
  <si>
    <t>Reddito netto per anno di piano, tassi fermi (Δ = 0)</t>
  </si>
  <si>
    <t>Anno</t>
  </si>
  <si>
    <t>La cedola nel tempo e la vendita a 80 anni (ipotesi di scena)</t>
  </si>
  <si>
    <t>Ipotesi</t>
  </si>
  <si>
    <t>Inflazione annua (canone del canale)</t>
  </si>
  <si>
    <t>Pensione netta al mese (€, 12 mensilità)</t>
  </si>
  <si>
    <t>Fabbisogno in una volta (€): ipotesi di scena, non un costo di RSA</t>
  </si>
  <si>
    <t>Età oggi</t>
  </si>
  <si>
    <t>Nominale del titolo 2053 acquistato (€)</t>
  </si>
  <si>
    <t>Cedola netta al mese (€), fissa fino al 01/10/2053</t>
  </si>
  <si>
    <t>Cedola e pensione negli anni, in euro di oggi</t>
  </si>
  <si>
    <t>Anni da oggi</t>
  </si>
  <si>
    <t>Età</t>
  </si>
  <si>
    <t>Fattore dei prezzi (1 + inflazione)^anni</t>
  </si>
  <si>
    <t>Cedola netta al mese in euro di oggi (€)</t>
  </si>
  <si>
    <t>Cedola netta all'anno in euro di oggi (€)</t>
  </si>
  <si>
    <t>Potere d'acquisto perso dalla cedola</t>
  </si>
  <si>
    <t>Pensione netta rivalutata come i prezzi, al mese (€ nominali)</t>
  </si>
  <si>
    <t>Rendimento reale a scadenza del 2053 (inflazione costante)</t>
  </si>
  <si>
    <t>Netto effettivo, bollo escluso</t>
  </si>
  <si>
    <t>Netto reale, bollo escluso</t>
  </si>
  <si>
    <t>Netto effettivo dopo il bollo</t>
  </si>
  <si>
    <t>Netto reale dopo il bollo</t>
  </si>
  <si>
    <t>Vendita dopo N anni: prezzo netto di imposta (prezzo secco + rateo − imposta sul guadagno e sul rateo)</t>
  </si>
  <si>
    <t>Anni alla vendita</t>
  </si>
  <si>
    <t>Data della vendita</t>
  </si>
  <si>
    <t>Δ dei tassi (punti)</t>
  </si>
  <si>
    <t>BTP ott 2053</t>
  </si>
  <si>
    <t xml:space="preserve">   vita residua alla vendita (anni)</t>
  </si>
  <si>
    <t xml:space="preserve">   rendimento di curva alla vendita</t>
  </si>
  <si>
    <t xml:space="preserve">   rateo lordo per 100 alla vendita</t>
  </si>
  <si>
    <t xml:space="preserve">   prezzo secco alla vendita</t>
  </si>
  <si>
    <t xml:space="preserve">   imposta per 100 (guadagno sul prezzo di acquisto + rateo)</t>
  </si>
  <si>
    <t xml:space="preserve">   P_netto per 100 = prezzo + rateo − imposta</t>
  </si>
  <si>
    <t xml:space="preserve">   valore netto del portafoglio (€)</t>
  </si>
  <si>
    <t xml:space="preserve">   cedole nette incassate fino alla vendita (€)</t>
  </si>
  <si>
    <t>BTP ott 2041</t>
  </si>
  <si>
    <t>Se servono 60.000 € in una volta: quanto titolo 2053 si vende (ipotesi di scena)</t>
  </si>
  <si>
    <t>Nominale da vendere (€)</t>
  </si>
  <si>
    <t>Cedola netta annua che resta (€)</t>
  </si>
  <si>
    <t>Nominale venduto in % del posseduto</t>
  </si>
  <si>
    <t>Probabilità di essere vivo alla data della vendita (uomo, dato l'età di oggi)</t>
  </si>
  <si>
    <t>Con la curva ferma (Δ 0) il valore a N anni sconta la discesa verso la pari (roll-down). Le colonne B-E sono i quattro Δ della riga 32 (−1, 0, +1, +2 punti). Il foglio 5 è il motore del calcolo, non modificare.</t>
  </si>
  <si>
    <t>Probabilità di essere vivi e successione dei titoli di Stato</t>
  </si>
  <si>
    <t>Sopravviventi per 100.000 nati, tavola di periodo ISTAT 2025, Italia (dati di fonte; csv ISTAT, sha256 ea4c097efc4f2004…)</t>
  </si>
  <si>
    <t>Sopravviventi uomini l(x)</t>
  </si>
  <si>
    <t>Sopravviventi donne l(x)</t>
  </si>
  <si>
    <t>P(vivo a x | 73) uomini</t>
  </si>
  <si>
    <t>P(vivo a x | 73) donne</t>
  </si>
  <si>
    <t>Speranza di vita a 73 anni (anni; dato di fonte): uomini e donne</t>
  </si>
  <si>
    <t>Dati di fonte incollati (non formule). La tavola di periodo non conta i miglioramenti futuri della sopravvivenza: stima prudente.</t>
  </si>
  <si>
    <t>Probabilità di essere vivi a una certa età, dato di avere 73 anni (uomo)</t>
  </si>
  <si>
    <t>P(vivo, dato 73)</t>
  </si>
  <si>
    <t>Alla scadenza del titolo 2053</t>
  </si>
  <si>
    <t>Età alla scadenza (anni)</t>
  </si>
  <si>
    <t>P(vivo alla scadenza), uomo, interpolazione fra due età</t>
  </si>
  <si>
    <t>Probabilità che il titolo passi agli eredi prima della scadenza</t>
  </si>
  <si>
    <t>Successione: i titoli di Stato non entrano nell'attivo ereditario (art. 12 D.Lgs. 346/1990; dal 1/1/2027 art. 97 D.Lgs. 123/2025)</t>
  </si>
  <si>
    <t>Erede</t>
  </si>
  <si>
    <t>Franchigia per erede (€)</t>
  </si>
  <si>
    <t>Aliquota sopra la franchigia</t>
  </si>
  <si>
    <t>1 - Coniuge o figli (linea retta)</t>
  </si>
  <si>
    <t>2 - Fratelli e sorelle</t>
  </si>
  <si>
    <t>3 - Altri parenti fino al 4° grado</t>
  </si>
  <si>
    <t>4 - Altri soggetti</t>
  </si>
  <si>
    <t>Tipo di erede (1-4)</t>
  </si>
  <si>
    <t>Altri beni ricevuti dall'erede, titoli di Stato esclusi (€)</t>
  </si>
  <si>
    <t>Titoli di Stato ricevuti (€)</t>
  </si>
  <si>
    <t>Imposta oggi (titoli fuori dall'attivo)</t>
  </si>
  <si>
    <t>Imposta se i titoli fossero nell'attivo (confronto)</t>
  </si>
  <si>
    <t>Effetto dell'esclusione dei titoli (€)</t>
  </si>
  <si>
    <t>Per figli e coniuge 200.000 € stanno sotto la franchigia anche senza l'esclusione: conta per fratelli, nipoti, altri. L'esclusione riguarda l'attivo ereditario: dichiarazione di successione e altre imposte restano. Fotografia di ottobre 2026, non regime stabile.</t>
  </si>
  <si>
    <t>Motore dei flussi: scaletta contro titolo unico, per scenario di tassi</t>
  </si>
  <si>
    <t>Motore del calcolo, non modificare. Un flusso per riga, datato; XIRR su 365 giorni. Struttura calibrata sul regolamento del 19/10/2026 e su H fino a 16 anni.</t>
  </si>
  <si>
    <t>Scenari di tassi (Δ in punti, giallo) e tasso nominale di reinvestimento</t>
  </si>
  <si>
    <t>Δ (punti)</t>
  </si>
  <si>
    <t>Tasso nominale di reinvestimento</t>
  </si>
  <si>
    <t>Risultati per scenario: scaletta (9-16), titolo unico 2053 (17-24), differenza e pareggio (25-29)</t>
  </si>
  <si>
    <t>scaletta: reddito 1° anno</t>
  </si>
  <si>
    <t>scaletta: cedole totali</t>
  </si>
  <si>
    <t>scaletta: reddito medio annuo</t>
  </si>
  <si>
    <t>scaletta: rimborsi in cassa</t>
  </si>
  <si>
    <t>scaletta: valore netto finale</t>
  </si>
  <si>
    <t>scaletta: XIRR prima del bollo</t>
  </si>
  <si>
    <t>scaletta: XIRR dopo il bollo</t>
  </si>
  <si>
    <t>scaletta: prelievo annuo che lascia 200.000 € di valore di mercato a H anni</t>
  </si>
  <si>
    <t>2053: reddito 1° anno</t>
  </si>
  <si>
    <t>2053: cedole totali</t>
  </si>
  <si>
    <t>2053: reddito medio annuo</t>
  </si>
  <si>
    <t>2053: rimborsi in cassa</t>
  </si>
  <si>
    <t>2053: valore netto finale</t>
  </si>
  <si>
    <t>2053: XIRR prima del bollo</t>
  </si>
  <si>
    <t>2053: XIRR dopo il bollo</t>
  </si>
  <si>
    <t>2053: prelievo annuo che lascia 200.000 € di valore di mercato a H anni</t>
  </si>
  <si>
    <t>Differenza XIRR (2053 − scaletta), punti</t>
  </si>
  <si>
    <t>Δ in ordine crescente</t>
  </si>
  <si>
    <t>Differenza in ordine</t>
  </si>
  <si>
    <t>Pareggio: passaggio di segno fra due Δ vicini</t>
  </si>
  <si>
    <t>Pareggio scaletta contro 2053 (Δ in punti)</t>
  </si>
  <si>
    <t>Appoggio: titoli della scaletta (righe 34-43) e titolo unico 2053 (riga 44)</t>
  </si>
  <si>
    <t>Quota di nominale (nominale/100)</t>
  </si>
  <si>
    <t>Importo reinvestito alla pari</t>
  </si>
  <si>
    <t>Fine del reinvestimento a 10 anni</t>
  </si>
  <si>
    <t>Vita residua a fine orizzonte</t>
  </si>
  <si>
    <t>Rendimento di curva a fine orizzonte</t>
  </si>
  <si>
    <t>Frazione di cedola maturata a fine orizzonte</t>
  </si>
  <si>
    <t>Rateo lordo a fine orizzonte</t>
  </si>
  <si>
    <t>Valore netto a fine orizzonte: titoli ancora in vita (48-57), reinvestimenti aperti (59-68), totale scaletta (69), titolo 2053 (70)</t>
  </si>
  <si>
    <t>Totale valore netto, scaletta</t>
  </si>
  <si>
    <t>Valore netto, titolo unico 2053</t>
  </si>
  <si>
    <t>Base del bollo: valore a inizio di ogni anno di piano (k = 0..15), per i primi quattro scenari — approssimazione: il bollo vero si calcola al 31/12</t>
  </si>
  <si>
    <t>Data inizio anno k</t>
  </si>
  <si>
    <t>k</t>
  </si>
  <si>
    <t>Vita residua (anni) a inizio anno k: scaletta (77-86) e 2053 (87)</t>
  </si>
  <si>
    <t>Rendimento di curva a inizio anno k: scaletta (90-99) e 2053 (100)</t>
  </si>
  <si>
    <t>Valore a inizio anno k, scenario 1: scaletta (righe +1..+10), titolo 2053 (+11); totali (+12 scaletta, +13 titolo 2053)</t>
  </si>
  <si>
    <t>Valore scaletta (titoli + reinvestimenti alla pari)</t>
  </si>
  <si>
    <t>Valore titolo unico 2053</t>
  </si>
  <si>
    <t>Valore a inizio anno k, scenario 2: scaletta (righe +1..+10), titolo 2053 (+11); totali (+12 scaletta, +13 titolo 2053)</t>
  </si>
  <si>
    <t>Valore a inizio anno k, scenario 3: scaletta (righe +1..+10), titolo 2053 (+11); totali (+12 scaletta, +13 titolo 2053)</t>
  </si>
  <si>
    <t>Valore a inizio anno k, scenario 4: scaletta (righe +1..+10), titolo 2053 (+11); totali (+12 scaletta, +13 titolo 2053)</t>
  </si>
  <si>
    <t>Flussi datati della scaletta (tipo, titolo, data, anno di piano, importo per scenario)</t>
  </si>
  <si>
    <t>Tipo</t>
  </si>
  <si>
    <t>Data</t>
  </si>
  <si>
    <t>Anno di piano</t>
  </si>
  <si>
    <t>Importo se indipendente dal Δ</t>
  </si>
  <si>
    <t>investimento</t>
  </si>
  <si>
    <t>scaletta</t>
  </si>
  <si>
    <t>cedola</t>
  </si>
  <si>
    <t>cedola reinv.</t>
  </si>
  <si>
    <t>rimborso reinv.</t>
  </si>
  <si>
    <t>valore finale</t>
  </si>
  <si>
    <t>bollo</t>
  </si>
  <si>
    <t>Flussi datati del titolo unico 2053</t>
  </si>
  <si>
    <t>2053</t>
  </si>
  <si>
    <t>Fine del motore del calcolo: non modificare le formule. Per cambiare orizzonte e tassi usare le celle gialle del foglio 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</si>
</sst>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5" formatCode="#,##0&quot; €&quot;"/>
    <numFmt numFmtId="166" formatCode="0.0%"/>
    <numFmt numFmtId="167" formatCode="\+0.00;\-0.00;0.00"/>
    <numFmt numFmtId="168" formatCode="0.0000"/>
    <numFmt numFmtId="169" formatCode="0.0000%"/>
    <numFmt numFmtId="170" formatCode="&quot;Tassi &quot;\+0.00;&quot;Tassi &quot;\-0.00;&quot;Tassi fermi&quot;"/>
    <numFmt numFmtId="171" formatCode="0.000"/>
  </numFmts>
  <fonts count="8">
    <font>
      <sz val="11"/>
      <color theme="1"/>
      <name val="Calibri"/>
      <family val="2"/>
      <scheme val="minor"/>
    </font>
    <font>
      <b/>
      <sz val="16"/>
      <color rgb="FF1E40AF"/>
      <name val="Calibri"/>
    </font>
    <font>
      <i/>
      <sz val="10"/>
      <color rgb="FF991B1B"/>
      <name val="Calibri"/>
    </font>
    <font>
      <b/>
      <sz val="14"/>
      <name val="Calibri"/>
    </font>
    <font>
      <b/>
      <sz val="11"/>
      <name val="Calibri"/>
    </font>
    <font>
      <sz val="11"/>
      <name val="Calibri"/>
    </font>
    <font>
      <i/>
      <sz val="9"/>
      <color rgb="FF666666"/>
      <name val="Calibri"/>
    </font>
    <font>
      <b/>
      <sz val="13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EE2E2"/>
      </patternFill>
    </fill>
    <fill>
      <patternFill patternType="solid">
        <fgColor rgb="FF1E40AF"/>
      </patternFill>
    </fill>
    <fill>
      <patternFill patternType="solid">
        <fgColor rgb="FFFFF59D"/>
      </patternFill>
    </fill>
    <fill>
      <patternFill patternType="solid">
        <fgColor rgb="FFC8E6C9"/>
      </patternFill>
    </fill>
    <fill>
      <patternFill patternType="solid">
        <fgColor rgb="FFDBEAFE"/>
      </patternFill>
    </fill>
    <fill>
      <patternFill patternType="solid">
        <fgColor rgb="FFFAFAFA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4" fillId="0" borderId="1" xfId="0" applyFont="1" applyBorder="1" applyAlignment="1">
      <alignment horizontal="left" vertical="center" wrapText="1"/>
    </xf>
    <xf numFmtId="1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5" fillId="4" borderId="1" xfId="0" applyNumberFormat="1" applyFont="1" applyFill="1" applyBorder="1" applyAlignment="1">
      <alignment horizontal="right" vertical="center"/>
    </xf>
    <xf numFmtId="10" fontId="5" fillId="4" borderId="1" xfId="0" applyNumberFormat="1" applyFont="1" applyFill="1" applyBorder="1" applyAlignment="1">
      <alignment horizontal="right" vertical="center"/>
    </xf>
    <xf numFmtId="167" fontId="5" fillId="4" borderId="1" xfId="0" applyNumberFormat="1" applyFont="1" applyFill="1" applyBorder="1" applyAlignment="1">
      <alignment horizontal="right" vertical="center"/>
    </xf>
    <xf numFmtId="1" fontId="5" fillId="4" borderId="1" xfId="0" applyNumberFormat="1" applyFont="1" applyFill="1" applyBorder="1" applyAlignment="1">
      <alignment horizontal="right" vertical="center"/>
    </xf>
    <xf numFmtId="10" fontId="5" fillId="5" borderId="1" xfId="0" applyNumberFormat="1" applyFont="1" applyFill="1" applyBorder="1" applyAlignment="1">
      <alignment horizontal="right" vertical="center"/>
    </xf>
    <xf numFmtId="14" fontId="5" fillId="5" borderId="1" xfId="0" applyNumberFormat="1" applyFon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2" fontId="5" fillId="4" borderId="1" xfId="0" applyNumberFormat="1" applyFont="1" applyFill="1" applyBorder="1" applyAlignment="1">
      <alignment horizontal="right" vertical="center"/>
    </xf>
    <xf numFmtId="168" fontId="5" fillId="5" borderId="1" xfId="0" applyNumberFormat="1" applyFont="1" applyFill="1" applyBorder="1" applyAlignment="1">
      <alignment horizontal="right" vertical="center"/>
    </xf>
    <xf numFmtId="169" fontId="5" fillId="5" borderId="1" xfId="0" applyNumberFormat="1" applyFont="1" applyFill="1" applyBorder="1" applyAlignment="1">
      <alignment horizontal="right" vertical="center"/>
    </xf>
    <xf numFmtId="2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167" fontId="5" fillId="5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right" vertical="center"/>
    </xf>
    <xf numFmtId="1" fontId="5" fillId="5" borderId="1" xfId="0" applyNumberFormat="1" applyFont="1" applyFill="1" applyBorder="1" applyAlignment="1">
      <alignment horizontal="right" vertical="center"/>
    </xf>
    <xf numFmtId="170" fontId="5" fillId="5" borderId="1" xfId="0" applyNumberFormat="1" applyFont="1" applyFill="1" applyBorder="1" applyAlignment="1">
      <alignment horizontal="right" vertical="center"/>
    </xf>
    <xf numFmtId="166" fontId="5" fillId="5" borderId="1" xfId="0" applyNumberFormat="1" applyFont="1" applyFill="1" applyBorder="1" applyAlignment="1">
      <alignment horizontal="right" vertical="center"/>
    </xf>
    <xf numFmtId="0" fontId="0" fillId="0" borderId="1" xfId="0" applyBorder="1"/>
    <xf numFmtId="3" fontId="0" fillId="0" borderId="1" xfId="0" applyNumberFormat="1" applyBorder="1"/>
    <xf numFmtId="171" fontId="0" fillId="0" borderId="0" xfId="0" applyNumberFormat="1"/>
    <xf numFmtId="49" fontId="5" fillId="5" borderId="1" xfId="0" applyNumberFormat="1" applyFont="1" applyFill="1" applyBorder="1" applyAlignment="1">
      <alignment horizontal="right" vertical="center"/>
    </xf>
    <xf numFmtId="165" fontId="0" fillId="0" borderId="0" xfId="0" applyNumberFormat="1"/>
    <xf numFmtId="166" fontId="0" fillId="0" borderId="0" xfId="0" applyNumberFormat="1"/>
    <xf numFmtId="0" fontId="2" fillId="2" borderId="0" xfId="0" applyFont="1" applyFill="1" applyAlignment="1">
      <alignment horizontal="left" vertical="center" wrapText="1"/>
    </xf>
    <xf numFmtId="0" fontId="0" fillId="0" borderId="0" xfId="0"/>
    <xf numFmtId="0" fontId="1" fillId="0" borderId="0" xfId="0" applyFont="1"/>
    <xf numFmtId="0" fontId="6" fillId="7" borderId="0" xfId="0" applyFont="1" applyFill="1" applyAlignment="1">
      <alignment horizontal="left" vertical="center" wrapText="1"/>
    </xf>
    <xf numFmtId="0" fontId="7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tabSelected="1" workbookViewId="0">
      <selection sqref="A1:B1"/>
    </sheetView>
  </sheetViews>
  <sheetFormatPr defaultRowHeight="15"/>
  <cols>
    <col min="1" max="1" width="60" customWidth="1"/>
    <col min="2" max="2" width="30" customWidth="1"/>
  </cols>
  <sheetData>
    <row r="1" spans="1:2" ht="32.1" customHeight="1">
      <c r="A1" s="34" t="s">
        <v>0</v>
      </c>
      <c r="B1" s="33"/>
    </row>
    <row r="2" spans="1:2" ht="32.1" customHeight="1">
      <c r="A2" s="32" t="s">
        <v>1</v>
      </c>
      <c r="B2" s="33"/>
    </row>
    <row r="4" spans="1:2" ht="18.75">
      <c r="A4" s="1" t="s">
        <v>2</v>
      </c>
    </row>
    <row r="5" spans="1:2" ht="21.95" customHeight="1">
      <c r="A5" s="2" t="s">
        <v>3</v>
      </c>
      <c r="B5" s="3" t="s">
        <v>4</v>
      </c>
    </row>
    <row r="6" spans="1:2" ht="21.95" customHeight="1">
      <c r="A6" s="2" t="s">
        <v>5</v>
      </c>
      <c r="B6" s="3" t="s">
        <v>6</v>
      </c>
    </row>
    <row r="7" spans="1:2" ht="21.95" customHeight="1">
      <c r="A7" s="2" t="s">
        <v>7</v>
      </c>
      <c r="B7" s="3" t="s">
        <v>8</v>
      </c>
    </row>
    <row r="8" spans="1:2" ht="21.95" customHeight="1">
      <c r="A8" s="2" t="s">
        <v>9</v>
      </c>
      <c r="B8" s="3" t="s">
        <v>10</v>
      </c>
    </row>
    <row r="9" spans="1:2" ht="21.95" customHeight="1">
      <c r="A9" s="2" t="s">
        <v>11</v>
      </c>
      <c r="B9" s="3" t="s">
        <v>12</v>
      </c>
    </row>
    <row r="11" spans="1:2" ht="18.75">
      <c r="A11" s="1" t="s">
        <v>13</v>
      </c>
    </row>
    <row r="12" spans="1:2">
      <c r="A12" s="3" t="s">
        <v>14</v>
      </c>
    </row>
    <row r="13" spans="1:2">
      <c r="A13" s="3" t="s">
        <v>15</v>
      </c>
    </row>
    <row r="14" spans="1:2">
      <c r="A14" s="3" t="s">
        <v>16</v>
      </c>
    </row>
    <row r="15" spans="1:2">
      <c r="A15" s="3" t="s">
        <v>17</v>
      </c>
    </row>
    <row r="17" spans="1:1" ht="18.75">
      <c r="A17" s="1" t="s">
        <v>18</v>
      </c>
    </row>
    <row r="18" spans="1:1">
      <c r="A18" s="3" t="s">
        <v>19</v>
      </c>
    </row>
    <row r="19" spans="1:1">
      <c r="A19" s="3" t="s">
        <v>20</v>
      </c>
    </row>
    <row r="20" spans="1:1">
      <c r="A20" s="3" t="s">
        <v>21</v>
      </c>
    </row>
    <row r="21" spans="1:1">
      <c r="A21" s="3" t="s">
        <v>22</v>
      </c>
    </row>
    <row r="22" spans="1:1">
      <c r="A22" s="3" t="s">
        <v>23</v>
      </c>
    </row>
    <row r="24" spans="1:1">
      <c r="A24" s="4" t="s">
        <v>24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8"/>
  <sheetViews>
    <sheetView workbookViewId="0"/>
  </sheetViews>
  <sheetFormatPr defaultRowHeight="15"/>
  <cols>
    <col min="1" max="1" width="62" customWidth="1"/>
    <col min="2" max="3" width="17" customWidth="1"/>
    <col min="4" max="4" width="18" customWidth="1"/>
    <col min="5" max="5" width="17" customWidth="1"/>
    <col min="6" max="9" width="25" customWidth="1"/>
    <col min="10" max="10" width="22" customWidth="1"/>
    <col min="11" max="11" width="18" customWidth="1"/>
    <col min="12" max="12" width="21" customWidth="1"/>
    <col min="13" max="13" width="25" customWidth="1"/>
    <col min="14" max="14" width="18" customWidth="1"/>
    <col min="15" max="15" width="19" customWidth="1"/>
    <col min="16" max="18" width="25" customWidth="1"/>
    <col min="19" max="19" width="22" customWidth="1"/>
    <col min="20" max="20" width="19" customWidth="1"/>
    <col min="21" max="21" width="22" customWidth="1"/>
    <col min="22" max="23" width="25" customWidth="1"/>
  </cols>
  <sheetData>
    <row r="1" spans="1:12" ht="24.95" customHeight="1">
      <c r="A1" s="34" t="s">
        <v>25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1:12" ht="32.1" customHeight="1">
      <c r="A2" s="32" t="s">
        <v>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</row>
    <row r="4" spans="1:12">
      <c r="A4" s="36" t="s">
        <v>26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</row>
    <row r="5" spans="1:12">
      <c r="A5" s="5" t="s">
        <v>27</v>
      </c>
      <c r="B5" s="6">
        <v>46310</v>
      </c>
    </row>
    <row r="6" spans="1:12">
      <c r="A6" s="5" t="s">
        <v>28</v>
      </c>
      <c r="B6" s="6">
        <v>46314</v>
      </c>
    </row>
    <row r="7" spans="1:12">
      <c r="A7" s="5" t="s">
        <v>29</v>
      </c>
      <c r="B7" s="7">
        <v>200000</v>
      </c>
    </row>
    <row r="8" spans="1:12">
      <c r="A8" s="5" t="s">
        <v>30</v>
      </c>
      <c r="B8" s="8">
        <v>0.125</v>
      </c>
    </row>
    <row r="9" spans="1:12">
      <c r="A9" s="5" t="s">
        <v>31</v>
      </c>
      <c r="B9" s="9">
        <v>2E-3</v>
      </c>
    </row>
    <row r="10" spans="1:12">
      <c r="A10" s="5" t="s">
        <v>32</v>
      </c>
      <c r="B10" s="10">
        <v>1</v>
      </c>
    </row>
    <row r="11" spans="1:12">
      <c r="A11" s="5" t="s">
        <v>33</v>
      </c>
      <c r="B11" s="11">
        <v>10</v>
      </c>
    </row>
    <row r="12" spans="1:12" ht="30">
      <c r="A12" s="5" t="s">
        <v>34</v>
      </c>
      <c r="B12" s="9"/>
    </row>
    <row r="13" spans="1:12">
      <c r="A13" s="5" t="s">
        <v>35</v>
      </c>
      <c r="B13" s="12">
        <f>IF(B12="",K30,B12)</f>
        <v>4.4879535479525945E-2</v>
      </c>
    </row>
    <row r="14" spans="1:12">
      <c r="A14" s="5" t="s">
        <v>36</v>
      </c>
      <c r="B14" s="9">
        <v>2.5000000000000001E-2</v>
      </c>
    </row>
    <row r="15" spans="1:12">
      <c r="A15" s="5" t="s">
        <v>37</v>
      </c>
      <c r="B15" s="8">
        <v>0.26</v>
      </c>
    </row>
    <row r="16" spans="1:12">
      <c r="A16" s="5" t="s">
        <v>38</v>
      </c>
      <c r="B16" s="13">
        <f>EDATE(B6,12)</f>
        <v>46679</v>
      </c>
    </row>
    <row r="17" spans="1:24">
      <c r="A17" s="5" t="s">
        <v>39</v>
      </c>
      <c r="B17" s="13">
        <f>EDATE(B6,12*B11)</f>
        <v>49967</v>
      </c>
    </row>
    <row r="19" spans="1:24">
      <c r="A19" s="36" t="s">
        <v>40</v>
      </c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</row>
    <row r="20" spans="1:24" ht="33.950000000000003" customHeight="1">
      <c r="A20" s="14" t="s">
        <v>41</v>
      </c>
      <c r="B20" s="14" t="s">
        <v>42</v>
      </c>
      <c r="C20" s="14" t="s">
        <v>43</v>
      </c>
      <c r="D20" s="14" t="s">
        <v>44</v>
      </c>
      <c r="E20" s="14" t="s">
        <v>45</v>
      </c>
      <c r="F20" s="14" t="s">
        <v>46</v>
      </c>
      <c r="G20" s="14" t="s">
        <v>47</v>
      </c>
      <c r="H20" s="14" t="s">
        <v>48</v>
      </c>
      <c r="I20" s="14" t="s">
        <v>49</v>
      </c>
      <c r="J20" s="14" t="s">
        <v>50</v>
      </c>
      <c r="K20" s="14" t="s">
        <v>51</v>
      </c>
      <c r="L20" s="14" t="s">
        <v>52</v>
      </c>
      <c r="M20" s="14" t="s">
        <v>53</v>
      </c>
      <c r="N20" s="14" t="s">
        <v>54</v>
      </c>
      <c r="O20" s="14" t="s">
        <v>55</v>
      </c>
      <c r="P20" s="14" t="s">
        <v>56</v>
      </c>
      <c r="Q20" s="14" t="s">
        <v>57</v>
      </c>
      <c r="R20" s="14" t="s">
        <v>58</v>
      </c>
      <c r="S20" s="14" t="s">
        <v>59</v>
      </c>
      <c r="T20" s="14" t="s">
        <v>60</v>
      </c>
      <c r="U20" s="14" t="s">
        <v>61</v>
      </c>
      <c r="V20" s="14" t="s">
        <v>62</v>
      </c>
      <c r="W20" s="14" t="s">
        <v>63</v>
      </c>
    </row>
    <row r="21" spans="1:24">
      <c r="A21" s="15" t="s">
        <v>64</v>
      </c>
      <c r="B21" s="15" t="s">
        <v>65</v>
      </c>
      <c r="C21" s="9">
        <v>2.7E-2</v>
      </c>
      <c r="D21" s="6">
        <v>46675</v>
      </c>
      <c r="E21" s="16">
        <v>99.555999999999997</v>
      </c>
      <c r="F21" s="9">
        <v>3.1800000000000002E-2</v>
      </c>
      <c r="G21" s="9">
        <v>2.8400000000000002E-2</v>
      </c>
      <c r="H21" s="16">
        <v>0.95</v>
      </c>
      <c r="I21" s="17">
        <f t="shared" ref="I21:I35" si="0">C21*100/2*COUPDAYBS($B$6,D21,2,1)/COUPDAYS($B$6,D21,2,1)</f>
        <v>2.9670329670329672E-2</v>
      </c>
      <c r="J21" s="18">
        <f t="shared" ref="J21:J35" si="1">YIELD($B$6,D21,C21,E21,100,2,1)</f>
        <v>3.1592849308428261E-2</v>
      </c>
      <c r="K21" s="12">
        <f t="shared" ref="K21:K35" si="2">(1+J21/2)^2-1</f>
        <v>3.1842376340284639E-2</v>
      </c>
      <c r="L21" s="19">
        <f t="shared" ref="L21:L35" si="3">MDURATION($B$6,D21,C21,J21,2,1)/(1+J21/2)</f>
        <v>0.95202138769061295</v>
      </c>
      <c r="M21" s="18">
        <f t="shared" ref="M21:M35" si="4">YIELD($B$6,D21,C21*(1-$B$8),E21,100-$B$8*MAX(0,100-E21),2,1)</f>
        <v>2.7647754352062143E-2</v>
      </c>
      <c r="N21" s="12">
        <f t="shared" ref="N21:N35" si="5">(1+M21/2)^2-1</f>
        <v>2.783885393224006E-2</v>
      </c>
      <c r="O21" s="12">
        <f t="shared" ref="O21:O35" si="6">N21-$B$9*E21/100</f>
        <v>2.5847733932240061E-2</v>
      </c>
      <c r="P21" s="19">
        <f t="shared" ref="P21:P35" si="7">(D21-$B$6)/365.25</f>
        <v>0.9883641341546886</v>
      </c>
      <c r="Q21" s="19">
        <f t="shared" ref="Q21:Q35" si="8">PRICE($B$6,D21,C21,2*((1+K21+$B$10/100)^0.5-1),100,2,1)</f>
        <v>98.616958394518193</v>
      </c>
      <c r="R21" s="20">
        <f t="shared" ref="R21:R35" si="9">$B$7/(E21+I21)*100</f>
        <v>200832.10700687775</v>
      </c>
      <c r="S21" s="20">
        <f t="shared" ref="S21:S35" si="10">R21*(Q21-E21)/100</f>
        <v>-1885.8970419603208</v>
      </c>
      <c r="T21" s="12">
        <f t="shared" ref="T21:T35" si="11">Q21/E21-1</f>
        <v>-9.4322954466009579E-3</v>
      </c>
      <c r="U21" s="19">
        <f t="shared" ref="U21:U35" si="12">PRICE($B$6,D21,C21,2*((1+K21+1/100)^0.5-1),100,2,1)</f>
        <v>98.616958394518193</v>
      </c>
      <c r="V21" s="20">
        <f t="shared" ref="V21:V35" si="13">R21*(U21-E21)/100</f>
        <v>-1885.8970419603208</v>
      </c>
      <c r="W21" s="21">
        <f t="shared" ref="W21:W35" si="14">(K21-F21)*100</f>
        <v>4.2376340284637493E-3</v>
      </c>
    </row>
    <row r="22" spans="1:24">
      <c r="A22" s="15" t="s">
        <v>66</v>
      </c>
      <c r="B22" s="15" t="s">
        <v>67</v>
      </c>
      <c r="C22" s="9">
        <v>2.8000000000000001E-2</v>
      </c>
      <c r="D22" s="6">
        <v>47088</v>
      </c>
      <c r="E22" s="16">
        <v>98.8</v>
      </c>
      <c r="F22" s="9">
        <v>3.4099999999999998E-2</v>
      </c>
      <c r="G22" s="9">
        <v>3.0499999999999999E-2</v>
      </c>
      <c r="H22" s="16">
        <v>1.98</v>
      </c>
      <c r="I22" s="17">
        <f t="shared" si="0"/>
        <v>1.0710382513661203</v>
      </c>
      <c r="J22" s="18">
        <f t="shared" si="1"/>
        <v>3.3910428248170685E-2</v>
      </c>
      <c r="K22" s="12">
        <f t="shared" si="2"/>
        <v>3.4197907534164296E-2</v>
      </c>
      <c r="L22" s="19">
        <f t="shared" si="3"/>
        <v>1.9810778899604649</v>
      </c>
      <c r="M22" s="18">
        <f t="shared" si="4"/>
        <v>2.9689477164461662E-2</v>
      </c>
      <c r="N22" s="12">
        <f t="shared" si="5"/>
        <v>2.9909843428036265E-2</v>
      </c>
      <c r="O22" s="12">
        <f t="shared" si="6"/>
        <v>2.7933843428036266E-2</v>
      </c>
      <c r="P22" s="19">
        <f t="shared" si="7"/>
        <v>2.1190965092402463</v>
      </c>
      <c r="Q22" s="19">
        <f t="shared" si="8"/>
        <v>96.850714895829853</v>
      </c>
      <c r="R22" s="20">
        <f t="shared" si="9"/>
        <v>200258.25654942988</v>
      </c>
      <c r="S22" s="20">
        <f t="shared" si="10"/>
        <v>-3903.6043647888687</v>
      </c>
      <c r="T22" s="12">
        <f t="shared" si="11"/>
        <v>-1.9729606317511528E-2</v>
      </c>
      <c r="U22" s="19">
        <f t="shared" si="12"/>
        <v>96.850714895829853</v>
      </c>
      <c r="V22" s="20">
        <f t="shared" si="13"/>
        <v>-3903.6043647888687</v>
      </c>
      <c r="W22" s="21">
        <f t="shared" si="14"/>
        <v>9.7907534164297372E-3</v>
      </c>
    </row>
    <row r="23" spans="1:24">
      <c r="A23" s="15" t="s">
        <v>68</v>
      </c>
      <c r="B23" s="15" t="s">
        <v>69</v>
      </c>
      <c r="C23" s="9">
        <v>0.03</v>
      </c>
      <c r="D23" s="6">
        <v>47392</v>
      </c>
      <c r="E23" s="16">
        <v>98.28</v>
      </c>
      <c r="F23" s="9">
        <v>3.6499999999999998E-2</v>
      </c>
      <c r="G23" s="9">
        <v>3.2599999999999997E-2</v>
      </c>
      <c r="H23" s="16">
        <v>2.74</v>
      </c>
      <c r="I23" s="17">
        <f t="shared" si="0"/>
        <v>0.14835164835164835</v>
      </c>
      <c r="J23" s="18">
        <f t="shared" si="1"/>
        <v>3.6194465376003501E-2</v>
      </c>
      <c r="K23" s="12">
        <f t="shared" si="2"/>
        <v>3.6521975206967205E-2</v>
      </c>
      <c r="L23" s="19">
        <f t="shared" si="3"/>
        <v>2.7406227176799232</v>
      </c>
      <c r="M23" s="18">
        <f t="shared" si="4"/>
        <v>3.1698145353375944E-2</v>
      </c>
      <c r="N23" s="12">
        <f t="shared" si="5"/>
        <v>3.1949338458086896E-2</v>
      </c>
      <c r="O23" s="12">
        <f t="shared" si="6"/>
        <v>2.9983738458086894E-2</v>
      </c>
      <c r="P23" s="19">
        <f t="shared" si="7"/>
        <v>2.9514031485284051</v>
      </c>
      <c r="Q23" s="19">
        <f t="shared" si="8"/>
        <v>95.632507833365423</v>
      </c>
      <c r="R23" s="20">
        <f t="shared" si="9"/>
        <v>203193.48709051489</v>
      </c>
      <c r="S23" s="20">
        <f t="shared" si="10"/>
        <v>-5379.5316538330235</v>
      </c>
      <c r="T23" s="12">
        <f t="shared" si="11"/>
        <v>-2.6938259733766512E-2</v>
      </c>
      <c r="U23" s="19">
        <f t="shared" si="12"/>
        <v>95.632507833365423</v>
      </c>
      <c r="V23" s="20">
        <f t="shared" si="13"/>
        <v>-5379.5316538330235</v>
      </c>
      <c r="W23" s="21">
        <f t="shared" si="14"/>
        <v>2.1975206967207728E-3</v>
      </c>
    </row>
    <row r="24" spans="1:24">
      <c r="A24" s="15" t="s">
        <v>70</v>
      </c>
      <c r="B24" s="15" t="s">
        <v>71</v>
      </c>
      <c r="C24" s="9">
        <v>2.7E-2</v>
      </c>
      <c r="D24" s="6">
        <v>47757</v>
      </c>
      <c r="E24" s="16">
        <v>96.04</v>
      </c>
      <c r="F24" s="9">
        <v>3.8199999999999998E-2</v>
      </c>
      <c r="G24" s="9">
        <v>3.4599999999999999E-2</v>
      </c>
      <c r="H24" s="16">
        <v>3.63</v>
      </c>
      <c r="I24" s="17">
        <f t="shared" si="0"/>
        <v>0.13351648351648351</v>
      </c>
      <c r="J24" s="18">
        <f t="shared" si="1"/>
        <v>3.7884100266448797E-2</v>
      </c>
      <c r="K24" s="12">
        <f t="shared" si="2"/>
        <v>3.8242901529698559E-2</v>
      </c>
      <c r="L24" s="19">
        <f t="shared" si="3"/>
        <v>3.6256874514257187</v>
      </c>
      <c r="M24" s="18">
        <f t="shared" si="4"/>
        <v>3.3218642491005847E-2</v>
      </c>
      <c r="N24" s="12">
        <f t="shared" si="5"/>
        <v>3.3494512043242164E-2</v>
      </c>
      <c r="O24" s="12">
        <f t="shared" si="6"/>
        <v>3.1573712043242164E-2</v>
      </c>
      <c r="P24" s="19">
        <f t="shared" si="7"/>
        <v>3.9507186858316223</v>
      </c>
      <c r="Q24" s="19">
        <f t="shared" si="8"/>
        <v>92.633470570057582</v>
      </c>
      <c r="R24" s="20">
        <f t="shared" si="9"/>
        <v>207957.45784576639</v>
      </c>
      <c r="S24" s="20">
        <f t="shared" si="10"/>
        <v>-7084.1320032761423</v>
      </c>
      <c r="T24" s="12">
        <f t="shared" si="11"/>
        <v>-3.5469902435885325E-2</v>
      </c>
      <c r="U24" s="19">
        <f t="shared" si="12"/>
        <v>92.633470570057582</v>
      </c>
      <c r="V24" s="20">
        <f t="shared" si="13"/>
        <v>-7084.1320032761423</v>
      </c>
      <c r="W24" s="21">
        <f t="shared" si="14"/>
        <v>4.2901529698560759E-3</v>
      </c>
    </row>
    <row r="25" spans="1:24">
      <c r="A25" s="15" t="s">
        <v>72</v>
      </c>
      <c r="B25" s="15" t="s">
        <v>73</v>
      </c>
      <c r="C25" s="9">
        <v>3.15E-2</v>
      </c>
      <c r="D25" s="6">
        <v>48167</v>
      </c>
      <c r="E25" s="16">
        <v>96.56</v>
      </c>
      <c r="F25" s="9">
        <v>3.9399999999999998E-2</v>
      </c>
      <c r="G25" s="9">
        <v>3.5200000000000002E-2</v>
      </c>
      <c r="H25" s="16">
        <v>4.49</v>
      </c>
      <c r="I25" s="17">
        <f t="shared" si="0"/>
        <v>1.3438858695652174</v>
      </c>
      <c r="J25" s="18">
        <f t="shared" si="1"/>
        <v>3.9035620137581405E-2</v>
      </c>
      <c r="K25" s="12">
        <f t="shared" si="2"/>
        <v>3.9416565047462937E-2</v>
      </c>
      <c r="L25" s="19">
        <f t="shared" si="3"/>
        <v>4.4800286009143431</v>
      </c>
      <c r="M25" s="18">
        <f t="shared" si="4"/>
        <v>3.4219801017452957E-2</v>
      </c>
      <c r="N25" s="12">
        <f t="shared" si="5"/>
        <v>3.4512549712871543E-2</v>
      </c>
      <c r="O25" s="12">
        <f t="shared" si="6"/>
        <v>3.2581349712871542E-2</v>
      </c>
      <c r="P25" s="19">
        <f t="shared" si="7"/>
        <v>5.0732375085557839</v>
      </c>
      <c r="Q25" s="19">
        <f t="shared" si="8"/>
        <v>92.296400111861914</v>
      </c>
      <c r="R25" s="20">
        <f t="shared" si="9"/>
        <v>204281.9835225486</v>
      </c>
      <c r="S25" s="20">
        <f t="shared" si="10"/>
        <v>-8709.7664209536506</v>
      </c>
      <c r="T25" s="12">
        <f t="shared" si="11"/>
        <v>-4.4154928418994266E-2</v>
      </c>
      <c r="U25" s="19">
        <f t="shared" si="12"/>
        <v>92.296400111861914</v>
      </c>
      <c r="V25" s="20">
        <f t="shared" si="13"/>
        <v>-8709.7664209536506</v>
      </c>
      <c r="W25" s="21">
        <f t="shared" si="14"/>
        <v>1.6565047462939464E-3</v>
      </c>
    </row>
    <row r="26" spans="1:24">
      <c r="A26" s="15" t="s">
        <v>74</v>
      </c>
      <c r="B26" s="15" t="s">
        <v>75</v>
      </c>
      <c r="C26" s="9">
        <v>3.2500000000000001E-2</v>
      </c>
      <c r="D26" s="6">
        <v>48533</v>
      </c>
      <c r="E26" s="16">
        <v>95.9</v>
      </c>
      <c r="F26" s="9">
        <v>4.0500000000000001E-2</v>
      </c>
      <c r="G26" s="9">
        <v>3.6200000000000003E-2</v>
      </c>
      <c r="H26" s="16">
        <v>5.26</v>
      </c>
      <c r="I26" s="17">
        <f t="shared" si="0"/>
        <v>1.3865489130434783</v>
      </c>
      <c r="J26" s="18">
        <f t="shared" si="1"/>
        <v>4.017119033915225E-2</v>
      </c>
      <c r="K26" s="12">
        <f t="shared" si="2"/>
        <v>4.0574621472468486E-2</v>
      </c>
      <c r="L26" s="19">
        <f t="shared" si="3"/>
        <v>5.2552761207395831</v>
      </c>
      <c r="M26" s="18">
        <f t="shared" si="4"/>
        <v>3.5228206229674958E-2</v>
      </c>
      <c r="N26" s="12">
        <f t="shared" si="5"/>
        <v>3.5538462858215381E-2</v>
      </c>
      <c r="O26" s="12">
        <f t="shared" si="6"/>
        <v>3.3620462858215377E-2</v>
      </c>
      <c r="P26" s="19">
        <f t="shared" si="7"/>
        <v>6.0752908966461332</v>
      </c>
      <c r="Q26" s="19">
        <f t="shared" si="8"/>
        <v>90.951926247119189</v>
      </c>
      <c r="R26" s="20">
        <f t="shared" si="9"/>
        <v>205578.26568476972</v>
      </c>
      <c r="S26" s="20">
        <f t="shared" si="10"/>
        <v>-10172.16420597568</v>
      </c>
      <c r="T26" s="12">
        <f t="shared" si="11"/>
        <v>-5.1596180947662273E-2</v>
      </c>
      <c r="U26" s="19">
        <f t="shared" si="12"/>
        <v>90.951926247119189</v>
      </c>
      <c r="V26" s="20">
        <f t="shared" si="13"/>
        <v>-10172.16420597568</v>
      </c>
      <c r="W26" s="21">
        <f t="shared" si="14"/>
        <v>7.4621472468484884E-3</v>
      </c>
    </row>
    <row r="27" spans="1:24">
      <c r="A27" s="15" t="s">
        <v>76</v>
      </c>
      <c r="B27" s="15" t="s">
        <v>77</v>
      </c>
      <c r="C27" s="9">
        <v>4.3499999999999997E-2</v>
      </c>
      <c r="D27" s="6">
        <v>48884</v>
      </c>
      <c r="E27" s="16">
        <v>101.22</v>
      </c>
      <c r="F27" s="9">
        <v>4.19E-2</v>
      </c>
      <c r="G27" s="9">
        <v>3.6400000000000002E-2</v>
      </c>
      <c r="H27" s="16">
        <v>5.79</v>
      </c>
      <c r="I27" s="17">
        <f t="shared" si="0"/>
        <v>2.0213315217391301</v>
      </c>
      <c r="J27" s="18">
        <f t="shared" si="1"/>
        <v>4.1480347874938393E-2</v>
      </c>
      <c r="K27" s="12">
        <f t="shared" si="2"/>
        <v>4.1910502689895157E-2</v>
      </c>
      <c r="L27" s="19">
        <f t="shared" si="3"/>
        <v>5.7802227615218937</v>
      </c>
      <c r="M27" s="18">
        <f t="shared" si="4"/>
        <v>3.608166433862061E-2</v>
      </c>
      <c r="N27" s="12">
        <f t="shared" si="5"/>
        <v>3.6407135963981929E-2</v>
      </c>
      <c r="O27" s="12">
        <f t="shared" si="6"/>
        <v>3.4382735963981927E-2</v>
      </c>
      <c r="P27" s="19">
        <f t="shared" si="7"/>
        <v>7.0362765229295006</v>
      </c>
      <c r="Q27" s="19">
        <f t="shared" si="8"/>
        <v>95.466413635356773</v>
      </c>
      <c r="R27" s="20">
        <f t="shared" si="9"/>
        <v>193720.86455305622</v>
      </c>
      <c r="S27" s="20">
        <f t="shared" si="10"/>
        <v>-11145.897248393616</v>
      </c>
      <c r="T27" s="12">
        <f t="shared" si="11"/>
        <v>-5.6842386530757016E-2</v>
      </c>
      <c r="U27" s="19">
        <f t="shared" si="12"/>
        <v>95.466413635356773</v>
      </c>
      <c r="V27" s="20">
        <f t="shared" si="13"/>
        <v>-11145.897248393616</v>
      </c>
      <c r="W27" s="21">
        <f t="shared" si="14"/>
        <v>1.0502689895157402E-3</v>
      </c>
    </row>
    <row r="28" spans="1:24">
      <c r="A28" s="15" t="s">
        <v>78</v>
      </c>
      <c r="B28" s="15" t="s">
        <v>79</v>
      </c>
      <c r="C28" s="9">
        <v>3.85E-2</v>
      </c>
      <c r="D28" s="6">
        <v>49341</v>
      </c>
      <c r="E28" s="16">
        <v>96.91</v>
      </c>
      <c r="F28" s="9">
        <v>4.3400000000000001E-2</v>
      </c>
      <c r="G28" s="9">
        <v>3.8399999999999997E-2</v>
      </c>
      <c r="H28" s="16">
        <v>6.8</v>
      </c>
      <c r="I28" s="17">
        <f t="shared" si="0"/>
        <v>0.8264945652173914</v>
      </c>
      <c r="J28" s="18">
        <f t="shared" si="1"/>
        <v>4.2964844656676784E-2</v>
      </c>
      <c r="K28" s="12">
        <f t="shared" si="2"/>
        <v>4.3426339125769653E-2</v>
      </c>
      <c r="L28" s="19">
        <f t="shared" si="3"/>
        <v>6.7964438201218931</v>
      </c>
      <c r="M28" s="18">
        <f t="shared" si="4"/>
        <v>3.7656680437199927E-2</v>
      </c>
      <c r="N28" s="12">
        <f t="shared" si="5"/>
        <v>3.8011186832587418E-2</v>
      </c>
      <c r="O28" s="12">
        <f t="shared" si="6"/>
        <v>3.6072986832587417E-2</v>
      </c>
      <c r="P28" s="19">
        <f t="shared" si="7"/>
        <v>8.2874743326488698</v>
      </c>
      <c r="Q28" s="19">
        <f t="shared" si="8"/>
        <v>90.540073388620868</v>
      </c>
      <c r="R28" s="20">
        <f t="shared" si="9"/>
        <v>204631.85311659041</v>
      </c>
      <c r="S28" s="20">
        <f t="shared" si="10"/>
        <v>-13034.898867031943</v>
      </c>
      <c r="T28" s="12">
        <f t="shared" si="11"/>
        <v>-6.5730333416356701E-2</v>
      </c>
      <c r="U28" s="19">
        <f t="shared" si="12"/>
        <v>90.540073388620868</v>
      </c>
      <c r="V28" s="20">
        <f t="shared" si="13"/>
        <v>-13034.898867031943</v>
      </c>
      <c r="W28" s="21">
        <f t="shared" si="14"/>
        <v>2.6339125769651861E-3</v>
      </c>
    </row>
    <row r="29" spans="1:24">
      <c r="A29" s="15" t="s">
        <v>80</v>
      </c>
      <c r="B29" s="15" t="s">
        <v>81</v>
      </c>
      <c r="C29" s="9">
        <v>3.5999999999999997E-2</v>
      </c>
      <c r="D29" s="6">
        <v>49583</v>
      </c>
      <c r="E29" s="16">
        <v>94.5</v>
      </c>
      <c r="F29" s="9">
        <v>4.3900000000000002E-2</v>
      </c>
      <c r="G29" s="9">
        <v>3.9199999999999999E-2</v>
      </c>
      <c r="H29" s="16">
        <v>7.36</v>
      </c>
      <c r="I29" s="17">
        <f t="shared" si="0"/>
        <v>0.17802197802197803</v>
      </c>
      <c r="J29" s="18">
        <f t="shared" si="1"/>
        <v>4.3481368697314886E-2</v>
      </c>
      <c r="K29" s="12">
        <f t="shared" si="2"/>
        <v>4.3954026053262707E-2</v>
      </c>
      <c r="L29" s="19">
        <f t="shared" si="3"/>
        <v>7.3506711820658364</v>
      </c>
      <c r="M29" s="18">
        <f t="shared" si="4"/>
        <v>3.8158335054895846E-2</v>
      </c>
      <c r="N29" s="12">
        <f t="shared" si="5"/>
        <v>3.8522349688436375E-2</v>
      </c>
      <c r="O29" s="12">
        <f t="shared" si="6"/>
        <v>3.6632349688436372E-2</v>
      </c>
      <c r="P29" s="19">
        <f t="shared" si="7"/>
        <v>8.9500342231348391</v>
      </c>
      <c r="Q29" s="19">
        <f t="shared" si="8"/>
        <v>87.845442552924681</v>
      </c>
      <c r="R29" s="20">
        <f t="shared" si="9"/>
        <v>211242.26702415358</v>
      </c>
      <c r="S29" s="20">
        <f t="shared" si="10"/>
        <v>-14057.238011626543</v>
      </c>
      <c r="T29" s="12">
        <f t="shared" si="11"/>
        <v>-7.0418597323548382E-2</v>
      </c>
      <c r="U29" s="19">
        <f t="shared" si="12"/>
        <v>87.845442552924681</v>
      </c>
      <c r="V29" s="20">
        <f t="shared" si="13"/>
        <v>-14057.238011626543</v>
      </c>
      <c r="W29" s="21">
        <f t="shared" si="14"/>
        <v>5.4026053262705431E-3</v>
      </c>
    </row>
    <row r="30" spans="1:24">
      <c r="A30" s="15" t="s">
        <v>82</v>
      </c>
      <c r="B30" s="15" t="s">
        <v>83</v>
      </c>
      <c r="C30" s="9">
        <v>0.04</v>
      </c>
      <c r="D30" s="6">
        <v>49949</v>
      </c>
      <c r="E30" s="16">
        <v>96.5</v>
      </c>
      <c r="F30" s="9">
        <v>4.48E-2</v>
      </c>
      <c r="G30" s="9">
        <v>3.9600000000000003E-2</v>
      </c>
      <c r="H30" s="16">
        <v>7.91</v>
      </c>
      <c r="I30" s="17">
        <f t="shared" si="0"/>
        <v>0.19780219780219779</v>
      </c>
      <c r="J30" s="18">
        <f t="shared" si="1"/>
        <v>4.4386984383852919E-2</v>
      </c>
      <c r="K30" s="12">
        <f t="shared" si="2"/>
        <v>4.4879535479525945E-2</v>
      </c>
      <c r="L30" s="19">
        <f t="shared" si="3"/>
        <v>7.8989670060396682</v>
      </c>
      <c r="M30" s="18">
        <f t="shared" si="4"/>
        <v>3.8909751040168861E-2</v>
      </c>
      <c r="N30" s="12">
        <f t="shared" si="5"/>
        <v>3.9288243221671015E-2</v>
      </c>
      <c r="O30" s="12">
        <f t="shared" si="6"/>
        <v>3.7358243221671014E-2</v>
      </c>
      <c r="P30" s="19">
        <f t="shared" si="7"/>
        <v>9.9520876112251884</v>
      </c>
      <c r="Q30" s="19">
        <f t="shared" si="8"/>
        <v>89.22438904838252</v>
      </c>
      <c r="R30" s="20">
        <f t="shared" si="9"/>
        <v>206829.93351894993</v>
      </c>
      <c r="S30" s="20">
        <f t="shared" si="10"/>
        <v>-15048.141294327874</v>
      </c>
      <c r="T30" s="12">
        <f t="shared" si="11"/>
        <v>-7.5394932141113813E-2</v>
      </c>
      <c r="U30" s="19">
        <f t="shared" si="12"/>
        <v>89.22438904838252</v>
      </c>
      <c r="V30" s="20">
        <f t="shared" si="13"/>
        <v>-15048.141294327874</v>
      </c>
      <c r="W30" s="21">
        <f t="shared" si="14"/>
        <v>7.9535479525945363E-3</v>
      </c>
    </row>
    <row r="31" spans="1:24">
      <c r="A31" s="15" t="s">
        <v>84</v>
      </c>
      <c r="B31" s="15" t="s">
        <v>85</v>
      </c>
      <c r="C31" s="9">
        <v>3.95E-2</v>
      </c>
      <c r="D31" s="6">
        <v>51775</v>
      </c>
      <c r="E31" s="16">
        <v>91.55</v>
      </c>
      <c r="F31" s="9">
        <v>4.8000000000000001E-2</v>
      </c>
      <c r="G31" s="9">
        <v>4.2700000000000002E-2</v>
      </c>
      <c r="H31" s="16">
        <v>10.71</v>
      </c>
      <c r="I31" s="17">
        <f t="shared" si="0"/>
        <v>0.19532967032967036</v>
      </c>
      <c r="J31" s="18">
        <f t="shared" si="1"/>
        <v>4.745416388391048E-2</v>
      </c>
      <c r="K31" s="12">
        <f t="shared" si="2"/>
        <v>4.801713830139076E-2</v>
      </c>
      <c r="L31" s="19">
        <f t="shared" si="3"/>
        <v>10.70581184601409</v>
      </c>
      <c r="M31" s="18">
        <f t="shared" si="4"/>
        <v>4.1697356820203424E-2</v>
      </c>
      <c r="N31" s="12">
        <f t="shared" si="5"/>
        <v>4.2132024211651187E-2</v>
      </c>
      <c r="O31" s="12">
        <f t="shared" si="6"/>
        <v>4.0301024211651187E-2</v>
      </c>
      <c r="P31" s="19">
        <f t="shared" si="7"/>
        <v>14.951403148528405</v>
      </c>
      <c r="Q31" s="19">
        <f t="shared" si="8"/>
        <v>82.370759818937245</v>
      </c>
      <c r="R31" s="20">
        <f t="shared" si="9"/>
        <v>217994.7477639069</v>
      </c>
      <c r="S31" s="20">
        <f t="shared" si="10"/>
        <v>-20010.261479350938</v>
      </c>
      <c r="T31" s="12">
        <f t="shared" si="11"/>
        <v>-0.10026477532564448</v>
      </c>
      <c r="U31" s="19">
        <f t="shared" si="12"/>
        <v>82.370759818937245</v>
      </c>
      <c r="V31" s="20">
        <f t="shared" si="13"/>
        <v>-20010.261479350938</v>
      </c>
      <c r="W31" s="21">
        <f t="shared" si="14"/>
        <v>1.7138301390759447E-3</v>
      </c>
    </row>
    <row r="32" spans="1:24">
      <c r="A32" s="15" t="s">
        <v>86</v>
      </c>
      <c r="B32" s="15" t="s">
        <v>87</v>
      </c>
      <c r="C32" s="9">
        <v>2.7E-2</v>
      </c>
      <c r="D32" s="6">
        <v>53752</v>
      </c>
      <c r="E32" s="16">
        <v>72.319999999999993</v>
      </c>
      <c r="F32" s="9">
        <v>4.9099999999999998E-2</v>
      </c>
      <c r="G32" s="9">
        <v>4.4900000000000002E-2</v>
      </c>
      <c r="H32" s="16">
        <v>14.07</v>
      </c>
      <c r="I32" s="17">
        <f t="shared" si="0"/>
        <v>0.35801104972375697</v>
      </c>
      <c r="J32" s="18">
        <f t="shared" si="1"/>
        <v>4.8548333696287464E-2</v>
      </c>
      <c r="K32" s="12">
        <f t="shared" si="2"/>
        <v>4.9137568872458903E-2</v>
      </c>
      <c r="L32" s="19">
        <f t="shared" si="3"/>
        <v>14.059584645622188</v>
      </c>
      <c r="M32" s="18">
        <f t="shared" si="4"/>
        <v>4.3099089492913911E-2</v>
      </c>
      <c r="N32" s="12">
        <f t="shared" si="5"/>
        <v>4.3563472371693335E-2</v>
      </c>
      <c r="O32" s="12">
        <f t="shared" si="6"/>
        <v>4.2117072371693334E-2</v>
      </c>
      <c r="P32" s="19">
        <f t="shared" si="7"/>
        <v>20.364134154688571</v>
      </c>
      <c r="Q32" s="19">
        <f t="shared" si="8"/>
        <v>62.974332562177707</v>
      </c>
      <c r="R32" s="20">
        <f t="shared" si="9"/>
        <v>275186.39697386191</v>
      </c>
      <c r="S32" s="20">
        <f t="shared" si="10"/>
        <v>-25718.005495302583</v>
      </c>
      <c r="T32" s="12">
        <f t="shared" si="11"/>
        <v>-0.12922659620882582</v>
      </c>
      <c r="U32" s="19">
        <f t="shared" si="12"/>
        <v>62.974332562177707</v>
      </c>
      <c r="V32" s="20">
        <f t="shared" si="13"/>
        <v>-25718.005495302583</v>
      </c>
      <c r="W32" s="21">
        <f t="shared" si="14"/>
        <v>3.7568872458905445E-3</v>
      </c>
    </row>
    <row r="33" spans="1:23">
      <c r="A33" s="15" t="s">
        <v>88</v>
      </c>
      <c r="B33" s="15" t="s">
        <v>89</v>
      </c>
      <c r="C33" s="9">
        <v>4.4999999999999998E-2</v>
      </c>
      <c r="D33" s="6">
        <v>56158</v>
      </c>
      <c r="E33" s="16">
        <v>93.04</v>
      </c>
      <c r="F33" s="9">
        <v>5.0299999999999997E-2</v>
      </c>
      <c r="G33" s="9">
        <v>4.4200000000000003E-2</v>
      </c>
      <c r="H33" s="16">
        <v>14.69</v>
      </c>
      <c r="I33" s="17">
        <f t="shared" si="0"/>
        <v>0.22252747252747251</v>
      </c>
      <c r="J33" s="18">
        <f t="shared" si="1"/>
        <v>4.9713752946742802E-2</v>
      </c>
      <c r="K33" s="12">
        <f t="shared" si="2"/>
        <v>5.0331617254755212E-2</v>
      </c>
      <c r="L33" s="19">
        <f t="shared" si="3"/>
        <v>14.673312924238555</v>
      </c>
      <c r="M33" s="18">
        <f t="shared" si="4"/>
        <v>4.3617464973155197E-2</v>
      </c>
      <c r="N33" s="12">
        <f t="shared" si="5"/>
        <v>4.409308578582638E-2</v>
      </c>
      <c r="O33" s="12">
        <f t="shared" si="6"/>
        <v>4.2232285785826378E-2</v>
      </c>
      <c r="P33" s="19">
        <f t="shared" si="7"/>
        <v>26.951403148528406</v>
      </c>
      <c r="Q33" s="19">
        <f t="shared" si="8"/>
        <v>80.705282366103532</v>
      </c>
      <c r="R33" s="20">
        <f t="shared" si="9"/>
        <v>214448.40218266053</v>
      </c>
      <c r="S33" s="20">
        <f t="shared" si="10"/>
        <v>-26451.604879633858</v>
      </c>
      <c r="T33" s="12">
        <f t="shared" si="11"/>
        <v>-0.13257435118117444</v>
      </c>
      <c r="U33" s="19">
        <f t="shared" si="12"/>
        <v>80.705282366103532</v>
      </c>
      <c r="V33" s="20">
        <f t="shared" si="13"/>
        <v>-26451.604879633858</v>
      </c>
      <c r="W33" s="21">
        <f t="shared" si="14"/>
        <v>3.1617254755214597E-3</v>
      </c>
    </row>
    <row r="34" spans="1:23">
      <c r="A34" s="15" t="s">
        <v>90</v>
      </c>
      <c r="B34" s="15" t="s">
        <v>91</v>
      </c>
      <c r="C34" s="9">
        <v>4.2999999999999997E-2</v>
      </c>
      <c r="D34" s="6">
        <v>56523</v>
      </c>
      <c r="E34" s="16">
        <v>89.72</v>
      </c>
      <c r="F34" s="9">
        <v>5.04E-2</v>
      </c>
      <c r="G34" s="9">
        <v>4.4499999999999998E-2</v>
      </c>
      <c r="H34" s="16">
        <v>15.07</v>
      </c>
      <c r="I34" s="17">
        <f t="shared" si="0"/>
        <v>0.2126373626373626</v>
      </c>
      <c r="J34" s="18">
        <f t="shared" si="1"/>
        <v>4.98546093628544E-2</v>
      </c>
      <c r="K34" s="12">
        <f t="shared" si="2"/>
        <v>5.0475979881534849E-2</v>
      </c>
      <c r="L34" s="19">
        <f t="shared" si="3"/>
        <v>15.057796415583624</v>
      </c>
      <c r="M34" s="18">
        <f t="shared" si="4"/>
        <v>4.3797954126967943E-2</v>
      </c>
      <c r="N34" s="12">
        <f t="shared" si="5"/>
        <v>4.4277519323394632E-2</v>
      </c>
      <c r="O34" s="12">
        <f t="shared" si="6"/>
        <v>4.248311932339463E-2</v>
      </c>
      <c r="P34" s="19">
        <f t="shared" si="7"/>
        <v>27.950718685831621</v>
      </c>
      <c r="Q34" s="19">
        <f t="shared" si="8"/>
        <v>77.55262342052572</v>
      </c>
      <c r="R34" s="20">
        <f t="shared" si="9"/>
        <v>222388.67430689879</v>
      </c>
      <c r="S34" s="20">
        <f t="shared" si="10"/>
        <v>-27058.867473020935</v>
      </c>
      <c r="T34" s="12">
        <f t="shared" si="11"/>
        <v>-0.13561498639628045</v>
      </c>
      <c r="U34" s="19">
        <f t="shared" si="12"/>
        <v>77.55262342052572</v>
      </c>
      <c r="V34" s="20">
        <f t="shared" si="13"/>
        <v>-27058.867473020935</v>
      </c>
      <c r="W34" s="21">
        <f t="shared" si="14"/>
        <v>7.5979881534848914E-3</v>
      </c>
    </row>
    <row r="35" spans="1:23">
      <c r="A35" s="15" t="s">
        <v>92</v>
      </c>
      <c r="B35" s="15" t="s">
        <v>93</v>
      </c>
      <c r="C35" s="9">
        <v>4.65E-2</v>
      </c>
      <c r="D35" s="6">
        <v>56888</v>
      </c>
      <c r="E35" s="16">
        <v>94.41</v>
      </c>
      <c r="F35" s="9">
        <v>5.0799999999999998E-2</v>
      </c>
      <c r="G35" s="9">
        <v>4.4600000000000001E-2</v>
      </c>
      <c r="H35" s="16">
        <v>15.02</v>
      </c>
      <c r="I35" s="17">
        <f t="shared" si="0"/>
        <v>0.22994505494505496</v>
      </c>
      <c r="J35" s="18">
        <f t="shared" si="1"/>
        <v>5.0180282251793211E-2</v>
      </c>
      <c r="K35" s="12">
        <f t="shared" si="2"/>
        <v>5.0809797433510662E-2</v>
      </c>
      <c r="L35" s="19">
        <f t="shared" si="3"/>
        <v>15.010568826448184</v>
      </c>
      <c r="M35" s="18">
        <f t="shared" si="4"/>
        <v>4.3997985569699742E-2</v>
      </c>
      <c r="N35" s="12">
        <f t="shared" si="5"/>
        <v>4.4481941253247559E-2</v>
      </c>
      <c r="O35" s="12">
        <f t="shared" si="6"/>
        <v>4.2593741253247559E-2</v>
      </c>
      <c r="P35" s="19">
        <f t="shared" si="7"/>
        <v>28.950034223134839</v>
      </c>
      <c r="Q35" s="19">
        <f t="shared" si="8"/>
        <v>81.663178398706748</v>
      </c>
      <c r="R35" s="20">
        <f t="shared" si="9"/>
        <v>211327.25709412253</v>
      </c>
      <c r="S35" s="20">
        <f t="shared" si="10"/>
        <v>-26937.50845669413</v>
      </c>
      <c r="T35" s="12">
        <f t="shared" si="11"/>
        <v>-0.13501558734554864</v>
      </c>
      <c r="U35" s="19">
        <f t="shared" si="12"/>
        <v>81.663178398706748</v>
      </c>
      <c r="V35" s="20">
        <f t="shared" si="13"/>
        <v>-26937.50845669413</v>
      </c>
      <c r="W35" s="21">
        <f t="shared" si="14"/>
        <v>9.7974335106637556E-4</v>
      </c>
    </row>
    <row r="36" spans="1:23" ht="45" customHeight="1">
      <c r="A36" s="35" t="s">
        <v>94</v>
      </c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</row>
    <row r="37" spans="1:23" ht="15" customHeight="1">
      <c r="A37" s="35" t="s">
        <v>95</v>
      </c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</row>
    <row r="39" spans="1:23">
      <c r="A39" s="36" t="s">
        <v>96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</row>
    <row r="40" spans="1:23">
      <c r="A40" s="5" t="s">
        <v>97</v>
      </c>
      <c r="B40" s="12">
        <f>B14*(1-B15)</f>
        <v>1.8499999999999999E-2</v>
      </c>
    </row>
    <row r="41" spans="1:23">
      <c r="I41" s="5" t="s">
        <v>98</v>
      </c>
    </row>
    <row r="42" spans="1:23" ht="33.950000000000003" customHeight="1">
      <c r="A42" s="14" t="s">
        <v>41</v>
      </c>
      <c r="B42" s="14" t="s">
        <v>99</v>
      </c>
      <c r="C42" s="14" t="s">
        <v>100</v>
      </c>
      <c r="D42" s="14" t="s">
        <v>51</v>
      </c>
      <c r="E42" s="14" t="s">
        <v>101</v>
      </c>
      <c r="F42" s="14" t="s">
        <v>102</v>
      </c>
      <c r="G42" s="14" t="s">
        <v>103</v>
      </c>
      <c r="H42" s="14" t="s">
        <v>104</v>
      </c>
      <c r="I42" s="14" t="s">
        <v>105</v>
      </c>
      <c r="J42" s="10">
        <v>0</v>
      </c>
      <c r="K42" s="10">
        <v>0.1</v>
      </c>
      <c r="L42" s="10">
        <v>0.2</v>
      </c>
      <c r="M42" s="10">
        <v>0.3</v>
      </c>
      <c r="N42" s="10">
        <v>0.4</v>
      </c>
      <c r="O42" s="10">
        <v>0.5</v>
      </c>
      <c r="P42" s="14" t="s">
        <v>106</v>
      </c>
      <c r="Q42" s="14" t="s">
        <v>107</v>
      </c>
      <c r="R42" s="14" t="s">
        <v>108</v>
      </c>
      <c r="S42" s="14" t="s">
        <v>109</v>
      </c>
      <c r="T42" s="14" t="s">
        <v>110</v>
      </c>
      <c r="U42" s="14" t="s">
        <v>111</v>
      </c>
    </row>
    <row r="43" spans="1:23">
      <c r="A43" s="22" t="str">
        <f>A30</f>
        <v>BTP 4,00% ott 2036</v>
      </c>
      <c r="B43" s="19">
        <f>E30</f>
        <v>96.5</v>
      </c>
      <c r="C43" s="17">
        <f>I30</f>
        <v>0.19780219780219779</v>
      </c>
      <c r="D43" s="12">
        <f>K30</f>
        <v>4.4879535479525945E-2</v>
      </c>
      <c r="E43" s="13">
        <f>COUPNCD($B$6,D30,2,1)</f>
        <v>46478</v>
      </c>
      <c r="F43" s="17">
        <f>(E43-$B$6)/(E43-COUPPCD($B$6,D30,2,1))</f>
        <v>0.90109890109890112</v>
      </c>
      <c r="G43" s="17">
        <f>C30*100/2</f>
        <v>2</v>
      </c>
      <c r="H43" s="17">
        <f>G43-$B$8*G43*F43+IF(EDATE(E43,6)&lt;=$B$16,G43*(1-$B$8),0)+IF(EDATE(E43,12)&lt;=$B$16,G43*(1-$B$8),0)</f>
        <v>3.5247252747252746</v>
      </c>
      <c r="I43" s="17">
        <f>G43*COUPDAYBS($B$16,D30,2,1)/COUPDAYS($B$16,D30,2,1)</f>
        <v>0.19672131147540983</v>
      </c>
      <c r="J43" s="12">
        <f t="shared" ref="J43:O43" si="15">(PRICE($B$16,$D$30,$C$30,2*((1+$D43+J$42/100)^0.5-1),100,2,1)+$I43+$H43-$B$8*(MAX(0,PRICE($B$16,$D$30,$C$30,2*((1+$D43+J$42/100)^0.5-1),100,2,1)-$B43)+$I43)-($B43+$C43))/($B43+$C43)</f>
        <v>3.8777996585641586E-2</v>
      </c>
      <c r="K43" s="12">
        <f t="shared" si="15"/>
        <v>3.19152175482438E-2</v>
      </c>
      <c r="L43" s="12">
        <f t="shared" si="15"/>
        <v>2.4746880920032858E-2</v>
      </c>
      <c r="M43" s="12">
        <f t="shared" si="15"/>
        <v>1.7642693312387787E-2</v>
      </c>
      <c r="N43" s="12">
        <f t="shared" si="15"/>
        <v>1.0602005951731093E-2</v>
      </c>
      <c r="O43" s="12">
        <f t="shared" si="15"/>
        <v>3.62417729833538E-3</v>
      </c>
      <c r="P43" s="21">
        <f>IF(COUNT(Q43:U43)=0,"n/d",MIN(Q43:U43))</f>
        <v>0.28793237545290001</v>
      </c>
      <c r="Q43" s="21" t="str">
        <f t="shared" ref="Q43:U45" si="16">IF(AND(J43&gt;=$B$40,K43&lt;$B$40),J$42+(K$42-J$42)*(J43-$B$40)/(J43-K43),"")</f>
        <v/>
      </c>
      <c r="R43" s="21" t="str">
        <f t="shared" si="16"/>
        <v/>
      </c>
      <c r="S43" s="21">
        <f t="shared" si="16"/>
        <v>0.28793237545290001</v>
      </c>
      <c r="T43" s="21" t="str">
        <f t="shared" si="16"/>
        <v/>
      </c>
      <c r="U43" s="21" t="str">
        <f t="shared" si="16"/>
        <v/>
      </c>
    </row>
    <row r="44" spans="1:23">
      <c r="A44" s="22" t="str">
        <f>A31</f>
        <v>BTP 3,95% ott 2041</v>
      </c>
      <c r="B44" s="19">
        <f>E31</f>
        <v>91.55</v>
      </c>
      <c r="C44" s="17">
        <f>I31</f>
        <v>0.19532967032967036</v>
      </c>
      <c r="D44" s="12">
        <f>K31</f>
        <v>4.801713830139076E-2</v>
      </c>
      <c r="E44" s="13">
        <f>COUPNCD($B$6,D31,2,1)</f>
        <v>46478</v>
      </c>
      <c r="F44" s="17">
        <f>(E44-$B$6)/(E44-COUPPCD($B$6,D31,2,1))</f>
        <v>0.90109890109890112</v>
      </c>
      <c r="G44" s="17">
        <f>C31*100/2</f>
        <v>1.9750000000000001</v>
      </c>
      <c r="H44" s="17">
        <f>G44-$B$8*G44*F44+IF(EDATE(E44,6)&lt;=$B$16,G44*(1-$B$8),0)+IF(EDATE(E44,12)&lt;=$B$16,G44*(1-$B$8),0)</f>
        <v>3.480666208791209</v>
      </c>
      <c r="I44" s="17">
        <f>G44*COUPDAYBS($B$16,D31,2,1)/COUPDAYS($B$16,D31,2,1)</f>
        <v>0.19426229508196724</v>
      </c>
      <c r="J44" s="12">
        <f t="shared" ref="J44:O44" si="17">(PRICE($B$16,$D$31,$C$31,2*((1+$D44+J$42/100)^0.5-1),100,2,1)+$I44+$H44-$B$8*(MAX(0,PRICE($B$16,$D$31,$C$31,2*((1+$D44+J$42/100)^0.5-1),100,2,1)-$B44)+$I44)-($B44+$C44))/($B44+$C44)</f>
        <v>4.1468423172901704E-2</v>
      </c>
      <c r="K44" s="12">
        <f t="shared" si="17"/>
        <v>3.1845799889883258E-2</v>
      </c>
      <c r="L44" s="12">
        <f t="shared" si="17"/>
        <v>2.181055338705994E-2</v>
      </c>
      <c r="M44" s="12">
        <f t="shared" si="17"/>
        <v>1.190456548150085E-2</v>
      </c>
      <c r="N44" s="12">
        <f t="shared" si="17"/>
        <v>2.1259779969249942E-3</v>
      </c>
      <c r="O44" s="12">
        <f t="shared" si="17"/>
        <v>-7.5270383433789232E-3</v>
      </c>
      <c r="P44" s="21">
        <f>IF(COUNT(Q44:U44)=0,"n/d",MIN(Q44:U44))</f>
        <v>0.23341971965463545</v>
      </c>
      <c r="Q44" s="21" t="str">
        <f t="shared" si="16"/>
        <v/>
      </c>
      <c r="R44" s="21" t="str">
        <f t="shared" si="16"/>
        <v/>
      </c>
      <c r="S44" s="21">
        <f t="shared" si="16"/>
        <v>0.23341971965463545</v>
      </c>
      <c r="T44" s="21" t="str">
        <f t="shared" si="16"/>
        <v/>
      </c>
      <c r="U44" s="21" t="str">
        <f t="shared" si="16"/>
        <v/>
      </c>
    </row>
    <row r="45" spans="1:23">
      <c r="A45" s="22" t="str">
        <f>A33</f>
        <v>BTP 4,50% ott 2053</v>
      </c>
      <c r="B45" s="19">
        <f>E33</f>
        <v>93.04</v>
      </c>
      <c r="C45" s="17">
        <f>I33</f>
        <v>0.22252747252747251</v>
      </c>
      <c r="D45" s="12">
        <f>K33</f>
        <v>5.0331617254755212E-2</v>
      </c>
      <c r="E45" s="13">
        <f>COUPNCD($B$6,D33,2,1)</f>
        <v>46478</v>
      </c>
      <c r="F45" s="17">
        <f>(E45-$B$6)/(E45-COUPPCD($B$6,D33,2,1))</f>
        <v>0.90109890109890112</v>
      </c>
      <c r="G45" s="17">
        <f>C33*100/2</f>
        <v>2.25</v>
      </c>
      <c r="H45" s="17">
        <f>G45-$B$8*G45*F45+IF(EDATE(E45,6)&lt;=$B$16,G45*(1-$B$8),0)+IF(EDATE(E45,12)&lt;=$B$16,G45*(1-$B$8),0)</f>
        <v>3.9653159340659343</v>
      </c>
      <c r="I45" s="17">
        <f>G45*COUPDAYBS($B$16,D33,2,1)/COUPDAYS($B$16,D33,2,1)</f>
        <v>0.22131147540983606</v>
      </c>
      <c r="J45" s="12">
        <f t="shared" ref="J45:O45" si="18">(PRICE($B$16,$D$33,$C$33,2*((1+$D45+J$42/100)^0.5-1),100,2,1)+$I45+$H45-$B$8*(MAX(0,PRICE($B$16,$D$33,$C$33,2*((1+$D45+J$42/100)^0.5-1),100,2,1)-$B45)+$I45)-($B45+$C45))/($B45+$C45)</f>
        <v>4.3399893443528285E-2</v>
      </c>
      <c r="K45" s="12">
        <f t="shared" si="18"/>
        <v>2.9292965902027852E-2</v>
      </c>
      <c r="L45" s="12">
        <f t="shared" si="18"/>
        <v>1.5308770982177365E-2</v>
      </c>
      <c r="M45" s="12">
        <f t="shared" si="18"/>
        <v>1.6106724455003372E-3</v>
      </c>
      <c r="N45" s="12">
        <f t="shared" si="18"/>
        <v>-1.180804416526135E-2</v>
      </c>
      <c r="O45" s="12">
        <f t="shared" si="18"/>
        <v>-2.4953922955724697E-2</v>
      </c>
      <c r="P45" s="21">
        <f>IF(COUNT(Q45:U45)=0,"n/d",MIN(Q45:U45))</f>
        <v>0.17717974444640569</v>
      </c>
      <c r="Q45" s="21" t="str">
        <f t="shared" si="16"/>
        <v/>
      </c>
      <c r="R45" s="21">
        <f t="shared" si="16"/>
        <v>0.17717974444640569</v>
      </c>
      <c r="S45" s="21" t="str">
        <f t="shared" si="16"/>
        <v/>
      </c>
      <c r="T45" s="21" t="str">
        <f t="shared" si="16"/>
        <v/>
      </c>
      <c r="U45" s="21" t="str">
        <f t="shared" si="16"/>
        <v/>
      </c>
    </row>
    <row r="47" spans="1:23" ht="45" customHeight="1">
      <c r="A47" s="35" t="s">
        <v>112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</row>
    <row r="48" spans="1:23" ht="15" customHeight="1">
      <c r="A48" s="35" t="s">
        <v>113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</row>
  </sheetData>
  <mergeCells count="9">
    <mergeCell ref="A48:L48"/>
    <mergeCell ref="A2:L2"/>
    <mergeCell ref="A47:L47"/>
    <mergeCell ref="A1:L1"/>
    <mergeCell ref="A37:L37"/>
    <mergeCell ref="A36:L36"/>
    <mergeCell ref="A19:X19"/>
    <mergeCell ref="A39:L39"/>
    <mergeCell ref="A4:L4"/>
  </mergeCells>
  <dataValidations count="1">
    <dataValidation type="list" sqref="B11">
      <formula1>"7,10,14,16"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Views>
    <sheetView workbookViewId="0"/>
  </sheetViews>
  <sheetFormatPr defaultRowHeight="15"/>
  <cols>
    <col min="1" max="1" width="62" customWidth="1"/>
    <col min="2" max="4" width="17" customWidth="1"/>
    <col min="5" max="5" width="25" customWidth="1"/>
    <col min="6" max="6" width="18" customWidth="1"/>
  </cols>
  <sheetData>
    <row r="1" spans="1:7" ht="24.95" customHeight="1">
      <c r="A1" s="34" t="s">
        <v>114</v>
      </c>
      <c r="B1" s="33"/>
      <c r="C1" s="33"/>
      <c r="D1" s="33"/>
      <c r="E1" s="33"/>
      <c r="F1" s="33"/>
      <c r="G1" s="33"/>
    </row>
    <row r="2" spans="1:7" ht="32.1" customHeight="1">
      <c r="A2" s="32" t="s">
        <v>1</v>
      </c>
      <c r="B2" s="33"/>
      <c r="C2" s="33"/>
      <c r="D2" s="33"/>
      <c r="E2" s="33"/>
      <c r="F2" s="33"/>
      <c r="G2" s="33"/>
    </row>
    <row r="4" spans="1:7">
      <c r="A4" s="36" t="s">
        <v>115</v>
      </c>
      <c r="B4" s="33"/>
      <c r="C4" s="33"/>
      <c r="D4" s="33"/>
      <c r="E4" s="33"/>
      <c r="F4" s="33"/>
      <c r="G4" s="33"/>
    </row>
    <row r="5" spans="1:7">
      <c r="A5" s="5" t="s">
        <v>116</v>
      </c>
      <c r="B5" s="23">
        <f>'1 - Titoli e shock'!$B$11</f>
        <v>10</v>
      </c>
    </row>
    <row r="6" spans="1:7">
      <c r="A6" s="5" t="s">
        <v>117</v>
      </c>
      <c r="B6" s="12">
        <f>'1 - Titoli e shock'!$B$13</f>
        <v>4.4879535479525945E-2</v>
      </c>
    </row>
    <row r="7" spans="1:7">
      <c r="A7" s="5" t="s">
        <v>118</v>
      </c>
      <c r="B7" s="20">
        <f>'1 - Titoli e shock'!$B$7</f>
        <v>200000</v>
      </c>
    </row>
    <row r="8" spans="1:7">
      <c r="A8" s="5" t="s">
        <v>119</v>
      </c>
      <c r="B8" s="20">
        <f>B7/10</f>
        <v>20000</v>
      </c>
    </row>
    <row r="10" spans="1:7">
      <c r="A10" s="36" t="s">
        <v>120</v>
      </c>
      <c r="B10" s="33"/>
      <c r="C10" s="33"/>
      <c r="D10" s="33"/>
      <c r="E10" s="33"/>
      <c r="F10" s="33"/>
      <c r="G10" s="33"/>
    </row>
    <row r="11" spans="1:7" ht="33.950000000000003" customHeight="1">
      <c r="A11" s="14" t="s">
        <v>41</v>
      </c>
      <c r="B11" s="14" t="s">
        <v>44</v>
      </c>
      <c r="C11" s="14" t="s">
        <v>45</v>
      </c>
      <c r="D11" s="14" t="s">
        <v>121</v>
      </c>
      <c r="E11" s="14" t="s">
        <v>122</v>
      </c>
      <c r="F11" s="14" t="s">
        <v>54</v>
      </c>
    </row>
    <row r="12" spans="1:7">
      <c r="A12" s="22" t="str">
        <f>'1 - Titoli e shock'!A21</f>
        <v>BTP 2,70% ott 2027</v>
      </c>
      <c r="B12" s="13">
        <f>'1 - Titoli e shock'!D21</f>
        <v>46675</v>
      </c>
      <c r="C12" s="19">
        <f>'1 - Titoli e shock'!E21</f>
        <v>99.555999999999997</v>
      </c>
      <c r="D12" s="20">
        <f>'5 - Motore flussi'!C34*100</f>
        <v>20083.210700687774</v>
      </c>
      <c r="E12" s="20">
        <f>D12*'1 - Titoli e shock'!C21*(1-'1 - Titoli e shock'!$B$8)</f>
        <v>474.4658528037487</v>
      </c>
      <c r="F12" s="12">
        <f>'1 - Titoli e shock'!N21</f>
        <v>2.783885393224006E-2</v>
      </c>
    </row>
    <row r="13" spans="1:7">
      <c r="A13" s="22" t="str">
        <f>'1 - Titoli e shock'!A22</f>
        <v>BTP 2,80% dic 2028</v>
      </c>
      <c r="B13" s="13">
        <f>'1 - Titoli e shock'!D22</f>
        <v>47088</v>
      </c>
      <c r="C13" s="19">
        <f>'1 - Titoli e shock'!E22</f>
        <v>98.8</v>
      </c>
      <c r="D13" s="20">
        <f>'5 - Motore flussi'!C35*100</f>
        <v>20025.82565494299</v>
      </c>
      <c r="E13" s="20">
        <f>D13*'1 - Titoli e shock'!C22*(1-'1 - Titoli e shock'!$B$8)</f>
        <v>490.63272854610329</v>
      </c>
      <c r="F13" s="12">
        <f>'1 - Titoli e shock'!N22</f>
        <v>2.9909843428036265E-2</v>
      </c>
    </row>
    <row r="14" spans="1:7">
      <c r="A14" s="22" t="str">
        <f>'1 - Titoli e shock'!A23</f>
        <v>BTP 3,00% ott 2029</v>
      </c>
      <c r="B14" s="13">
        <f>'1 - Titoli e shock'!D23</f>
        <v>47392</v>
      </c>
      <c r="C14" s="19">
        <f>'1 - Titoli e shock'!E23</f>
        <v>98.28</v>
      </c>
      <c r="D14" s="20">
        <f>'5 - Motore flussi'!C36*100</f>
        <v>20319.348709051486</v>
      </c>
      <c r="E14" s="20">
        <f>D14*'1 - Titoli e shock'!C23*(1-'1 - Titoli e shock'!$B$8)</f>
        <v>533.38290361260147</v>
      </c>
      <c r="F14" s="12">
        <f>'1 - Titoli e shock'!N23</f>
        <v>3.1949338458086896E-2</v>
      </c>
    </row>
    <row r="15" spans="1:7">
      <c r="A15" s="22" t="str">
        <f>'1 - Titoli e shock'!A24</f>
        <v>BTP 2,70% ott 2030</v>
      </c>
      <c r="B15" s="13">
        <f>'1 - Titoli e shock'!D24</f>
        <v>47757</v>
      </c>
      <c r="C15" s="19">
        <f>'1 - Titoli e shock'!E24</f>
        <v>96.04</v>
      </c>
      <c r="D15" s="20">
        <f>'5 - Motore flussi'!C37*100</f>
        <v>20795.74578457664</v>
      </c>
      <c r="E15" s="20">
        <f>D15*'1 - Titoli e shock'!C24*(1-'1 - Titoli e shock'!$B$8)</f>
        <v>491.29949416062311</v>
      </c>
      <c r="F15" s="12">
        <f>'1 - Titoli e shock'!N24</f>
        <v>3.3494512043242164E-2</v>
      </c>
    </row>
    <row r="16" spans="1:7">
      <c r="A16" s="22" t="str">
        <f>'1 - Titoli e shock'!A25</f>
        <v>BTP 3,15% nov 2031</v>
      </c>
      <c r="B16" s="13">
        <f>'1 - Titoli e shock'!D25</f>
        <v>48167</v>
      </c>
      <c r="C16" s="19">
        <f>'1 - Titoli e shock'!E25</f>
        <v>96.56</v>
      </c>
      <c r="D16" s="20">
        <f>'5 - Motore flussi'!C38*100</f>
        <v>20428.198352254858</v>
      </c>
      <c r="E16" s="20">
        <f>D16*'1 - Titoli e shock'!C25*(1-'1 - Titoli e shock'!$B$8)</f>
        <v>563.05221708402462</v>
      </c>
      <c r="F16" s="12">
        <f>'1 - Titoli e shock'!N25</f>
        <v>3.4512549712871543E-2</v>
      </c>
    </row>
    <row r="17" spans="1:7">
      <c r="A17" s="22" t="str">
        <f>'1 - Titoli e shock'!A26</f>
        <v>BTP 3,25% nov 2032</v>
      </c>
      <c r="B17" s="13">
        <f>'1 - Titoli e shock'!D26</f>
        <v>48533</v>
      </c>
      <c r="C17" s="19">
        <f>'1 - Titoli e shock'!E26</f>
        <v>95.9</v>
      </c>
      <c r="D17" s="20">
        <f>'5 - Motore flussi'!C39*100</f>
        <v>20557.826568476972</v>
      </c>
      <c r="E17" s="20">
        <f>D17*'1 - Titoli e shock'!C26*(1-'1 - Titoli e shock'!$B$8)</f>
        <v>584.61319304106382</v>
      </c>
      <c r="F17" s="12">
        <f>'1 - Titoli e shock'!N26</f>
        <v>3.5538462858215381E-2</v>
      </c>
    </row>
    <row r="18" spans="1:7">
      <c r="A18" s="22" t="str">
        <f>'1 - Titoli e shock'!A27</f>
        <v>BTP 4,35% nov 2033</v>
      </c>
      <c r="B18" s="13">
        <f>'1 - Titoli e shock'!D27</f>
        <v>48884</v>
      </c>
      <c r="C18" s="19">
        <f>'1 - Titoli e shock'!E27</f>
        <v>101.22</v>
      </c>
      <c r="D18" s="20">
        <f>'5 - Motore flussi'!C40*100</f>
        <v>19372.086455305624</v>
      </c>
      <c r="E18" s="20">
        <f>D18*'1 - Titoli e shock'!C27*(1-'1 - Titoli e shock'!$B$8)</f>
        <v>737.35004070507023</v>
      </c>
      <c r="F18" s="12">
        <f>'1 - Titoli e shock'!N27</f>
        <v>3.6407135963981929E-2</v>
      </c>
    </row>
    <row r="19" spans="1:7">
      <c r="A19" s="22" t="str">
        <f>'1 - Titoli e shock'!A28</f>
        <v>BTP 3,85% feb 2035</v>
      </c>
      <c r="B19" s="13">
        <f>'1 - Titoli e shock'!D28</f>
        <v>49341</v>
      </c>
      <c r="C19" s="19">
        <f>'1 - Titoli e shock'!E28</f>
        <v>96.91</v>
      </c>
      <c r="D19" s="20">
        <f>'5 - Motore flussi'!C41*100</f>
        <v>20463.185311659039</v>
      </c>
      <c r="E19" s="20">
        <f>D19*'1 - Titoli e shock'!C28*(1-'1 - Titoli e shock'!$B$8)</f>
        <v>689.35355518651386</v>
      </c>
      <c r="F19" s="12">
        <f>'1 - Titoli e shock'!N28</f>
        <v>3.8011186832587418E-2</v>
      </c>
    </row>
    <row r="20" spans="1:7">
      <c r="A20" s="22" t="str">
        <f>'1 - Titoli e shock'!A29</f>
        <v>BTP 3,60% ott 2035</v>
      </c>
      <c r="B20" s="13">
        <f>'1 - Titoli e shock'!D29</f>
        <v>49583</v>
      </c>
      <c r="C20" s="19">
        <f>'1 - Titoli e shock'!E29</f>
        <v>94.5</v>
      </c>
      <c r="D20" s="20">
        <f>'5 - Motore flussi'!C42*100</f>
        <v>21124.226702415359</v>
      </c>
      <c r="E20" s="20">
        <f>D20*'1 - Titoli e shock'!C29*(1-'1 - Titoli e shock'!$B$8)</f>
        <v>665.41314112608381</v>
      </c>
      <c r="F20" s="12">
        <f>'1 - Titoli e shock'!N29</f>
        <v>3.8522349688436375E-2</v>
      </c>
    </row>
    <row r="21" spans="1:7">
      <c r="A21" s="22" t="str">
        <f>'1 - Titoli e shock'!A30</f>
        <v>BTP 4,00% ott 2036</v>
      </c>
      <c r="B21" s="13">
        <f>'1 - Titoli e shock'!D30</f>
        <v>49949</v>
      </c>
      <c r="C21" s="19">
        <f>'1 - Titoli e shock'!E30</f>
        <v>96.5</v>
      </c>
      <c r="D21" s="20">
        <f>'5 - Motore flussi'!C43*100</f>
        <v>20682.993351894991</v>
      </c>
      <c r="E21" s="20">
        <f>D21*'1 - Titoli e shock'!C30*(1-'1 - Titoli e shock'!$B$8)</f>
        <v>723.90476731632475</v>
      </c>
      <c r="F21" s="12">
        <f>'1 - Titoli e shock'!N30</f>
        <v>3.9288243221671015E-2</v>
      </c>
    </row>
    <row r="22" spans="1:7">
      <c r="A22" s="5" t="s">
        <v>123</v>
      </c>
      <c r="E22" s="20">
        <f>SUM(E12:E21)</f>
        <v>5953.4678935821585</v>
      </c>
      <c r="F22" s="12">
        <f>E22/B7</f>
        <v>2.9767339467910794E-2</v>
      </c>
    </row>
    <row r="23" spans="1:7">
      <c r="A23" s="5" t="s">
        <v>124</v>
      </c>
      <c r="D23" s="20">
        <f>'1 - Titoli e shock'!R33</f>
        <v>214448.40218266053</v>
      </c>
      <c r="E23" s="20">
        <f>D23*'1 - Titoli e shock'!C33*(1-'1 - Titoli e shock'!$B$8)</f>
        <v>8443.9058359422579</v>
      </c>
    </row>
    <row r="25" spans="1:7">
      <c r="A25" s="36" t="s">
        <v>125</v>
      </c>
      <c r="B25" s="33"/>
      <c r="C25" s="33"/>
      <c r="D25" s="33"/>
      <c r="E25" s="33"/>
      <c r="F25" s="33"/>
      <c r="G25" s="33"/>
    </row>
    <row r="26" spans="1:7" ht="33.950000000000003" customHeight="1">
      <c r="A26" s="14" t="s">
        <v>126</v>
      </c>
      <c r="B26" s="24">
        <f>'5 - Motore flussi'!F5</f>
        <v>-1</v>
      </c>
      <c r="C26" s="24">
        <f>'5 - Motore flussi'!G5</f>
        <v>0</v>
      </c>
      <c r="D26" s="24">
        <f>'5 - Motore flussi'!H5</f>
        <v>1</v>
      </c>
      <c r="E26" s="24">
        <f>'5 - Motore flussi'!I5</f>
        <v>2</v>
      </c>
    </row>
    <row r="27" spans="1:7">
      <c r="A27" s="5" t="s">
        <v>127</v>
      </c>
    </row>
    <row r="28" spans="1:7">
      <c r="A28" s="5" t="s">
        <v>128</v>
      </c>
      <c r="B28" s="20">
        <f>'5 - Motore flussi'!F9</f>
        <v>6138.1112964470803</v>
      </c>
      <c r="C28" s="20">
        <f>'5 - Motore flussi'!G9</f>
        <v>6138.1112964470803</v>
      </c>
      <c r="D28" s="20">
        <f>'5 - Motore flussi'!H9</f>
        <v>6138.1112964470803</v>
      </c>
      <c r="E28" s="20">
        <f>'5 - Motore flussi'!I9</f>
        <v>6138.1112964470803</v>
      </c>
    </row>
    <row r="29" spans="1:7">
      <c r="A29" s="5" t="s">
        <v>129</v>
      </c>
      <c r="B29" s="20">
        <f>'5 - Motore flussi'!F11</f>
        <v>6298.1168159416993</v>
      </c>
      <c r="C29" s="20">
        <f>'5 - Motore flussi'!G11</f>
        <v>7035.8805822921786</v>
      </c>
      <c r="D29" s="20">
        <f>'5 - Motore flussi'!H11</f>
        <v>7770.1223378436525</v>
      </c>
      <c r="E29" s="20">
        <f>'5 - Motore flussi'!I11</f>
        <v>8500.8920472942518</v>
      </c>
    </row>
    <row r="30" spans="1:7">
      <c r="A30" s="5" t="s">
        <v>130</v>
      </c>
      <c r="B30" s="20">
        <f>'5 - Motore flussi'!F13</f>
        <v>204449.86570099342</v>
      </c>
      <c r="C30" s="20">
        <f>'5 - Motore flussi'!G13</f>
        <v>204816.53192006442</v>
      </c>
      <c r="D30" s="20">
        <f>'5 - Motore flussi'!H13</f>
        <v>205181.44771109585</v>
      </c>
      <c r="E30" s="20">
        <f>'5 - Motore flussi'!I13</f>
        <v>205544.63790638198</v>
      </c>
    </row>
    <row r="31" spans="1:7">
      <c r="A31" s="5" t="s">
        <v>131</v>
      </c>
      <c r="B31" s="12">
        <f>'5 - Motore flussi'!F14</f>
        <v>3.3820080051158066E-2</v>
      </c>
      <c r="C31" s="12">
        <f>'5 - Motore flussi'!G14</f>
        <v>3.7477510951317211E-2</v>
      </c>
      <c r="D31" s="12">
        <f>'5 - Motore flussi'!H14</f>
        <v>4.1074721546876282E-2</v>
      </c>
      <c r="E31" s="12">
        <f>'5 - Motore flussi'!I14</f>
        <v>4.4613502961454665E-2</v>
      </c>
    </row>
    <row r="32" spans="1:7">
      <c r="A32" s="5" t="s">
        <v>132</v>
      </c>
      <c r="B32" s="12">
        <f>'5 - Motore flussi'!F15</f>
        <v>3.1754445290228042E-2</v>
      </c>
      <c r="C32" s="12">
        <f>'5 - Motore flussi'!G15</f>
        <v>3.545652094949317E-2</v>
      </c>
      <c r="D32" s="12">
        <f>'5 - Motore flussi'!H15</f>
        <v>3.9096254233055169E-2</v>
      </c>
      <c r="E32" s="12">
        <f>'5 - Motore flussi'!I15</f>
        <v>4.2675562497256153E-2</v>
      </c>
    </row>
    <row r="33" spans="1:7">
      <c r="A33" s="5" t="s">
        <v>133</v>
      </c>
      <c r="B33" s="20">
        <f>'5 - Motore flussi'!F16</f>
        <v>6743.1033860410444</v>
      </c>
      <c r="C33" s="20">
        <f>'5 - Motore flussi'!G16</f>
        <v>7517.5337742986212</v>
      </c>
      <c r="D33" s="20">
        <f>'5 - Motore flussi'!H16</f>
        <v>8288.2671089532378</v>
      </c>
      <c r="E33" s="20">
        <f>'5 - Motore flussi'!I16</f>
        <v>9055.3558379324495</v>
      </c>
    </row>
    <row r="34" spans="1:7">
      <c r="A34" s="5" t="s">
        <v>134</v>
      </c>
    </row>
    <row r="35" spans="1:7">
      <c r="A35" s="5" t="s">
        <v>128</v>
      </c>
      <c r="B35" s="20">
        <f>'5 - Motore flussi'!F17</f>
        <v>8503.5566620988357</v>
      </c>
      <c r="C35" s="20">
        <f>'5 - Motore flussi'!G17</f>
        <v>8503.5566620988357</v>
      </c>
      <c r="D35" s="20">
        <f>'5 - Motore flussi'!H17</f>
        <v>8503.5566620988357</v>
      </c>
      <c r="E35" s="20">
        <f>'5 - Motore flussi'!I17</f>
        <v>8503.5566620988357</v>
      </c>
    </row>
    <row r="36" spans="1:7">
      <c r="A36" s="5" t="s">
        <v>129</v>
      </c>
      <c r="B36" s="20">
        <f>'5 - Motore flussi'!F19</f>
        <v>8449.8709185579155</v>
      </c>
      <c r="C36" s="20">
        <f>'5 - Motore flussi'!G19</f>
        <v>8449.8709185579155</v>
      </c>
      <c r="D36" s="20">
        <f>'5 - Motore flussi'!H19</f>
        <v>8449.8709185579155</v>
      </c>
      <c r="E36" s="20">
        <f>'5 - Motore flussi'!I19</f>
        <v>8449.8709185579155</v>
      </c>
    </row>
    <row r="37" spans="1:7">
      <c r="A37" s="5" t="s">
        <v>130</v>
      </c>
      <c r="B37" s="20">
        <f>'5 - Motore flussi'!F21</f>
        <v>229132.95607125692</v>
      </c>
      <c r="C37" s="20">
        <f>'5 - Motore flussi'!G21</f>
        <v>206816.26500109362</v>
      </c>
      <c r="D37" s="20">
        <f>'5 - Motore flussi'!H21</f>
        <v>185862.28468905302</v>
      </c>
      <c r="E37" s="20">
        <f>'5 - Motore flussi'!I21</f>
        <v>166941.99756490107</v>
      </c>
    </row>
    <row r="38" spans="1:7">
      <c r="A38" s="5" t="s">
        <v>131</v>
      </c>
      <c r="B38" s="12">
        <f>'5 - Motore flussi'!F22</f>
        <v>5.4242440092175326E-2</v>
      </c>
      <c r="C38" s="12">
        <f>'5 - Motore flussi'!G22</f>
        <v>4.5555550670589251E-2</v>
      </c>
      <c r="D38" s="12">
        <f>'5 - Motore flussi'!H22</f>
        <v>3.6708500998296589E-2</v>
      </c>
      <c r="E38" s="12">
        <f>'5 - Motore flussi'!I22</f>
        <v>2.8035809592142271E-2</v>
      </c>
    </row>
    <row r="39" spans="1:7">
      <c r="A39" s="5" t="s">
        <v>132</v>
      </c>
      <c r="B39" s="12">
        <f>'5 - Motore flussi'!F23</f>
        <v>5.2045835352187049E-2</v>
      </c>
      <c r="C39" s="12">
        <f>'5 - Motore flussi'!G23</f>
        <v>4.3530076244165279E-2</v>
      </c>
      <c r="D39" s="12">
        <f>'5 - Motore flussi'!H23</f>
        <v>3.4823520995265443E-2</v>
      </c>
      <c r="E39" s="12">
        <f>'5 - Motore flussi'!I23</f>
        <v>2.6268683839809837E-2</v>
      </c>
    </row>
    <row r="40" spans="1:7">
      <c r="A40" s="5" t="s">
        <v>133</v>
      </c>
      <c r="B40" s="20">
        <f>'5 - Motore flussi'!F24</f>
        <v>11363.16652568361</v>
      </c>
      <c r="C40" s="20">
        <f>'5 - Motore flussi'!G24</f>
        <v>9131.4974186672771</v>
      </c>
      <c r="D40" s="20">
        <f>'5 - Motore flussi'!H24</f>
        <v>7036.0993874632168</v>
      </c>
      <c r="E40" s="20">
        <f>'5 - Motore flussi'!I24</f>
        <v>5144.0706750480222</v>
      </c>
    </row>
    <row r="42" spans="1:7">
      <c r="A42" s="36" t="s">
        <v>135</v>
      </c>
      <c r="B42" s="33"/>
      <c r="C42" s="33"/>
      <c r="D42" s="33"/>
      <c r="E42" s="33"/>
      <c r="F42" s="33"/>
      <c r="G42" s="33"/>
    </row>
    <row r="43" spans="1:7">
      <c r="A43" s="5" t="s">
        <v>136</v>
      </c>
      <c r="B43" s="21">
        <f>'5 - Motore flussi'!F29</f>
        <v>0.65441040937432637</v>
      </c>
    </row>
    <row r="44" spans="1:7" ht="105" customHeight="1">
      <c r="A44" s="35" t="s">
        <v>137</v>
      </c>
      <c r="B44" s="33"/>
      <c r="C44" s="33"/>
      <c r="D44" s="33"/>
      <c r="E44" s="33"/>
      <c r="F44" s="33"/>
      <c r="G44" s="33"/>
    </row>
    <row r="46" spans="1:7">
      <c r="A46" s="36" t="s">
        <v>138</v>
      </c>
      <c r="B46" s="33"/>
      <c r="C46" s="33"/>
      <c r="D46" s="33"/>
      <c r="E46" s="33"/>
      <c r="F46" s="33"/>
      <c r="G46" s="33"/>
    </row>
    <row r="47" spans="1:7" ht="33.950000000000003" customHeight="1">
      <c r="A47" s="14" t="s">
        <v>139</v>
      </c>
      <c r="B47" s="14" t="s">
        <v>127</v>
      </c>
      <c r="C47" s="14" t="s">
        <v>134</v>
      </c>
    </row>
    <row r="48" spans="1:7">
      <c r="A48" s="11">
        <v>1</v>
      </c>
      <c r="B48" s="20">
        <f>IF(A48&lt;='1 - Titoli e shock'!$B$11,SUMIFS('5 - Motore flussi'!$G$170:$G$512,'5 - Motore flussi'!$A$170:$A$512,"cedola*",'5 - Motore flussi'!$D$170:$D$512,A48),"")</f>
        <v>6138.1112964470803</v>
      </c>
      <c r="C48" s="20">
        <f>IF(A48&lt;='1 - Titoli e shock'!$B$11,SUMIFS('5 - Motore flussi'!$G$515:$G$564,'5 - Motore flussi'!$A$515:$A$564,"cedola*",'5 - Motore flussi'!$D$515:$D$564,A48),"")</f>
        <v>8503.5566620988357</v>
      </c>
    </row>
    <row r="49" spans="1:3">
      <c r="A49" s="11">
        <v>2</v>
      </c>
      <c r="B49" s="20">
        <f>IF(A49&lt;='1 - Titoli e shock'!$B$11,SUMIFS('5 - Motore flussi'!$G$170:$G$512,'5 - Motore flussi'!$A$170:$A$512,"cedola*",'5 - Motore flussi'!$D$170:$D$512,A49),"")</f>
        <v>6258.5731533306298</v>
      </c>
      <c r="C49" s="20">
        <f>IF(A49&lt;='1 - Titoli e shock'!$B$11,SUMIFS('5 - Motore flussi'!$G$515:$G$564,'5 - Motore flussi'!$A$515:$A$564,"cedola*",'5 - Motore flussi'!$D$515:$D$564,A49),"")</f>
        <v>8443.9058359422579</v>
      </c>
    </row>
    <row r="50" spans="1:3">
      <c r="A50" s="11">
        <v>3</v>
      </c>
      <c r="B50" s="20">
        <f>IF(A50&lt;='1 - Titoli e shock'!$B$11,SUMIFS('5 - Motore flussi'!$G$170:$G$512,'5 - Motore flussi'!$A$170:$A$512,"cedola*",'5 - Motore flussi'!$D$170:$D$512,A50),"")</f>
        <v>6401.5610872592342</v>
      </c>
      <c r="C50" s="20">
        <f>IF(A50&lt;='1 - Titoli e shock'!$B$11,SUMIFS('5 - Motore flussi'!$G$515:$G$564,'5 - Motore flussi'!$A$515:$A$564,"cedola*",'5 - Motore flussi'!$D$515:$D$564,A50),"")</f>
        <v>8443.9058359422579</v>
      </c>
    </row>
    <row r="51" spans="1:3">
      <c r="A51" s="11">
        <v>4</v>
      </c>
      <c r="B51" s="20">
        <f>IF(A51&lt;='1 - Titoli e shock'!$B$11,SUMIFS('5 - Motore flussi'!$G$170:$G$512,'5 - Motore flussi'!$A$170:$A$512,"cedola*",'5 - Motore flussi'!$D$170:$D$512,A51),"")</f>
        <v>6798.644677816842</v>
      </c>
      <c r="C51" s="20">
        <f>IF(A51&lt;='1 - Titoli e shock'!$B$11,SUMIFS('5 - Motore flussi'!$G$515:$G$564,'5 - Motore flussi'!$A$515:$A$564,"cedola*",'5 - Motore flussi'!$D$515:$D$564,A51),"")</f>
        <v>8443.9058359422579</v>
      </c>
    </row>
    <row r="52" spans="1:3">
      <c r="A52" s="11">
        <v>5</v>
      </c>
      <c r="B52" s="20">
        <f>IF(A52&lt;='1 - Titoli e shock'!$B$11,SUMIFS('5 - Motore flussi'!$G$170:$G$512,'5 - Motore flussi'!$A$170:$A$512,"cedola*",'5 - Motore flussi'!$D$170:$D$512,A52),"")</f>
        <v>7111.0250660775391</v>
      </c>
      <c r="C52" s="20">
        <f>IF(A52&lt;='1 - Titoli e shock'!$B$11,SUMIFS('5 - Motore flussi'!$G$515:$G$564,'5 - Motore flussi'!$A$515:$A$564,"cedola*",'5 - Motore flussi'!$D$515:$D$564,A52),"")</f>
        <v>8443.9058359422579</v>
      </c>
    </row>
    <row r="53" spans="1:3">
      <c r="A53" s="11">
        <v>6</v>
      </c>
      <c r="B53" s="20">
        <f>IF(A53&lt;='1 - Titoli e shock'!$B$11,SUMIFS('5 - Motore flussi'!$G$170:$G$512,'5 - Motore flussi'!$A$170:$A$512,"cedola*",'5 - Motore flussi'!$D$170:$D$512,A53),"")</f>
        <v>7224.4945694425787</v>
      </c>
      <c r="C53" s="20">
        <f>IF(A53&lt;='1 - Titoli e shock'!$B$11,SUMIFS('5 - Motore flussi'!$G$515:$G$564,'5 - Motore flussi'!$A$515:$A$564,"cedola*",'5 - Motore flussi'!$D$515:$D$564,A53),"")</f>
        <v>8443.9058359422579</v>
      </c>
    </row>
    <row r="54" spans="1:3">
      <c r="A54" s="11">
        <v>7</v>
      </c>
      <c r="B54" s="20">
        <f>IF(A54&lt;='1 - Titoli e shock'!$B$11,SUMIFS('5 - Motore flussi'!$G$170:$G$512,'5 - Motore flussi'!$A$170:$A$512,"cedola*",'5 - Motore flussi'!$D$170:$D$512,A54),"")</f>
        <v>7442.8301983589899</v>
      </c>
      <c r="C54" s="20">
        <f>IF(A54&lt;='1 - Titoli e shock'!$B$11,SUMIFS('5 - Motore flussi'!$G$515:$G$564,'5 - Motore flussi'!$A$515:$A$564,"cedola*",'5 - Motore flussi'!$D$515:$D$564,A54),"")</f>
        <v>8443.9058359422579</v>
      </c>
    </row>
    <row r="55" spans="1:3">
      <c r="A55" s="11">
        <v>8</v>
      </c>
      <c r="B55" s="20">
        <f>IF(A55&lt;='1 - Titoli e shock'!$B$11,SUMIFS('5 - Motore flussi'!$G$170:$G$512,'5 - Motore flussi'!$A$170:$A$512,"cedola*",'5 - Motore flussi'!$D$170:$D$512,A55),"")</f>
        <v>7555.213771859083</v>
      </c>
      <c r="C55" s="20">
        <f>IF(A55&lt;='1 - Titoli e shock'!$B$11,SUMIFS('5 - Motore flussi'!$G$515:$G$564,'5 - Motore flussi'!$A$515:$A$564,"cedola*",'5 - Motore flussi'!$D$515:$D$564,A55),"")</f>
        <v>8443.9058359422579</v>
      </c>
    </row>
    <row r="56" spans="1:3">
      <c r="A56" s="11">
        <v>9</v>
      </c>
      <c r="B56" s="20">
        <f>IF(A56&lt;='1 - Titoli e shock'!$B$11,SUMIFS('5 - Motore flussi'!$G$170:$G$512,'5 - Motore flussi'!$A$170:$A$512,"cedola*",'5 - Motore flussi'!$D$170:$D$512,A56),"")</f>
        <v>7613.9004091861825</v>
      </c>
      <c r="C56" s="20">
        <f>IF(A56&lt;='1 - Titoli e shock'!$B$11,SUMIFS('5 - Motore flussi'!$G$515:$G$564,'5 - Motore flussi'!$A$515:$A$564,"cedola*",'5 - Motore flussi'!$D$515:$D$564,A56),"")</f>
        <v>8443.9058359422579</v>
      </c>
    </row>
    <row r="57" spans="1:3">
      <c r="A57" s="11">
        <v>10</v>
      </c>
      <c r="B57" s="20">
        <f>IF(A57&lt;='1 - Titoli e shock'!$B$11,SUMIFS('5 - Motore flussi'!$G$170:$G$512,'5 - Motore flussi'!$A$170:$A$512,"cedola*",'5 - Motore flussi'!$D$170:$D$512,A57),"")</f>
        <v>7814.4515931435926</v>
      </c>
      <c r="C57" s="20">
        <f>IF(A57&lt;='1 - Titoli e shock'!$B$11,SUMIFS('5 - Motore flussi'!$G$515:$G$564,'5 - Motore flussi'!$A$515:$A$564,"cedola*",'5 - Motore flussi'!$D$515:$D$564,A57),"")</f>
        <v>8443.9058359422579</v>
      </c>
    </row>
    <row r="58" spans="1:3">
      <c r="A58" s="11">
        <v>11</v>
      </c>
      <c r="B58" s="20" t="str">
        <f>IF(A58&lt;='1 - Titoli e shock'!$B$11,SUMIFS('5 - Motore flussi'!$G$170:$G$512,'5 - Motore flussi'!$A$170:$A$512,"cedola*",'5 - Motore flussi'!$D$170:$D$512,A58),"")</f>
        <v/>
      </c>
      <c r="C58" s="20" t="str">
        <f>IF(A58&lt;='1 - Titoli e shock'!$B$11,SUMIFS('5 - Motore flussi'!$G$515:$G$564,'5 - Motore flussi'!$A$515:$A$564,"cedola*",'5 - Motore flussi'!$D$515:$D$564,A58),"")</f>
        <v/>
      </c>
    </row>
    <row r="59" spans="1:3">
      <c r="A59" s="11">
        <v>12</v>
      </c>
      <c r="B59" s="20" t="str">
        <f>IF(A59&lt;='1 - Titoli e shock'!$B$11,SUMIFS('5 - Motore flussi'!$G$170:$G$512,'5 - Motore flussi'!$A$170:$A$512,"cedola*",'5 - Motore flussi'!$D$170:$D$512,A59),"")</f>
        <v/>
      </c>
      <c r="C59" s="20" t="str">
        <f>IF(A59&lt;='1 - Titoli e shock'!$B$11,SUMIFS('5 - Motore flussi'!$G$515:$G$564,'5 - Motore flussi'!$A$515:$A$564,"cedola*",'5 - Motore flussi'!$D$515:$D$564,A59),"")</f>
        <v/>
      </c>
    </row>
    <row r="60" spans="1:3">
      <c r="A60" s="11">
        <v>13</v>
      </c>
      <c r="B60" s="20" t="str">
        <f>IF(A60&lt;='1 - Titoli e shock'!$B$11,SUMIFS('5 - Motore flussi'!$G$170:$G$512,'5 - Motore flussi'!$A$170:$A$512,"cedola*",'5 - Motore flussi'!$D$170:$D$512,A60),"")</f>
        <v/>
      </c>
      <c r="C60" s="20" t="str">
        <f>IF(A60&lt;='1 - Titoli e shock'!$B$11,SUMIFS('5 - Motore flussi'!$G$515:$G$564,'5 - Motore flussi'!$A$515:$A$564,"cedola*",'5 - Motore flussi'!$D$515:$D$564,A60),"")</f>
        <v/>
      </c>
    </row>
    <row r="61" spans="1:3">
      <c r="A61" s="11">
        <v>14</v>
      </c>
      <c r="B61" s="20" t="str">
        <f>IF(A61&lt;='1 - Titoli e shock'!$B$11,SUMIFS('5 - Motore flussi'!$G$170:$G$512,'5 - Motore flussi'!$A$170:$A$512,"cedola*",'5 - Motore flussi'!$D$170:$D$512,A61),"")</f>
        <v/>
      </c>
      <c r="C61" s="20" t="str">
        <f>IF(A61&lt;='1 - Titoli e shock'!$B$11,SUMIFS('5 - Motore flussi'!$G$515:$G$564,'5 - Motore flussi'!$A$515:$A$564,"cedola*",'5 - Motore flussi'!$D$515:$D$564,A61),"")</f>
        <v/>
      </c>
    </row>
    <row r="62" spans="1:3">
      <c r="A62" s="11">
        <v>15</v>
      </c>
      <c r="B62" s="20" t="str">
        <f>IF(A62&lt;='1 - Titoli e shock'!$B$11,SUMIFS('5 - Motore flussi'!$G$170:$G$512,'5 - Motore flussi'!$A$170:$A$512,"cedola*",'5 - Motore flussi'!$D$170:$D$512,A62),"")</f>
        <v/>
      </c>
      <c r="C62" s="20" t="str">
        <f>IF(A62&lt;='1 - Titoli e shock'!$B$11,SUMIFS('5 - Motore flussi'!$G$515:$G$564,'5 - Motore flussi'!$A$515:$A$564,"cedola*",'5 - Motore flussi'!$D$515:$D$564,A62),"")</f>
        <v/>
      </c>
    </row>
    <row r="63" spans="1:3">
      <c r="A63" s="11">
        <v>16</v>
      </c>
      <c r="B63" s="20" t="str">
        <f>IF(A63&lt;='1 - Titoli e shock'!$B$11,SUMIFS('5 - Motore flussi'!$G$170:$G$512,'5 - Motore flussi'!$A$170:$A$512,"cedola*",'5 - Motore flussi'!$D$170:$D$512,A63),"")</f>
        <v/>
      </c>
      <c r="C63" s="20" t="str">
        <f>IF(A63&lt;='1 - Titoli e shock'!$B$11,SUMIFS('5 - Motore flussi'!$G$515:$G$564,'5 - Motore flussi'!$A$515:$A$564,"cedola*",'5 - Motore flussi'!$D$515:$D$564,A63),"")</f>
        <v/>
      </c>
    </row>
    <row r="65" spans="1:7" ht="15" customHeight="1">
      <c r="A65" s="35" t="s">
        <v>113</v>
      </c>
      <c r="B65" s="33"/>
      <c r="C65" s="33"/>
      <c r="D65" s="33"/>
      <c r="E65" s="33"/>
      <c r="F65" s="33"/>
      <c r="G65" s="33"/>
    </row>
  </sheetData>
  <mergeCells count="9">
    <mergeCell ref="A65:G65"/>
    <mergeCell ref="A10:G10"/>
    <mergeCell ref="A42:G42"/>
    <mergeCell ref="A46:G46"/>
    <mergeCell ref="A44:G44"/>
    <mergeCell ref="A1:G1"/>
    <mergeCell ref="A4:G4"/>
    <mergeCell ref="A2:G2"/>
    <mergeCell ref="A25:G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"/>
  <sheetViews>
    <sheetView workbookViewId="0"/>
  </sheetViews>
  <sheetFormatPr defaultRowHeight="15"/>
  <cols>
    <col min="1" max="1" width="66" customWidth="1"/>
    <col min="2" max="5" width="17" customWidth="1"/>
  </cols>
  <sheetData>
    <row r="1" spans="1:6" ht="24.95" customHeight="1">
      <c r="A1" s="34" t="s">
        <v>140</v>
      </c>
      <c r="B1" s="33"/>
      <c r="C1" s="33"/>
      <c r="D1" s="33"/>
      <c r="E1" s="33"/>
      <c r="F1" s="33"/>
    </row>
    <row r="2" spans="1:6" ht="32.1" customHeight="1">
      <c r="A2" s="32" t="s">
        <v>1</v>
      </c>
      <c r="B2" s="33"/>
      <c r="C2" s="33"/>
      <c r="D2" s="33"/>
      <c r="E2" s="33"/>
      <c r="F2" s="33"/>
    </row>
    <row r="4" spans="1:6">
      <c r="A4" s="36" t="s">
        <v>141</v>
      </c>
      <c r="B4" s="33"/>
      <c r="C4" s="33"/>
      <c r="D4" s="33"/>
      <c r="E4" s="33"/>
      <c r="F4" s="33"/>
    </row>
    <row r="5" spans="1:6">
      <c r="A5" s="5" t="s">
        <v>142</v>
      </c>
      <c r="B5" s="8">
        <v>0.02</v>
      </c>
    </row>
    <row r="6" spans="1:6">
      <c r="A6" s="5" t="s">
        <v>143</v>
      </c>
      <c r="B6" s="7">
        <v>1350</v>
      </c>
    </row>
    <row r="7" spans="1:6">
      <c r="A7" s="5" t="s">
        <v>144</v>
      </c>
      <c r="B7" s="7">
        <v>60000</v>
      </c>
    </row>
    <row r="8" spans="1:6">
      <c r="A8" s="5" t="s">
        <v>145</v>
      </c>
      <c r="B8" s="11">
        <v>73</v>
      </c>
    </row>
    <row r="9" spans="1:6">
      <c r="A9" s="5" t="s">
        <v>118</v>
      </c>
      <c r="B9" s="20">
        <f>'1 - Titoli e shock'!$B$7</f>
        <v>200000</v>
      </c>
    </row>
    <row r="10" spans="1:6">
      <c r="A10" s="5" t="s">
        <v>146</v>
      </c>
      <c r="B10" s="20">
        <f>'1 - Titoli e shock'!R33</f>
        <v>214448.40218266053</v>
      </c>
    </row>
    <row r="11" spans="1:6">
      <c r="A11" s="5" t="s">
        <v>122</v>
      </c>
      <c r="B11" s="20">
        <f>B10*'1 - Titoli e shock'!C33*(1-'1 - Titoli e shock'!$B$8)</f>
        <v>8443.9058359422579</v>
      </c>
    </row>
    <row r="12" spans="1:6">
      <c r="A12" s="5" t="s">
        <v>147</v>
      </c>
      <c r="B12" s="20">
        <f>B11/12</f>
        <v>703.65881966185486</v>
      </c>
    </row>
    <row r="14" spans="1:6">
      <c r="A14" s="36" t="s">
        <v>148</v>
      </c>
      <c r="B14" s="33"/>
      <c r="C14" s="33"/>
      <c r="D14" s="33"/>
      <c r="E14" s="33"/>
      <c r="F14" s="33"/>
    </row>
    <row r="15" spans="1:6">
      <c r="A15" s="5" t="s">
        <v>149</v>
      </c>
      <c r="B15" s="11">
        <v>7</v>
      </c>
      <c r="C15" s="11">
        <v>10</v>
      </c>
      <c r="D15" s="11">
        <v>14</v>
      </c>
      <c r="E15" s="11">
        <v>27</v>
      </c>
    </row>
    <row r="16" spans="1:6">
      <c r="A16" s="5" t="s">
        <v>150</v>
      </c>
      <c r="B16" s="23">
        <f>$B$8+B15</f>
        <v>80</v>
      </c>
      <c r="C16" s="23">
        <f>$B$8+C15</f>
        <v>83</v>
      </c>
      <c r="D16" s="23">
        <f>$B$8+D15</f>
        <v>87</v>
      </c>
      <c r="E16" s="23">
        <f>$B$8+E15</f>
        <v>100</v>
      </c>
    </row>
    <row r="17" spans="1:6">
      <c r="A17" s="5" t="s">
        <v>151</v>
      </c>
      <c r="B17" s="17">
        <f>(1+$B$5)^B15</f>
        <v>1.1486856676492798</v>
      </c>
      <c r="C17" s="17">
        <f>(1+$B$5)^C15</f>
        <v>1.2189944199947571</v>
      </c>
      <c r="D17" s="17">
        <f>(1+$B$5)^D15</f>
        <v>1.3194787630628722</v>
      </c>
      <c r="E17" s="17">
        <f>(1+$B$5)^E15</f>
        <v>1.7068864766411045</v>
      </c>
    </row>
    <row r="18" spans="1:6">
      <c r="A18" s="5" t="s">
        <v>152</v>
      </c>
      <c r="B18" s="20">
        <f>$B$12/B17</f>
        <v>612.57734772808021</v>
      </c>
      <c r="C18" s="20">
        <f>$B$12/C17</f>
        <v>577.2453164017611</v>
      </c>
      <c r="D18" s="20">
        <f>$B$12/D17</f>
        <v>533.28544525299503</v>
      </c>
      <c r="E18" s="20">
        <f>$B$12/E17</f>
        <v>412.24699433236441</v>
      </c>
    </row>
    <row r="19" spans="1:6">
      <c r="A19" s="5" t="s">
        <v>153</v>
      </c>
      <c r="B19" s="20">
        <f>$B$11/B17</f>
        <v>7350.9281727369626</v>
      </c>
      <c r="C19" s="20">
        <f>$B$11/C17</f>
        <v>6926.9437968211332</v>
      </c>
      <c r="D19" s="20">
        <f>$B$11/D17</f>
        <v>6399.4253430359395</v>
      </c>
      <c r="E19" s="20">
        <f>$B$11/E17</f>
        <v>4946.9639319883727</v>
      </c>
    </row>
    <row r="20" spans="1:6">
      <c r="A20" s="5" t="s">
        <v>154</v>
      </c>
      <c r="B20" s="25">
        <f>1-1/B17</f>
        <v>0.12943982138608612</v>
      </c>
      <c r="C20" s="25">
        <f>1-1/C17</f>
        <v>0.17965170012484466</v>
      </c>
      <c r="D20" s="25">
        <f>1-1/D17</f>
        <v>0.24212497541171052</v>
      </c>
      <c r="E20" s="25">
        <f>1-1/E17</f>
        <v>0.41413795604740544</v>
      </c>
    </row>
    <row r="21" spans="1:6">
      <c r="A21" s="5" t="s">
        <v>155</v>
      </c>
      <c r="B21" s="20">
        <f>$B$6*B17</f>
        <v>1550.7256513265277</v>
      </c>
      <c r="C21" s="20">
        <f>$B$6*C17</f>
        <v>1645.642466992922</v>
      </c>
      <c r="D21" s="20">
        <f>$B$6*D17</f>
        <v>1781.2963301348775</v>
      </c>
      <c r="E21" s="20">
        <f>$B$6*E17</f>
        <v>2304.2967434654911</v>
      </c>
    </row>
    <row r="23" spans="1:6">
      <c r="A23" s="36" t="s">
        <v>156</v>
      </c>
      <c r="B23" s="33"/>
      <c r="C23" s="33"/>
      <c r="D23" s="33"/>
      <c r="E23" s="33"/>
      <c r="F23" s="33"/>
    </row>
    <row r="24" spans="1:6">
      <c r="A24" s="5" t="s">
        <v>157</v>
      </c>
      <c r="B24" s="12">
        <f>'1 - Titoli e shock'!N33</f>
        <v>4.409308578582638E-2</v>
      </c>
    </row>
    <row r="25" spans="1:6">
      <c r="A25" s="5" t="s">
        <v>158</v>
      </c>
      <c r="B25" s="12">
        <f>(1+B24)/(1+B5)-1</f>
        <v>2.3620672339045523E-2</v>
      </c>
    </row>
    <row r="26" spans="1:6">
      <c r="A26" s="5" t="s">
        <v>159</v>
      </c>
      <c r="B26" s="12">
        <f>'1 - Titoli e shock'!O33</f>
        <v>4.2232285785826378E-2</v>
      </c>
    </row>
    <row r="27" spans="1:6">
      <c r="A27" s="5" t="s">
        <v>160</v>
      </c>
      <c r="B27" s="12">
        <f>(1+B26)/(1+B5)-1</f>
        <v>2.1796358613555222E-2</v>
      </c>
    </row>
    <row r="29" spans="1:6">
      <c r="A29" s="36" t="s">
        <v>161</v>
      </c>
      <c r="B29" s="33"/>
      <c r="C29" s="33"/>
      <c r="D29" s="33"/>
      <c r="E29" s="33"/>
      <c r="F29" s="33"/>
    </row>
    <row r="30" spans="1:6">
      <c r="A30" s="5" t="s">
        <v>162</v>
      </c>
      <c r="B30" s="11">
        <v>7</v>
      </c>
    </row>
    <row r="31" spans="1:6">
      <c r="A31" s="5" t="s">
        <v>163</v>
      </c>
      <c r="B31" s="13">
        <f>EDATE('1 - Titoli e shock'!$B$6,12*B30)</f>
        <v>48871</v>
      </c>
    </row>
    <row r="32" spans="1:6">
      <c r="A32" s="5" t="s">
        <v>164</v>
      </c>
      <c r="B32" s="10">
        <v>-1</v>
      </c>
      <c r="C32" s="10">
        <v>0</v>
      </c>
      <c r="D32" s="10">
        <v>1</v>
      </c>
      <c r="E32" s="10">
        <v>2</v>
      </c>
    </row>
    <row r="34" spans="1:5">
      <c r="A34" s="5" t="s">
        <v>165</v>
      </c>
    </row>
    <row r="35" spans="1:5">
      <c r="A35" s="5" t="s">
        <v>166</v>
      </c>
      <c r="B35" s="19">
        <f>('1 - Titoli e shock'!D33-$B$31)/365.25</f>
        <v>19.950718685831621</v>
      </c>
    </row>
    <row r="36" spans="1:5">
      <c r="A36" s="5" t="s">
        <v>167</v>
      </c>
      <c r="B36" s="12">
        <f>IF(B35&lt;='1 - Titoli e shock'!$P$21,'1 - Titoli e shock'!$K$21,IF(B35&gt;='1 - Titoli e shock'!$P$35,'1 - Titoli e shock'!$K$35,INDEX('1 - Titoli e shock'!$K$21:$K$35,MATCH(B35,'1 - Titoli e shock'!$P$21:$P$35,1))+(INDEX('1 - Titoli e shock'!$K$21:$K$35,MATCH(B35,'1 - Titoli e shock'!$P$21:$P$35,1)+1)-INDEX('1 - Titoli e shock'!$K$21:$K$35,MATCH(B35,'1 - Titoli e shock'!$P$21:$P$35,1)))*(B35-INDEX('1 - Titoli e shock'!$P$21:$P$35,MATCH(B35,'1 - Titoli e shock'!$P$21:$P$35,1)))/(INDEX('1 - Titoli e shock'!$P$21:$P$35,MATCH(B35,'1 - Titoli e shock'!$P$21:$P$35,1)+1)-INDEX('1 - Titoli e shock'!$P$21:$P$35,MATCH(B35,'1 - Titoli e shock'!$P$21:$P$35,1)))))</f>
        <v>4.905199223298936E-2</v>
      </c>
    </row>
    <row r="37" spans="1:5">
      <c r="A37" s="5" t="s">
        <v>168</v>
      </c>
      <c r="B37" s="17">
        <f>'1 - Titoli e shock'!C33*100/2*COUPDAYBS($B$31,'1 - Titoli e shock'!D33,2,1)/COUPDAYS($B$31,'1 - Titoli e shock'!D33,2,1)</f>
        <v>0.22252747252747251</v>
      </c>
    </row>
    <row r="38" spans="1:5">
      <c r="A38" s="5" t="s">
        <v>169</v>
      </c>
      <c r="B38" s="19">
        <f>PRICE($B$31,'1 - Titoli e shock'!$D$33,'1 - Titoli e shock'!$C$33,2*((1+$B$36+B$32/100)^0.5-1),100,2,1)</f>
        <v>108.73184723962757</v>
      </c>
      <c r="C38" s="19">
        <f>PRICE($B$31,'1 - Titoli e shock'!$D$33,'1 - Titoli e shock'!$C$33,2*((1+$B$36+C$32/100)^0.5-1),100,2,1)</f>
        <v>95.598566226730071</v>
      </c>
      <c r="D38" s="19">
        <f>PRICE($B$31,'1 - Titoli e shock'!$D$33,'1 - Titoli e shock'!$C$33,2*((1+$B$36+D$32/100)^0.5-1),100,2,1)</f>
        <v>84.532167444444568</v>
      </c>
      <c r="E38" s="19">
        <f>PRICE($B$31,'1 - Titoli e shock'!$D$33,'1 - Titoli e shock'!$C$33,2*((1+$B$36+E$32/100)^0.5-1),100,2,1)</f>
        <v>75.171703691327963</v>
      </c>
    </row>
    <row r="39" spans="1:5">
      <c r="A39" s="5" t="s">
        <v>170</v>
      </c>
      <c r="B39" s="17">
        <f>'1 - Titoli e shock'!$B$8*(MAX(0,B38-'1 - Titoli e shock'!$E$33)+$B$37)</f>
        <v>1.9892968390193795</v>
      </c>
      <c r="C39" s="17">
        <f>'1 - Titoli e shock'!$B$8*(MAX(0,C38-'1 - Titoli e shock'!$E$33)+$B$37)</f>
        <v>0.34763671240719218</v>
      </c>
      <c r="D39" s="17">
        <f>'1 - Titoli e shock'!$B$8*(MAX(0,D38-'1 - Titoli e shock'!$E$33)+$B$37)</f>
        <v>2.7815934065934064E-2</v>
      </c>
      <c r="E39" s="17">
        <f>'1 - Titoli e shock'!$B$8*(MAX(0,E38-'1 - Titoli e shock'!$E$33)+$B$37)</f>
        <v>2.7815934065934064E-2</v>
      </c>
    </row>
    <row r="40" spans="1:5">
      <c r="A40" s="5" t="s">
        <v>171</v>
      </c>
      <c r="B40" s="17">
        <f>B38+$B$37-B39</f>
        <v>106.96507787313567</v>
      </c>
      <c r="C40" s="17">
        <f>C38+$B$37-C39</f>
        <v>95.473456986850351</v>
      </c>
      <c r="D40" s="17">
        <f>D38+$B$37-D39</f>
        <v>84.726878982906115</v>
      </c>
      <c r="E40" s="17">
        <f>E38+$B$37-E39</f>
        <v>75.36641522978951</v>
      </c>
    </row>
    <row r="41" spans="1:5">
      <c r="A41" s="5" t="s">
        <v>172</v>
      </c>
      <c r="B41" s="20">
        <f>B40*'1 - Titoli e shock'!$R$33/100</f>
        <v>229384.90039237801</v>
      </c>
      <c r="C41" s="20">
        <f>C40*'1 - Titoli e shock'!$R$33/100</f>
        <v>204741.30301685023</v>
      </c>
      <c r="D41" s="20">
        <f>D40*'1 - Titoli e shock'!$R$33/100</f>
        <v>181695.43819807857</v>
      </c>
      <c r="E41" s="20">
        <f>E40*'1 - Titoli e shock'!$R$33/100</f>
        <v>161622.07324263293</v>
      </c>
    </row>
    <row r="42" spans="1:5">
      <c r="A42" s="5" t="s">
        <v>173</v>
      </c>
      <c r="B42" s="20">
        <f>'1 - Titoli e shock'!R33/100*'1 - Titoli e shock'!C33*100/2*(2*$B$30-'1 - Titoli e shock'!$B$8*(2*$B$30-1+((COUPNCD('1 - Titoli e shock'!$B$6,'1 - Titoli e shock'!D33,2,1)-'1 - Titoli e shock'!$B$6)/(COUPNCD('1 - Titoli e shock'!$B$6,'1 - Titoli e shock'!D33,2,1)-COUPPCD('1 - Titoli e shock'!$B$6,'1 - Titoli e shock'!D33,2,1)))))</f>
        <v>59166.991677752383</v>
      </c>
    </row>
    <row r="44" spans="1:5">
      <c r="A44" s="5" t="s">
        <v>174</v>
      </c>
    </row>
    <row r="45" spans="1:5">
      <c r="A45" s="5" t="s">
        <v>166</v>
      </c>
      <c r="B45" s="19">
        <f>('1 - Titoli e shock'!D31-$B$31)/365.25</f>
        <v>7.9507186858316219</v>
      </c>
    </row>
    <row r="46" spans="1:5">
      <c r="A46" s="5" t="s">
        <v>167</v>
      </c>
      <c r="B46" s="12">
        <f>IF(B45&lt;='1 - Titoli e shock'!$P$21,'1 - Titoli e shock'!$K$21,IF(B45&gt;='1 - Titoli e shock'!$P$35,'1 - Titoli e shock'!$K$35,INDEX('1 - Titoli e shock'!$K$21:$K$35,MATCH(B45,'1 - Titoli e shock'!$P$21:$P$35,1))+(INDEX('1 - Titoli e shock'!$K$21:$K$35,MATCH(B45,'1 - Titoli e shock'!$P$21:$P$35,1)+1)-INDEX('1 - Titoli e shock'!$K$21:$K$35,MATCH(B45,'1 - Titoli e shock'!$P$21:$P$35,1)))*(B45-INDEX('1 - Titoli e shock'!$P$21:$P$35,MATCH(B45,'1 - Titoli e shock'!$P$21:$P$35,1)))/(INDEX('1 - Titoli e shock'!$P$21:$P$35,MATCH(B45,'1 - Titoli e shock'!$P$21:$P$35,1)+1)-INDEX('1 - Titoli e shock'!$P$21:$P$35,MATCH(B45,'1 - Titoli e shock'!$P$21:$P$35,1)))))</f>
        <v>4.3018356890293583E-2</v>
      </c>
    </row>
    <row r="47" spans="1:5">
      <c r="A47" s="5" t="s">
        <v>168</v>
      </c>
      <c r="B47" s="17">
        <f>'1 - Titoli e shock'!C31*100/2*COUPDAYBS($B$31,'1 - Titoli e shock'!D31,2,1)/COUPDAYS($B$31,'1 - Titoli e shock'!D31,2,1)</f>
        <v>0.19532967032967036</v>
      </c>
    </row>
    <row r="48" spans="1:5">
      <c r="A48" s="5" t="s">
        <v>169</v>
      </c>
      <c r="B48" s="19">
        <f>PRICE($B$31,'1 - Titoli e shock'!$D$31,'1 - Titoli e shock'!$C$31,2*((1+$B$46+B$32/100)^0.5-1),100,2,1)</f>
        <v>104.68971492063743</v>
      </c>
      <c r="C48" s="19">
        <f>PRICE($B$31,'1 - Titoli e shock'!$D$31,'1 - Titoli e shock'!$C$31,2*((1+$B$46+C$32/100)^0.5-1),100,2,1)</f>
        <v>97.948804772058153</v>
      </c>
      <c r="D48" s="19">
        <f>PRICE($B$31,'1 - Titoli e shock'!$D$31,'1 - Titoli e shock'!$C$31,2*((1+$B$46+D$32/100)^0.5-1),100,2,1)</f>
        <v>91.737624830918406</v>
      </c>
      <c r="E48" s="19">
        <f>PRICE($B$31,'1 - Titoli e shock'!$D$31,'1 - Titoli e shock'!$C$31,2*((1+$B$46+E$32/100)^0.5-1),100,2,1)</f>
        <v>86.009284311765043</v>
      </c>
    </row>
    <row r="49" spans="1:6">
      <c r="A49" s="5" t="s">
        <v>170</v>
      </c>
      <c r="B49" s="17">
        <f>'1 - Titoli e shock'!$B$8*(MAX(0,B48-'1 - Titoli e shock'!$E$31)+$B$47)</f>
        <v>1.6668805738708876</v>
      </c>
      <c r="C49" s="17">
        <f>'1 - Titoli e shock'!$B$8*(MAX(0,C48-'1 - Titoli e shock'!$E$31)+$B$47)</f>
        <v>0.82426680529847829</v>
      </c>
      <c r="D49" s="17">
        <f>'1 - Titoli e shock'!$B$8*(MAX(0,D48-'1 - Titoli e shock'!$E$31)+$B$47)</f>
        <v>4.7869312656009945E-2</v>
      </c>
      <c r="E49" s="17">
        <f>'1 - Titoli e shock'!$B$8*(MAX(0,E48-'1 - Titoli e shock'!$E$31)+$B$47)</f>
        <v>2.4416208791208795E-2</v>
      </c>
    </row>
    <row r="50" spans="1:6">
      <c r="A50" s="5" t="s">
        <v>171</v>
      </c>
      <c r="B50" s="17">
        <f>B48+$B$47-B49</f>
        <v>103.21816401709621</v>
      </c>
      <c r="C50" s="17">
        <f>C48+$B$47-C49</f>
        <v>97.319867637089345</v>
      </c>
      <c r="D50" s="17">
        <f>D48+$B$47-D49</f>
        <v>91.885085188592072</v>
      </c>
      <c r="E50" s="17">
        <f>E48+$B$47-E49</f>
        <v>86.180197773303505</v>
      </c>
    </row>
    <row r="51" spans="1:6">
      <c r="A51" s="5" t="s">
        <v>172</v>
      </c>
      <c r="B51" s="20">
        <f>B50*'1 - Titoli e shock'!$R$31/100</f>
        <v>225010.17629560459</v>
      </c>
      <c r="C51" s="20">
        <f>C50*'1 - Titoli e shock'!$R$31/100</f>
        <v>212152.19997964098</v>
      </c>
      <c r="D51" s="20">
        <f>D50*'1 - Titoli e shock'!$R$31/100</f>
        <v>200304.65968952226</v>
      </c>
      <c r="E51" s="20">
        <f>E50*'1 - Titoli e shock'!$R$31/100</f>
        <v>187868.30475834908</v>
      </c>
    </row>
    <row r="52" spans="1:6">
      <c r="A52" s="5" t="s">
        <v>173</v>
      </c>
      <c r="B52" s="20">
        <f>'1 - Titoli e shock'!R31/100*'1 - Titoli e shock'!C31*100/2*(2*$B$30-'1 - Titoli e shock'!$B$8*(2*$B$30-1+((COUPNCD('1 - Titoli e shock'!$B$6,'1 - Titoli e shock'!D31,2,1)-'1 - Titoli e shock'!$B$6)/(COUPNCD('1 - Titoli e shock'!$B$6,'1 - Titoli e shock'!D31,2,1)-COUPPCD('1 - Titoli e shock'!$B$6,'1 - Titoli e shock'!D31,2,1)))))</f>
        <v>52794.330339898122</v>
      </c>
    </row>
    <row r="54" spans="1:6">
      <c r="A54" s="36" t="s">
        <v>175</v>
      </c>
      <c r="B54" s="33"/>
      <c r="C54" s="33"/>
      <c r="D54" s="33"/>
      <c r="E54" s="33"/>
      <c r="F54" s="33"/>
    </row>
    <row r="55" spans="1:6">
      <c r="A55" s="5" t="s">
        <v>176</v>
      </c>
      <c r="B55" s="20">
        <f>$B$7/(B40/100)</f>
        <v>56093.073733057157</v>
      </c>
      <c r="C55" s="20">
        <f>$B$7/(C40/100)</f>
        <v>62844.692015566019</v>
      </c>
      <c r="D55" s="20">
        <f>$B$7/(D40/100)</f>
        <v>70815.77973868855</v>
      </c>
      <c r="E55" s="20">
        <f>$B$7/(E40/100)</f>
        <v>79611.057282029593</v>
      </c>
    </row>
    <row r="56" spans="1:6">
      <c r="A56" s="5" t="s">
        <v>177</v>
      </c>
      <c r="B56" s="20">
        <f>($B$10-B55)*'1 - Titoli e shock'!$C$33*(1-'1 - Titoli e shock'!$B$8)</f>
        <v>6235.2410577031324</v>
      </c>
      <c r="C56" s="20">
        <f>($B$10-C55)*'1 - Titoli e shock'!$C$33*(1-'1 - Titoli e shock'!$B$8)</f>
        <v>5969.3960878293465</v>
      </c>
      <c r="D56" s="20">
        <f>($B$10-D55)*'1 - Titoli e shock'!$C$33*(1-'1 - Titoli e shock'!$B$8)</f>
        <v>5655.5345087313972</v>
      </c>
      <c r="E56" s="20">
        <f>($B$10-E55)*'1 - Titoli e shock'!$C$33*(1-'1 - Titoli e shock'!$B$8)</f>
        <v>5309.2204554623431</v>
      </c>
    </row>
    <row r="57" spans="1:6">
      <c r="A57" s="5" t="s">
        <v>178</v>
      </c>
      <c r="B57" s="25">
        <f>B55/$B$10</f>
        <v>0.26156909150238766</v>
      </c>
      <c r="C57" s="25">
        <f>C55/$B$10</f>
        <v>0.29305274078021271</v>
      </c>
      <c r="D57" s="25">
        <f>D55/$B$10</f>
        <v>0.33022293016839477</v>
      </c>
      <c r="E57" s="25">
        <f>E55/$B$10</f>
        <v>0.37123642084411218</v>
      </c>
    </row>
    <row r="58" spans="1:6" ht="30">
      <c r="A58" s="5" t="s">
        <v>179</v>
      </c>
      <c r="B58" s="25">
        <f>INDEX('4 - Vita e successione'!$D$6:$D$33,MATCH($B$8+$B$30,'4 - Vita e successione'!$A$6:$A$33,0))</f>
        <v>0.81222793582676678</v>
      </c>
    </row>
    <row r="59" spans="1:6" ht="60" customHeight="1">
      <c r="A59" s="35" t="s">
        <v>180</v>
      </c>
      <c r="B59" s="33"/>
      <c r="C59" s="33"/>
      <c r="D59" s="33"/>
      <c r="E59" s="33"/>
      <c r="F59" s="33"/>
    </row>
  </sheetData>
  <mergeCells count="8">
    <mergeCell ref="A59:F59"/>
    <mergeCell ref="A2:F2"/>
    <mergeCell ref="A54:F54"/>
    <mergeCell ref="A14:F14"/>
    <mergeCell ref="A1:F1"/>
    <mergeCell ref="A23:F23"/>
    <mergeCell ref="A4:F4"/>
    <mergeCell ref="A29:F2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workbookViewId="0"/>
  </sheetViews>
  <sheetFormatPr defaultRowHeight="15"/>
  <cols>
    <col min="1" max="1" width="66" customWidth="1"/>
    <col min="2" max="5" width="25" customWidth="1"/>
  </cols>
  <sheetData>
    <row r="1" spans="1:6" ht="24.95" customHeight="1">
      <c r="A1" s="34" t="s">
        <v>181</v>
      </c>
      <c r="B1" s="33"/>
      <c r="C1" s="33"/>
      <c r="D1" s="33"/>
      <c r="E1" s="33"/>
      <c r="F1" s="33"/>
    </row>
    <row r="2" spans="1:6" ht="32.1" customHeight="1">
      <c r="A2" s="32" t="s">
        <v>1</v>
      </c>
      <c r="B2" s="33"/>
      <c r="C2" s="33"/>
      <c r="D2" s="33"/>
      <c r="E2" s="33"/>
      <c r="F2" s="33"/>
    </row>
    <row r="4" spans="1:6">
      <c r="A4" s="36" t="s">
        <v>182</v>
      </c>
      <c r="B4" s="33"/>
      <c r="C4" s="33"/>
      <c r="D4" s="33"/>
      <c r="E4" s="33"/>
      <c r="F4" s="33"/>
    </row>
    <row r="5" spans="1:6" ht="33.950000000000003" customHeight="1">
      <c r="A5" s="14" t="s">
        <v>150</v>
      </c>
      <c r="B5" s="14" t="s">
        <v>183</v>
      </c>
      <c r="C5" s="14" t="s">
        <v>184</v>
      </c>
      <c r="D5" s="14" t="s">
        <v>185</v>
      </c>
      <c r="E5" s="14" t="s">
        <v>186</v>
      </c>
    </row>
    <row r="6" spans="1:6">
      <c r="A6" s="26">
        <v>73</v>
      </c>
      <c r="B6" s="27">
        <v>81093</v>
      </c>
      <c r="C6" s="27">
        <v>88718</v>
      </c>
      <c r="D6" s="25">
        <f t="shared" ref="D6:D33" si="0">B6/B$6</f>
        <v>1</v>
      </c>
      <c r="E6" s="25">
        <f t="shared" ref="E6:E33" si="1">C6/C$6</f>
        <v>1</v>
      </c>
    </row>
    <row r="7" spans="1:6">
      <c r="A7" s="26">
        <v>74</v>
      </c>
      <c r="B7" s="27">
        <v>79402</v>
      </c>
      <c r="C7" s="27">
        <v>87651</v>
      </c>
      <c r="D7" s="25">
        <f t="shared" si="0"/>
        <v>0.97914739866572942</v>
      </c>
      <c r="E7" s="25">
        <f t="shared" si="1"/>
        <v>0.98797312833923212</v>
      </c>
    </row>
    <row r="8" spans="1:6">
      <c r="A8" s="26">
        <v>75</v>
      </c>
      <c r="B8" s="27">
        <v>77532</v>
      </c>
      <c r="C8" s="27">
        <v>86446</v>
      </c>
      <c r="D8" s="25">
        <f t="shared" si="0"/>
        <v>0.95608745514409377</v>
      </c>
      <c r="E8" s="25">
        <f t="shared" si="1"/>
        <v>0.97439076624811205</v>
      </c>
    </row>
    <row r="9" spans="1:6">
      <c r="A9" s="26">
        <v>76</v>
      </c>
      <c r="B9" s="27">
        <v>75512</v>
      </c>
      <c r="C9" s="27">
        <v>85107</v>
      </c>
      <c r="D9" s="25">
        <f t="shared" si="0"/>
        <v>0.93117778353248737</v>
      </c>
      <c r="E9" s="25">
        <f t="shared" si="1"/>
        <v>0.95929800040578006</v>
      </c>
    </row>
    <row r="10" spans="1:6">
      <c r="A10" s="26">
        <v>77</v>
      </c>
      <c r="B10" s="27">
        <v>73298</v>
      </c>
      <c r="C10" s="27">
        <v>83609</v>
      </c>
      <c r="D10" s="25">
        <f t="shared" si="0"/>
        <v>0.9038757969245188</v>
      </c>
      <c r="E10" s="25">
        <f t="shared" si="1"/>
        <v>0.94241303906760743</v>
      </c>
    </row>
    <row r="11" spans="1:6">
      <c r="A11" s="26">
        <v>78</v>
      </c>
      <c r="B11" s="27">
        <v>70994</v>
      </c>
      <c r="C11" s="27">
        <v>81960</v>
      </c>
      <c r="D11" s="25">
        <f t="shared" si="0"/>
        <v>0.87546397346256766</v>
      </c>
      <c r="E11" s="25">
        <f t="shared" si="1"/>
        <v>0.92382605559187536</v>
      </c>
    </row>
    <row r="12" spans="1:6">
      <c r="A12" s="26">
        <v>79</v>
      </c>
      <c r="B12" s="27">
        <v>68531</v>
      </c>
      <c r="C12" s="27">
        <v>80119</v>
      </c>
      <c r="D12" s="25">
        <f t="shared" si="0"/>
        <v>0.84509143822524757</v>
      </c>
      <c r="E12" s="25">
        <f t="shared" si="1"/>
        <v>0.90307491151739216</v>
      </c>
    </row>
    <row r="13" spans="1:6">
      <c r="A13" s="26">
        <v>80</v>
      </c>
      <c r="B13" s="27">
        <v>65866</v>
      </c>
      <c r="C13" s="27">
        <v>78052</v>
      </c>
      <c r="D13" s="25">
        <f t="shared" si="0"/>
        <v>0.81222793582676678</v>
      </c>
      <c r="E13" s="25">
        <f t="shared" si="1"/>
        <v>0.87977637007146237</v>
      </c>
    </row>
    <row r="14" spans="1:6">
      <c r="A14" s="26">
        <v>81</v>
      </c>
      <c r="B14" s="27">
        <v>62947</v>
      </c>
      <c r="C14" s="27">
        <v>75715</v>
      </c>
      <c r="D14" s="25">
        <f t="shared" si="0"/>
        <v>0.77623222719593554</v>
      </c>
      <c r="E14" s="25">
        <f t="shared" si="1"/>
        <v>0.85343447778353887</v>
      </c>
    </row>
    <row r="15" spans="1:6">
      <c r="A15" s="26">
        <v>82</v>
      </c>
      <c r="B15" s="27">
        <v>59800</v>
      </c>
      <c r="C15" s="27">
        <v>73148</v>
      </c>
      <c r="D15" s="25">
        <f t="shared" si="0"/>
        <v>0.73742493186834868</v>
      </c>
      <c r="E15" s="25">
        <f t="shared" si="1"/>
        <v>0.82450010144502806</v>
      </c>
    </row>
    <row r="16" spans="1:6">
      <c r="A16" s="26">
        <v>83</v>
      </c>
      <c r="B16" s="27">
        <v>56305</v>
      </c>
      <c r="C16" s="27">
        <v>70245</v>
      </c>
      <c r="D16" s="25">
        <f t="shared" si="0"/>
        <v>0.69432626737202963</v>
      </c>
      <c r="E16" s="25">
        <f t="shared" si="1"/>
        <v>0.7917784440587029</v>
      </c>
    </row>
    <row r="17" spans="1:5">
      <c r="A17" s="26">
        <v>84</v>
      </c>
      <c r="B17" s="27">
        <v>52600</v>
      </c>
      <c r="C17" s="27">
        <v>67053</v>
      </c>
      <c r="D17" s="25">
        <f t="shared" si="0"/>
        <v>0.64863798354975155</v>
      </c>
      <c r="E17" s="25">
        <f t="shared" si="1"/>
        <v>0.75579927410446579</v>
      </c>
    </row>
    <row r="18" spans="1:5">
      <c r="A18" s="26">
        <v>85</v>
      </c>
      <c r="B18" s="27">
        <v>48716</v>
      </c>
      <c r="C18" s="27">
        <v>63542</v>
      </c>
      <c r="D18" s="25">
        <f t="shared" si="0"/>
        <v>0.6007423575401083</v>
      </c>
      <c r="E18" s="25">
        <f t="shared" si="1"/>
        <v>0.71622444148876219</v>
      </c>
    </row>
    <row r="19" spans="1:5">
      <c r="A19" s="26">
        <v>86</v>
      </c>
      <c r="B19" s="27">
        <v>44669</v>
      </c>
      <c r="C19" s="27">
        <v>59750</v>
      </c>
      <c r="D19" s="25">
        <f t="shared" si="0"/>
        <v>0.55083669367269683</v>
      </c>
      <c r="E19" s="25">
        <f t="shared" si="1"/>
        <v>0.67348226966342795</v>
      </c>
    </row>
    <row r="20" spans="1:5">
      <c r="A20" s="26">
        <v>87</v>
      </c>
      <c r="B20" s="27">
        <v>40584</v>
      </c>
      <c r="C20" s="27">
        <v>55759</v>
      </c>
      <c r="D20" s="25">
        <f t="shared" si="0"/>
        <v>0.50046243202249274</v>
      </c>
      <c r="E20" s="25">
        <f t="shared" si="1"/>
        <v>0.62849703555084646</v>
      </c>
    </row>
    <row r="21" spans="1:5">
      <c r="A21" s="26">
        <v>88</v>
      </c>
      <c r="B21" s="27">
        <v>36395</v>
      </c>
      <c r="C21" s="27">
        <v>51478</v>
      </c>
      <c r="D21" s="25">
        <f t="shared" si="0"/>
        <v>0.44880569222990885</v>
      </c>
      <c r="E21" s="25">
        <f t="shared" si="1"/>
        <v>0.58024301720056815</v>
      </c>
    </row>
    <row r="22" spans="1:5">
      <c r="A22" s="26">
        <v>89</v>
      </c>
      <c r="B22" s="27">
        <v>32110</v>
      </c>
      <c r="C22" s="27">
        <v>46893</v>
      </c>
      <c r="D22" s="25">
        <f t="shared" si="0"/>
        <v>0.39596512645974374</v>
      </c>
      <c r="E22" s="25">
        <f t="shared" si="1"/>
        <v>0.52856241123560044</v>
      </c>
    </row>
    <row r="23" spans="1:5">
      <c r="A23" s="26">
        <v>90</v>
      </c>
      <c r="B23" s="27">
        <v>27799</v>
      </c>
      <c r="C23" s="27">
        <v>42028</v>
      </c>
      <c r="D23" s="25">
        <f t="shared" si="0"/>
        <v>0.34280394115398372</v>
      </c>
      <c r="E23" s="25">
        <f t="shared" si="1"/>
        <v>0.47372573773078747</v>
      </c>
    </row>
    <row r="24" spans="1:5">
      <c r="A24" s="26">
        <v>91</v>
      </c>
      <c r="B24" s="27">
        <v>23605</v>
      </c>
      <c r="C24" s="27">
        <v>36988</v>
      </c>
      <c r="D24" s="25">
        <f t="shared" si="0"/>
        <v>0.29108554375840084</v>
      </c>
      <c r="E24" s="25">
        <f t="shared" si="1"/>
        <v>0.4169165220135711</v>
      </c>
    </row>
    <row r="25" spans="1:5">
      <c r="A25" s="26">
        <v>92</v>
      </c>
      <c r="B25" s="27">
        <v>19616</v>
      </c>
      <c r="C25" s="27">
        <v>31927</v>
      </c>
      <c r="D25" s="25">
        <f t="shared" si="0"/>
        <v>0.24189510808577805</v>
      </c>
      <c r="E25" s="25">
        <f t="shared" si="1"/>
        <v>0.35987060123086634</v>
      </c>
    </row>
    <row r="26" spans="1:5">
      <c r="A26" s="26">
        <v>93</v>
      </c>
      <c r="B26" s="27">
        <v>15914</v>
      </c>
      <c r="C26" s="27">
        <v>26933</v>
      </c>
      <c r="D26" s="25">
        <f t="shared" si="0"/>
        <v>0.19624381882529934</v>
      </c>
      <c r="E26" s="25">
        <f t="shared" si="1"/>
        <v>0.30357988232376742</v>
      </c>
    </row>
    <row r="27" spans="1:5">
      <c r="A27" s="26">
        <v>94</v>
      </c>
      <c r="B27" s="27">
        <v>12578</v>
      </c>
      <c r="C27" s="27">
        <v>22201</v>
      </c>
      <c r="D27" s="25">
        <f t="shared" si="0"/>
        <v>0.15510586610434932</v>
      </c>
      <c r="E27" s="25">
        <f t="shared" si="1"/>
        <v>0.250242340900381</v>
      </c>
    </row>
    <row r="28" spans="1:5">
      <c r="A28" s="26">
        <v>95</v>
      </c>
      <c r="B28" s="27">
        <v>9681</v>
      </c>
      <c r="C28" s="27">
        <v>17888</v>
      </c>
      <c r="D28" s="25">
        <f t="shared" si="0"/>
        <v>0.11938145092671378</v>
      </c>
      <c r="E28" s="25">
        <f t="shared" si="1"/>
        <v>0.2016276291169774</v>
      </c>
    </row>
    <row r="29" spans="1:5">
      <c r="A29" s="26">
        <v>96</v>
      </c>
      <c r="B29" s="27">
        <v>7256</v>
      </c>
      <c r="C29" s="27">
        <v>14059</v>
      </c>
      <c r="D29" s="25">
        <f t="shared" si="0"/>
        <v>8.9477513472186257E-2</v>
      </c>
      <c r="E29" s="25">
        <f t="shared" si="1"/>
        <v>0.15846840550959218</v>
      </c>
    </row>
    <row r="30" spans="1:5">
      <c r="A30" s="26">
        <v>97</v>
      </c>
      <c r="B30" s="27">
        <v>5294</v>
      </c>
      <c r="C30" s="27">
        <v>10772</v>
      </c>
      <c r="D30" s="25">
        <f t="shared" si="0"/>
        <v>6.5283070055368528E-2</v>
      </c>
      <c r="E30" s="25">
        <f t="shared" si="1"/>
        <v>0.12141842692576478</v>
      </c>
    </row>
    <row r="31" spans="1:5">
      <c r="A31" s="26">
        <v>98</v>
      </c>
      <c r="B31" s="27">
        <v>3772</v>
      </c>
      <c r="C31" s="27">
        <v>8034</v>
      </c>
      <c r="D31" s="25">
        <f t="shared" si="0"/>
        <v>4.6514495702465068E-2</v>
      </c>
      <c r="E31" s="25">
        <f t="shared" si="1"/>
        <v>9.0556595053991301E-2</v>
      </c>
    </row>
    <row r="32" spans="1:5">
      <c r="A32" s="26">
        <v>99</v>
      </c>
      <c r="B32" s="27">
        <v>2622</v>
      </c>
      <c r="C32" s="27">
        <v>5813</v>
      </c>
      <c r="D32" s="25">
        <f t="shared" si="0"/>
        <v>3.2333247012689137E-2</v>
      </c>
      <c r="E32" s="25">
        <f t="shared" si="1"/>
        <v>6.552221646114656E-2</v>
      </c>
    </row>
    <row r="33" spans="1:6">
      <c r="A33" s="26">
        <v>100</v>
      </c>
      <c r="B33" s="27">
        <v>1768</v>
      </c>
      <c r="C33" s="27">
        <v>4057</v>
      </c>
      <c r="D33" s="25">
        <f t="shared" si="0"/>
        <v>2.1802128420455525E-2</v>
      </c>
      <c r="E33" s="25">
        <f t="shared" si="1"/>
        <v>4.5729164318402127E-2</v>
      </c>
    </row>
    <row r="35" spans="1:6">
      <c r="A35" s="5" t="s">
        <v>187</v>
      </c>
      <c r="B35" s="28">
        <v>13.791</v>
      </c>
      <c r="C35" s="28">
        <v>15.986000000000001</v>
      </c>
    </row>
    <row r="36" spans="1:6" ht="45" customHeight="1">
      <c r="A36" s="35" t="s">
        <v>188</v>
      </c>
      <c r="B36" s="33"/>
      <c r="C36" s="33"/>
      <c r="D36" s="33"/>
      <c r="E36" s="33"/>
      <c r="F36" s="33"/>
    </row>
    <row r="38" spans="1:6">
      <c r="A38" s="36" t="s">
        <v>189</v>
      </c>
      <c r="B38" s="33"/>
      <c r="C38" s="33"/>
      <c r="D38" s="33"/>
      <c r="E38" s="33"/>
      <c r="F38" s="33"/>
    </row>
    <row r="39" spans="1:6">
      <c r="A39" s="5" t="s">
        <v>150</v>
      </c>
      <c r="B39" s="11">
        <v>80</v>
      </c>
      <c r="C39" s="11">
        <v>90</v>
      </c>
      <c r="D39" s="11">
        <v>99</v>
      </c>
      <c r="E39" s="11">
        <v>100</v>
      </c>
    </row>
    <row r="40" spans="1:6">
      <c r="A40" s="5" t="s">
        <v>190</v>
      </c>
      <c r="B40" s="25">
        <f>INDEX($D$6:$D$33,MATCH(B39,$A$6:$A$33,0))</f>
        <v>0.81222793582676678</v>
      </c>
      <c r="C40" s="25">
        <f>INDEX($D$6:$D$33,MATCH(C39,$A$6:$A$33,0))</f>
        <v>0.34280394115398372</v>
      </c>
      <c r="D40" s="25">
        <f>INDEX($D$6:$D$33,MATCH(D39,$A$6:$A$33,0))</f>
        <v>3.2333247012689137E-2</v>
      </c>
      <c r="E40" s="25">
        <f>INDEX($D$6:$D$33,MATCH(E39,$A$6:$A$33,0))</f>
        <v>2.1802128420455525E-2</v>
      </c>
    </row>
    <row r="42" spans="1:6">
      <c r="A42" s="36" t="s">
        <v>191</v>
      </c>
      <c r="B42" s="33"/>
      <c r="C42" s="33"/>
      <c r="D42" s="33"/>
      <c r="E42" s="33"/>
      <c r="F42" s="33"/>
    </row>
    <row r="43" spans="1:6">
      <c r="A43" s="5" t="s">
        <v>192</v>
      </c>
      <c r="B43" s="19">
        <f>'3 - Inflazione e vendita'!B8+('1 - Titoli e shock'!D33-'1 - Titoli e shock'!$B$6)/365.25</f>
        <v>99.951403148528414</v>
      </c>
      <c r="C43" s="29" t="str">
        <f>INT(B43)&amp;" anni e "&amp;ROUND(MOD(B43,1)*12,0)&amp;" mesi"</f>
        <v>99 anni e 11 mesi</v>
      </c>
    </row>
    <row r="44" spans="1:6">
      <c r="A44" s="5" t="s">
        <v>193</v>
      </c>
      <c r="B44" s="25">
        <f>IF(B43&gt;=100,$D$33,(INDEX($B$6:$B$33,MATCH(INT(B43),$A$6:$A$33,0))+(B43-INT(B43))*(INDEX($B$6:$B$33,MATCH(INT(B43),$A$6:$A$33,0)+1)-INDEX($B$6:$B$33,MATCH(INT(B43),$A$6:$A$33,0))))/$B$6)</f>
        <v>2.2313907626511968E-2</v>
      </c>
    </row>
    <row r="45" spans="1:6">
      <c r="A45" s="5" t="s">
        <v>194</v>
      </c>
      <c r="B45" s="25">
        <f>1-B44</f>
        <v>0.97768609237348802</v>
      </c>
    </row>
    <row r="47" spans="1:6">
      <c r="A47" s="36" t="s">
        <v>195</v>
      </c>
      <c r="B47" s="33"/>
      <c r="C47" s="33"/>
      <c r="D47" s="33"/>
      <c r="E47" s="33"/>
      <c r="F47" s="33"/>
    </row>
    <row r="48" spans="1:6" ht="33.950000000000003" customHeight="1">
      <c r="A48" s="14" t="s">
        <v>196</v>
      </c>
      <c r="B48" s="14" t="s">
        <v>197</v>
      </c>
      <c r="C48" s="14" t="s">
        <v>198</v>
      </c>
    </row>
    <row r="49" spans="1:6">
      <c r="A49" s="15" t="s">
        <v>199</v>
      </c>
      <c r="B49" s="30">
        <v>1000000</v>
      </c>
      <c r="C49" s="31">
        <v>0.04</v>
      </c>
    </row>
    <row r="50" spans="1:6">
      <c r="A50" s="15" t="s">
        <v>200</v>
      </c>
      <c r="B50" s="30">
        <v>100000</v>
      </c>
      <c r="C50" s="31">
        <v>0.06</v>
      </c>
    </row>
    <row r="51" spans="1:6">
      <c r="A51" s="15" t="s">
        <v>201</v>
      </c>
      <c r="B51" s="30">
        <v>0</v>
      </c>
      <c r="C51" s="31">
        <v>0.06</v>
      </c>
    </row>
    <row r="52" spans="1:6">
      <c r="A52" s="15" t="s">
        <v>202</v>
      </c>
      <c r="B52" s="30">
        <v>0</v>
      </c>
      <c r="C52" s="31">
        <v>0.08</v>
      </c>
    </row>
    <row r="54" spans="1:6">
      <c r="A54" s="5" t="s">
        <v>203</v>
      </c>
      <c r="B54" s="11">
        <v>1</v>
      </c>
    </row>
    <row r="55" spans="1:6">
      <c r="A55" s="5" t="s">
        <v>204</v>
      </c>
      <c r="B55" s="7">
        <v>0</v>
      </c>
    </row>
    <row r="56" spans="1:6">
      <c r="A56" s="5" t="s">
        <v>205</v>
      </c>
      <c r="B56" s="20">
        <f>'1 - Titoli e shock'!$B$7</f>
        <v>200000</v>
      </c>
    </row>
    <row r="57" spans="1:6">
      <c r="A57" s="5" t="s">
        <v>206</v>
      </c>
      <c r="B57" s="20">
        <f>MAX(0,B55-INDEX($B$49:$B$52,B54))*INDEX($C$49:$C$52,B54)</f>
        <v>0</v>
      </c>
    </row>
    <row r="58" spans="1:6">
      <c r="A58" s="5" t="s">
        <v>207</v>
      </c>
      <c r="B58" s="20">
        <f>MAX(0,B55+B56-INDEX($B$49:$B$52,B54))*INDEX($C$49:$C$52,B54)</f>
        <v>0</v>
      </c>
    </row>
    <row r="59" spans="1:6">
      <c r="A59" s="5" t="s">
        <v>208</v>
      </c>
      <c r="B59" s="20">
        <f>B58-B57</f>
        <v>0</v>
      </c>
    </row>
    <row r="60" spans="1:6" ht="75" customHeight="1">
      <c r="A60" s="35" t="s">
        <v>209</v>
      </c>
      <c r="B60" s="33"/>
      <c r="C60" s="33"/>
      <c r="D60" s="33"/>
      <c r="E60" s="33"/>
      <c r="F60" s="33"/>
    </row>
  </sheetData>
  <mergeCells count="8">
    <mergeCell ref="A1:F1"/>
    <mergeCell ref="A4:F4"/>
    <mergeCell ref="A38:F38"/>
    <mergeCell ref="A2:F2"/>
    <mergeCell ref="A47:F47"/>
    <mergeCell ref="A42:F42"/>
    <mergeCell ref="A60:F60"/>
    <mergeCell ref="A36:F3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66"/>
  <sheetViews>
    <sheetView workbookViewId="0"/>
  </sheetViews>
  <sheetFormatPr defaultRowHeight="15"/>
  <cols>
    <col min="1" max="1" width="58" customWidth="1"/>
    <col min="2" max="2" width="17" customWidth="1"/>
    <col min="3" max="9" width="25" customWidth="1"/>
    <col min="10" max="21" width="17" customWidth="1"/>
  </cols>
  <sheetData>
    <row r="1" spans="1:21" ht="24.95" customHeight="1">
      <c r="A1" s="34" t="s">
        <v>210</v>
      </c>
      <c r="B1" s="33"/>
      <c r="C1" s="33"/>
      <c r="D1" s="33"/>
      <c r="E1" s="33"/>
      <c r="F1" s="33"/>
      <c r="G1" s="33"/>
      <c r="H1" s="33"/>
      <c r="I1" s="33"/>
      <c r="J1" s="33"/>
    </row>
    <row r="2" spans="1:21" ht="32.1" customHeight="1">
      <c r="A2" s="32" t="s">
        <v>1</v>
      </c>
      <c r="B2" s="33"/>
      <c r="C2" s="33"/>
      <c r="D2" s="33"/>
      <c r="E2" s="33"/>
      <c r="F2" s="33"/>
      <c r="G2" s="33"/>
      <c r="H2" s="33"/>
      <c r="I2" s="33"/>
      <c r="J2" s="33"/>
    </row>
    <row r="3" spans="1:21" ht="30" customHeight="1">
      <c r="A3" s="35" t="s">
        <v>211</v>
      </c>
      <c r="B3" s="33"/>
      <c r="C3" s="33"/>
      <c r="D3" s="33"/>
      <c r="E3" s="33"/>
      <c r="F3" s="33"/>
      <c r="G3" s="33"/>
      <c r="H3" s="33"/>
      <c r="I3" s="33"/>
      <c r="J3" s="33"/>
    </row>
    <row r="4" spans="1:21">
      <c r="A4" s="36" t="s">
        <v>212</v>
      </c>
      <c r="B4" s="33"/>
      <c r="C4" s="33"/>
      <c r="D4" s="33"/>
      <c r="E4" s="33"/>
      <c r="F4" s="33"/>
      <c r="G4" s="33"/>
      <c r="H4" s="33"/>
      <c r="I4" s="33"/>
      <c r="J4" s="33"/>
    </row>
    <row r="5" spans="1:21">
      <c r="A5" s="5" t="s">
        <v>213</v>
      </c>
      <c r="F5" s="10">
        <v>-1</v>
      </c>
      <c r="G5" s="10">
        <v>0</v>
      </c>
      <c r="H5" s="10">
        <v>1</v>
      </c>
      <c r="I5" s="10">
        <v>2</v>
      </c>
      <c r="J5" s="10">
        <v>0.25</v>
      </c>
      <c r="K5" s="10">
        <v>0.5</v>
      </c>
      <c r="L5" s="10">
        <v>0.6</v>
      </c>
      <c r="M5" s="10">
        <v>0.7</v>
      </c>
      <c r="N5" s="10">
        <v>0.8</v>
      </c>
      <c r="O5" s="10">
        <v>0.9</v>
      </c>
      <c r="P5" s="10">
        <v>1.1000000000000001</v>
      </c>
      <c r="Q5" s="10">
        <v>1.2</v>
      </c>
      <c r="R5" s="10">
        <v>1.3</v>
      </c>
      <c r="S5" s="10">
        <v>1.4</v>
      </c>
      <c r="T5" s="10">
        <v>1.5</v>
      </c>
      <c r="U5" s="10">
        <v>3</v>
      </c>
    </row>
    <row r="6" spans="1:21">
      <c r="A6" s="5" t="s">
        <v>214</v>
      </c>
      <c r="F6" s="18">
        <f>2*((1+'1 - Titoli e shock'!$B$13+F5/100)^0.5-1)</f>
        <v>3.458058132827535E-2</v>
      </c>
      <c r="G6" s="18">
        <f>2*((1+'1 - Titoli e shock'!$B$13+G5/100)^0.5-1)</f>
        <v>4.4386984383852912E-2</v>
      </c>
      <c r="H6" s="18">
        <f>2*((1+'1 - Titoli e shock'!$B$13+H5/100)^0.5-1)</f>
        <v>5.4146572647167268E-2</v>
      </c>
      <c r="I6" s="18">
        <f>2*((1+'1 - Titoli e shock'!$B$13+I5/100)^0.5-1)</f>
        <v>6.3860010252173804E-2</v>
      </c>
      <c r="J6" s="18">
        <f>2*((1+'1 - Titoli e shock'!$B$13+J5/100)^0.5-1)</f>
        <v>4.6831244122998772E-2</v>
      </c>
      <c r="K6" s="18">
        <f>2*((1+'1 - Titoli e shock'!$B$13+K5/100)^0.5-1)</f>
        <v>4.9272588485510305E-2</v>
      </c>
      <c r="L6" s="18">
        <f>2*((1+'1 - Titoli e shock'!$B$13+L5/100)^0.5-1)</f>
        <v>5.0248312258323491E-2</v>
      </c>
      <c r="M6" s="18">
        <f>2*((1+'1 - Titoli e shock'!$B$13+M5/100)^0.5-1)</f>
        <v>5.1223571899977838E-2</v>
      </c>
      <c r="N6" s="18">
        <f>2*((1+'1 - Titoli e shock'!$B$13+N5/100)^0.5-1)</f>
        <v>5.2198368072176482E-2</v>
      </c>
      <c r="O6" s="18">
        <f>2*((1+'1 - Titoli e shock'!$B$13+O5/100)^0.5-1)</f>
        <v>5.3172701435050485E-2</v>
      </c>
      <c r="P6" s="18">
        <f>2*((1+'1 - Titoli e shock'!$B$13+P5/100)^0.5-1)</f>
        <v>5.5119982365531506E-2</v>
      </c>
      <c r="Q6" s="18">
        <f>2*((1+'1 - Titoli e shock'!$B$13+Q5/100)^0.5-1)</f>
        <v>5.6092931245595334E-2</v>
      </c>
      <c r="R6" s="18">
        <f>2*((1+'1 - Titoli e shock'!$B$13+R5/100)^0.5-1)</f>
        <v>5.7065419941257911E-2</v>
      </c>
      <c r="S6" s="18">
        <f>2*((1+'1 - Titoli e shock'!$B$13+S5/100)^0.5-1)</f>
        <v>5.8037449104875627E-2</v>
      </c>
      <c r="T6" s="18">
        <f>2*((1+'1 - Titoli e shock'!$B$13+T5/100)^0.5-1)</f>
        <v>5.9009019387264328E-2</v>
      </c>
      <c r="U6" s="18">
        <f>2*((1+'1 - Titoli e shock'!$B$13+U5/100)^0.5-1)</f>
        <v>7.3527945776980186E-2</v>
      </c>
    </row>
    <row r="8" spans="1:21">
      <c r="A8" s="36" t="s">
        <v>215</v>
      </c>
      <c r="B8" s="33"/>
      <c r="C8" s="33"/>
      <c r="D8" s="33"/>
      <c r="E8" s="33"/>
      <c r="F8" s="33"/>
      <c r="G8" s="33"/>
      <c r="H8" s="33"/>
      <c r="I8" s="33"/>
      <c r="J8" s="33"/>
    </row>
    <row r="9" spans="1:21">
      <c r="A9" s="5" t="s">
        <v>216</v>
      </c>
      <c r="F9" s="20">
        <f t="shared" ref="F9:U9" si="0">SUMIFS(F$170:F$512,$A$170:$A$512,"cedola*",$D$170:$D$512,1)</f>
        <v>6138.1112964470803</v>
      </c>
      <c r="G9" s="20">
        <f t="shared" si="0"/>
        <v>6138.1112964470803</v>
      </c>
      <c r="H9" s="20">
        <f t="shared" si="0"/>
        <v>6138.1112964470803</v>
      </c>
      <c r="I9" s="20">
        <f t="shared" si="0"/>
        <v>6138.1112964470803</v>
      </c>
      <c r="J9" s="20">
        <f t="shared" si="0"/>
        <v>6138.1112964470803</v>
      </c>
      <c r="K9" s="20">
        <f t="shared" si="0"/>
        <v>6138.1112964470803</v>
      </c>
      <c r="L9" s="20">
        <f t="shared" si="0"/>
        <v>6138.1112964470803</v>
      </c>
      <c r="M9" s="20">
        <f t="shared" si="0"/>
        <v>6138.1112964470803</v>
      </c>
      <c r="N9" s="20">
        <f t="shared" si="0"/>
        <v>6138.1112964470803</v>
      </c>
      <c r="O9" s="20">
        <f t="shared" si="0"/>
        <v>6138.1112964470803</v>
      </c>
      <c r="P9" s="20">
        <f t="shared" si="0"/>
        <v>6138.1112964470803</v>
      </c>
      <c r="Q9" s="20">
        <f t="shared" si="0"/>
        <v>6138.1112964470803</v>
      </c>
      <c r="R9" s="20">
        <f t="shared" si="0"/>
        <v>6138.1112964470803</v>
      </c>
      <c r="S9" s="20">
        <f t="shared" si="0"/>
        <v>6138.1112964470803</v>
      </c>
      <c r="T9" s="20">
        <f t="shared" si="0"/>
        <v>6138.1112964470803</v>
      </c>
      <c r="U9" s="20">
        <f t="shared" si="0"/>
        <v>6138.1112964470803</v>
      </c>
    </row>
    <row r="10" spans="1:21">
      <c r="A10" s="5" t="s">
        <v>217</v>
      </c>
      <c r="F10" s="20">
        <f t="shared" ref="F10:U10" si="1">SUMIFS(F$170:F$512,$A$170:$A$512,"cedola*")</f>
        <v>62981.168159416993</v>
      </c>
      <c r="G10" s="20">
        <f t="shared" si="1"/>
        <v>70358.805822921786</v>
      </c>
      <c r="H10" s="20">
        <f t="shared" si="1"/>
        <v>77701.223378436523</v>
      </c>
      <c r="I10" s="20">
        <f t="shared" si="1"/>
        <v>85008.920472942511</v>
      </c>
      <c r="J10" s="20">
        <f t="shared" si="1"/>
        <v>72197.692375790313</v>
      </c>
      <c r="K10" s="20">
        <f t="shared" si="1"/>
        <v>74034.385607383185</v>
      </c>
      <c r="L10" s="20">
        <f t="shared" si="1"/>
        <v>74768.450525446053</v>
      </c>
      <c r="M10" s="20">
        <f t="shared" si="1"/>
        <v>75502.166264355255</v>
      </c>
      <c r="N10" s="20">
        <f t="shared" si="1"/>
        <v>76235.533321929135</v>
      </c>
      <c r="O10" s="20">
        <f t="shared" si="1"/>
        <v>76968.552194803124</v>
      </c>
      <c r="P10" s="20">
        <f t="shared" si="1"/>
        <v>78433.547367112536</v>
      </c>
      <c r="Q10" s="20">
        <f t="shared" si="1"/>
        <v>79165.524653946763</v>
      </c>
      <c r="R10" s="20">
        <f t="shared" si="1"/>
        <v>79897.155730886152</v>
      </c>
      <c r="S10" s="20">
        <f t="shared" si="1"/>
        <v>80628.441088716703</v>
      </c>
      <c r="T10" s="20">
        <f t="shared" si="1"/>
        <v>81359.38121706649</v>
      </c>
      <c r="U10" s="20">
        <f t="shared" si="1"/>
        <v>92282.385050311583</v>
      </c>
    </row>
    <row r="11" spans="1:21">
      <c r="A11" s="5" t="s">
        <v>218</v>
      </c>
      <c r="F11" s="20">
        <f>F10/'1 - Titoli e shock'!$B$11</f>
        <v>6298.1168159416993</v>
      </c>
      <c r="G11" s="20">
        <f>G10/'1 - Titoli e shock'!$B$11</f>
        <v>7035.8805822921786</v>
      </c>
      <c r="H11" s="20">
        <f>H10/'1 - Titoli e shock'!$B$11</f>
        <v>7770.1223378436525</v>
      </c>
      <c r="I11" s="20">
        <f>I10/'1 - Titoli e shock'!$B$11</f>
        <v>8500.8920472942518</v>
      </c>
      <c r="J11" s="20">
        <f>J10/'1 - Titoli e shock'!$B$11</f>
        <v>7219.7692375790311</v>
      </c>
      <c r="K11" s="20">
        <f>K10/'1 - Titoli e shock'!$B$11</f>
        <v>7403.4385607383183</v>
      </c>
      <c r="L11" s="20">
        <f>L10/'1 - Titoli e shock'!$B$11</f>
        <v>7476.8450525446051</v>
      </c>
      <c r="M11" s="20">
        <f>M10/'1 - Titoli e shock'!$B$11</f>
        <v>7550.2166264355255</v>
      </c>
      <c r="N11" s="20">
        <f>N10/'1 - Titoli e shock'!$B$11</f>
        <v>7623.5533321929133</v>
      </c>
      <c r="O11" s="20">
        <f>O10/'1 - Titoli e shock'!$B$11</f>
        <v>7696.8552194803124</v>
      </c>
      <c r="P11" s="20">
        <f>P10/'1 - Titoli e shock'!$B$11</f>
        <v>7843.3547367112533</v>
      </c>
      <c r="Q11" s="20">
        <f>Q10/'1 - Titoli e shock'!$B$11</f>
        <v>7916.5524653946759</v>
      </c>
      <c r="R11" s="20">
        <f>R10/'1 - Titoli e shock'!$B$11</f>
        <v>7989.7155730886152</v>
      </c>
      <c r="S11" s="20">
        <f>S10/'1 - Titoli e shock'!$B$11</f>
        <v>8062.84410887167</v>
      </c>
      <c r="T11" s="20">
        <f>T10/'1 - Titoli e shock'!$B$11</f>
        <v>8135.9381217066493</v>
      </c>
      <c r="U11" s="20">
        <f>U10/'1 - Titoli e shock'!$B$11</f>
        <v>9228.2385050311586</v>
      </c>
    </row>
    <row r="12" spans="1:21">
      <c r="A12" s="5" t="s">
        <v>219</v>
      </c>
      <c r="F12" s="20">
        <f t="shared" ref="F12:U12" si="2">SUMIFS(F$170:F$512,$A$170:$A$512,"rimborso reinv.")</f>
        <v>0</v>
      </c>
      <c r="G12" s="20">
        <f t="shared" si="2"/>
        <v>0</v>
      </c>
      <c r="H12" s="20">
        <f t="shared" si="2"/>
        <v>0</v>
      </c>
      <c r="I12" s="20">
        <f t="shared" si="2"/>
        <v>0</v>
      </c>
      <c r="J12" s="20">
        <f t="shared" si="2"/>
        <v>0</v>
      </c>
      <c r="K12" s="20">
        <f t="shared" si="2"/>
        <v>0</v>
      </c>
      <c r="L12" s="20">
        <f t="shared" si="2"/>
        <v>0</v>
      </c>
      <c r="M12" s="20">
        <f t="shared" si="2"/>
        <v>0</v>
      </c>
      <c r="N12" s="20">
        <f t="shared" si="2"/>
        <v>0</v>
      </c>
      <c r="O12" s="20">
        <f t="shared" si="2"/>
        <v>0</v>
      </c>
      <c r="P12" s="20">
        <f t="shared" si="2"/>
        <v>0</v>
      </c>
      <c r="Q12" s="20">
        <f t="shared" si="2"/>
        <v>0</v>
      </c>
      <c r="R12" s="20">
        <f t="shared" si="2"/>
        <v>0</v>
      </c>
      <c r="S12" s="20">
        <f t="shared" si="2"/>
        <v>0</v>
      </c>
      <c r="T12" s="20">
        <f t="shared" si="2"/>
        <v>0</v>
      </c>
      <c r="U12" s="20">
        <f t="shared" si="2"/>
        <v>0</v>
      </c>
    </row>
    <row r="13" spans="1:21">
      <c r="A13" s="5" t="s">
        <v>220</v>
      </c>
      <c r="F13" s="20">
        <f t="shared" ref="F13:U13" si="3">F69</f>
        <v>204449.86570099342</v>
      </c>
      <c r="G13" s="20">
        <f t="shared" si="3"/>
        <v>204816.53192006442</v>
      </c>
      <c r="H13" s="20">
        <f t="shared" si="3"/>
        <v>205181.44771109585</v>
      </c>
      <c r="I13" s="20">
        <f t="shared" si="3"/>
        <v>205544.63790638198</v>
      </c>
      <c r="J13" s="20">
        <f t="shared" si="3"/>
        <v>204907.92399031692</v>
      </c>
      <c r="K13" s="20">
        <f t="shared" si="3"/>
        <v>204999.2070532075</v>
      </c>
      <c r="L13" s="20">
        <f t="shared" si="3"/>
        <v>205035.68984354433</v>
      </c>
      <c r="M13" s="20">
        <f t="shared" si="3"/>
        <v>205072.1552797895</v>
      </c>
      <c r="N13" s="20">
        <f t="shared" si="3"/>
        <v>205108.6033866845</v>
      </c>
      <c r="O13" s="20">
        <f t="shared" si="3"/>
        <v>205145.0341889119</v>
      </c>
      <c r="P13" s="20">
        <f t="shared" si="3"/>
        <v>205217.84397780208</v>
      </c>
      <c r="Q13" s="20">
        <f t="shared" si="3"/>
        <v>205254.22301353823</v>
      </c>
      <c r="R13" s="20">
        <f t="shared" si="3"/>
        <v>205290.584842754</v>
      </c>
      <c r="S13" s="20">
        <f t="shared" si="3"/>
        <v>205326.92948984131</v>
      </c>
      <c r="T13" s="20">
        <f t="shared" si="3"/>
        <v>205363.25697913437</v>
      </c>
      <c r="U13" s="20">
        <f t="shared" si="3"/>
        <v>205906.12675657633</v>
      </c>
    </row>
    <row r="14" spans="1:21">
      <c r="A14" s="5" t="s">
        <v>221</v>
      </c>
      <c r="F14" s="12">
        <f t="shared" ref="F14:U14" si="4">XIRR(F$170:F$496,$C$170:$C$496)</f>
        <v>3.3820080051158066E-2</v>
      </c>
      <c r="G14" s="12">
        <f t="shared" si="4"/>
        <v>3.7477510951317211E-2</v>
      </c>
      <c r="H14" s="12">
        <f t="shared" si="4"/>
        <v>4.1074721546876282E-2</v>
      </c>
      <c r="I14" s="12">
        <f t="shared" si="4"/>
        <v>4.4613502961454665E-2</v>
      </c>
      <c r="J14" s="12">
        <f t="shared" si="4"/>
        <v>3.8382388101915937E-2</v>
      </c>
      <c r="K14" s="12">
        <f t="shared" si="4"/>
        <v>3.9283530218507737E-2</v>
      </c>
      <c r="L14" s="12">
        <f t="shared" si="4"/>
        <v>3.9642947562920604E-2</v>
      </c>
      <c r="M14" s="12">
        <f t="shared" si="4"/>
        <v>4.0001773590966405E-2</v>
      </c>
      <c r="N14" s="12">
        <f t="shared" si="4"/>
        <v>4.0360010083076152E-2</v>
      </c>
      <c r="O14" s="12">
        <f t="shared" si="4"/>
        <v>4.0717658812808616E-2</v>
      </c>
      <c r="P14" s="12">
        <f t="shared" si="4"/>
        <v>4.1431200045172735E-2</v>
      </c>
      <c r="Q14" s="12">
        <f t="shared" si="4"/>
        <v>4.178709606079925E-2</v>
      </c>
      <c r="R14" s="12">
        <f t="shared" si="4"/>
        <v>4.2142411340091265E-2</v>
      </c>
      <c r="S14" s="12">
        <f t="shared" si="4"/>
        <v>4.2497147622645517E-2</v>
      </c>
      <c r="T14" s="12">
        <f t="shared" si="4"/>
        <v>4.2851306641346072E-2</v>
      </c>
      <c r="U14" s="12">
        <f t="shared" si="4"/>
        <v>4.8095578387611936E-2</v>
      </c>
    </row>
    <row r="15" spans="1:21">
      <c r="A15" s="5" t="s">
        <v>222</v>
      </c>
      <c r="F15" s="12">
        <f>XIRR(F$170:F$512,$C$170:$C$512)</f>
        <v>3.1754445290228042E-2</v>
      </c>
      <c r="G15" s="12">
        <f>XIRR(G$170:G$512,$C$170:$C$512)</f>
        <v>3.545652094949317E-2</v>
      </c>
      <c r="H15" s="12">
        <f>XIRR(H$170:H$512,$C$170:$C$512)</f>
        <v>3.9096254233055169E-2</v>
      </c>
      <c r="I15" s="12">
        <f>XIRR(I$170:I$512,$C$170:$C$512)</f>
        <v>4.2675562497256153E-2</v>
      </c>
    </row>
    <row r="16" spans="1:21" ht="30">
      <c r="A16" s="5" t="s">
        <v>223</v>
      </c>
      <c r="F16" s="20">
        <f>(F10+F12+F13-'1 - Titoli e shock'!$B$7)/'1 - Titoli e shock'!$B$11</f>
        <v>6743.1033860410444</v>
      </c>
      <c r="G16" s="20">
        <f>(G10+G12+G13-'1 - Titoli e shock'!$B$7)/'1 - Titoli e shock'!$B$11</f>
        <v>7517.5337742986212</v>
      </c>
      <c r="H16" s="20">
        <f>(H10+H12+H13-'1 - Titoli e shock'!$B$7)/'1 - Titoli e shock'!$B$11</f>
        <v>8288.2671089532378</v>
      </c>
      <c r="I16" s="20">
        <f>(I10+I12+I13-'1 - Titoli e shock'!$B$7)/'1 - Titoli e shock'!$B$11</f>
        <v>9055.3558379324495</v>
      </c>
      <c r="J16" s="20">
        <f>(J10+J12+J13-'1 - Titoli e shock'!$B$7)/'1 - Titoli e shock'!$B$11</f>
        <v>7710.5616366107251</v>
      </c>
      <c r="K16" s="20">
        <f>(K10+K12+K13-'1 - Titoli e shock'!$B$7)/'1 - Titoli e shock'!$B$11</f>
        <v>7903.3592660590657</v>
      </c>
      <c r="L16" s="20">
        <f>(L10+L12+L13-'1 - Titoli e shock'!$B$7)/'1 - Titoli e shock'!$B$11</f>
        <v>7980.4140368990365</v>
      </c>
      <c r="M16" s="20">
        <f>(M10+M12+M13-'1 - Titoli e shock'!$B$7)/'1 - Titoli e shock'!$B$11</f>
        <v>8057.4321544144768</v>
      </c>
      <c r="N16" s="20">
        <f>(N10+N12+N13-'1 - Titoli e shock'!$B$7)/'1 - Titoli e shock'!$B$11</f>
        <v>8134.4136708613605</v>
      </c>
      <c r="O16" s="20">
        <f>(O10+O12+O13-'1 - Titoli e shock'!$B$7)/'1 - Titoli e shock'!$B$11</f>
        <v>8211.3586383715046</v>
      </c>
      <c r="P16" s="20">
        <f>(P10+P12+P13-'1 - Titoli e shock'!$B$7)/'1 - Titoli e shock'!$B$11</f>
        <v>8365.1391344914628</v>
      </c>
      <c r="Q16" s="20">
        <f>(Q10+Q12+Q13-'1 - Titoli e shock'!$B$7)/'1 - Titoli e shock'!$B$11</f>
        <v>8441.9747667484971</v>
      </c>
      <c r="R16" s="20">
        <f>(R10+R12+R13-'1 - Titoli e shock'!$B$7)/'1 - Titoli e shock'!$B$11</f>
        <v>8518.7740573640149</v>
      </c>
      <c r="S16" s="20">
        <f>(S10+S12+S13-'1 - Titoli e shock'!$B$7)/'1 - Titoli e shock'!$B$11</f>
        <v>8595.5370578558013</v>
      </c>
      <c r="T16" s="20">
        <f>(T10+T12+T13-'1 - Titoli e shock'!$B$7)/'1 - Titoli e shock'!$B$11</f>
        <v>8672.2638196200824</v>
      </c>
      <c r="U16" s="20">
        <f>(U10+U12+U13-'1 - Titoli e shock'!$B$7)/'1 - Titoli e shock'!$B$11</f>
        <v>9818.8511806887927</v>
      </c>
    </row>
    <row r="17" spans="1:21">
      <c r="A17" s="5" t="s">
        <v>224</v>
      </c>
      <c r="F17" s="20">
        <f t="shared" ref="F17:U17" si="5">SUMIFS(F$515:F$564,$A$515:$A$564,"cedola*",$D$515:$D$564,1)</f>
        <v>8503.5566620988357</v>
      </c>
      <c r="G17" s="20">
        <f t="shared" si="5"/>
        <v>8503.5566620988357</v>
      </c>
      <c r="H17" s="20">
        <f t="shared" si="5"/>
        <v>8503.5566620988357</v>
      </c>
      <c r="I17" s="20">
        <f t="shared" si="5"/>
        <v>8503.5566620988357</v>
      </c>
      <c r="J17" s="20">
        <f t="shared" si="5"/>
        <v>8503.5566620988357</v>
      </c>
      <c r="K17" s="20">
        <f t="shared" si="5"/>
        <v>8503.5566620988357</v>
      </c>
      <c r="L17" s="20">
        <f t="shared" si="5"/>
        <v>8503.5566620988357</v>
      </c>
      <c r="M17" s="20">
        <f t="shared" si="5"/>
        <v>8503.5566620988357</v>
      </c>
      <c r="N17" s="20">
        <f t="shared" si="5"/>
        <v>8503.5566620988357</v>
      </c>
      <c r="O17" s="20">
        <f t="shared" si="5"/>
        <v>8503.5566620988357</v>
      </c>
      <c r="P17" s="20">
        <f t="shared" si="5"/>
        <v>8503.5566620988357</v>
      </c>
      <c r="Q17" s="20">
        <f t="shared" si="5"/>
        <v>8503.5566620988357</v>
      </c>
      <c r="R17" s="20">
        <f t="shared" si="5"/>
        <v>8503.5566620988357</v>
      </c>
      <c r="S17" s="20">
        <f t="shared" si="5"/>
        <v>8503.5566620988357</v>
      </c>
      <c r="T17" s="20">
        <f t="shared" si="5"/>
        <v>8503.5566620988357</v>
      </c>
      <c r="U17" s="20">
        <f t="shared" si="5"/>
        <v>8503.5566620988357</v>
      </c>
    </row>
    <row r="18" spans="1:21">
      <c r="A18" s="5" t="s">
        <v>225</v>
      </c>
      <c r="F18" s="20">
        <f t="shared" ref="F18:U18" si="6">SUMIFS(F$515:F$564,$A$515:$A$564,"cedola*")</f>
        <v>84498.709185579151</v>
      </c>
      <c r="G18" s="20">
        <f t="shared" si="6"/>
        <v>84498.709185579151</v>
      </c>
      <c r="H18" s="20">
        <f t="shared" si="6"/>
        <v>84498.709185579151</v>
      </c>
      <c r="I18" s="20">
        <f t="shared" si="6"/>
        <v>84498.709185579151</v>
      </c>
      <c r="J18" s="20">
        <f t="shared" si="6"/>
        <v>84498.709185579151</v>
      </c>
      <c r="K18" s="20">
        <f t="shared" si="6"/>
        <v>84498.709185579151</v>
      </c>
      <c r="L18" s="20">
        <f t="shared" si="6"/>
        <v>84498.709185579151</v>
      </c>
      <c r="M18" s="20">
        <f t="shared" si="6"/>
        <v>84498.709185579151</v>
      </c>
      <c r="N18" s="20">
        <f t="shared" si="6"/>
        <v>84498.709185579151</v>
      </c>
      <c r="O18" s="20">
        <f t="shared" si="6"/>
        <v>84498.709185579151</v>
      </c>
      <c r="P18" s="20">
        <f t="shared" si="6"/>
        <v>84498.709185579151</v>
      </c>
      <c r="Q18" s="20">
        <f t="shared" si="6"/>
        <v>84498.709185579151</v>
      </c>
      <c r="R18" s="20">
        <f t="shared" si="6"/>
        <v>84498.709185579151</v>
      </c>
      <c r="S18" s="20">
        <f t="shared" si="6"/>
        <v>84498.709185579151</v>
      </c>
      <c r="T18" s="20">
        <f t="shared" si="6"/>
        <v>84498.709185579151</v>
      </c>
      <c r="U18" s="20">
        <f t="shared" si="6"/>
        <v>84498.709185579151</v>
      </c>
    </row>
    <row r="19" spans="1:21">
      <c r="A19" s="5" t="s">
        <v>226</v>
      </c>
      <c r="F19" s="20">
        <f>F18/'1 - Titoli e shock'!$B$11</f>
        <v>8449.8709185579155</v>
      </c>
      <c r="G19" s="20">
        <f>G18/'1 - Titoli e shock'!$B$11</f>
        <v>8449.8709185579155</v>
      </c>
      <c r="H19" s="20">
        <f>H18/'1 - Titoli e shock'!$B$11</f>
        <v>8449.8709185579155</v>
      </c>
      <c r="I19" s="20">
        <f>I18/'1 - Titoli e shock'!$B$11</f>
        <v>8449.8709185579155</v>
      </c>
      <c r="J19" s="20">
        <f>J18/'1 - Titoli e shock'!$B$11</f>
        <v>8449.8709185579155</v>
      </c>
      <c r="K19" s="20">
        <f>K18/'1 - Titoli e shock'!$B$11</f>
        <v>8449.8709185579155</v>
      </c>
      <c r="L19" s="20">
        <f>L18/'1 - Titoli e shock'!$B$11</f>
        <v>8449.8709185579155</v>
      </c>
      <c r="M19" s="20">
        <f>M18/'1 - Titoli e shock'!$B$11</f>
        <v>8449.8709185579155</v>
      </c>
      <c r="N19" s="20">
        <f>N18/'1 - Titoli e shock'!$B$11</f>
        <v>8449.8709185579155</v>
      </c>
      <c r="O19" s="20">
        <f>O18/'1 - Titoli e shock'!$B$11</f>
        <v>8449.8709185579155</v>
      </c>
      <c r="P19" s="20">
        <f>P18/'1 - Titoli e shock'!$B$11</f>
        <v>8449.8709185579155</v>
      </c>
      <c r="Q19" s="20">
        <f>Q18/'1 - Titoli e shock'!$B$11</f>
        <v>8449.8709185579155</v>
      </c>
      <c r="R19" s="20">
        <f>R18/'1 - Titoli e shock'!$B$11</f>
        <v>8449.8709185579155</v>
      </c>
      <c r="S19" s="20">
        <f>S18/'1 - Titoli e shock'!$B$11</f>
        <v>8449.8709185579155</v>
      </c>
      <c r="T19" s="20">
        <f>T18/'1 - Titoli e shock'!$B$11</f>
        <v>8449.8709185579155</v>
      </c>
      <c r="U19" s="20">
        <f>U18/'1 - Titoli e shock'!$B$11</f>
        <v>8449.8709185579155</v>
      </c>
    </row>
    <row r="20" spans="1:21">
      <c r="A20" s="5" t="s">
        <v>227</v>
      </c>
      <c r="F20" s="20">
        <f t="shared" ref="F20:U20" si="7">SUMIFS(F$515:F$564,$A$515:$A$564,"rimborso reinv.")</f>
        <v>0</v>
      </c>
      <c r="G20" s="20">
        <f t="shared" si="7"/>
        <v>0</v>
      </c>
      <c r="H20" s="20">
        <f t="shared" si="7"/>
        <v>0</v>
      </c>
      <c r="I20" s="20">
        <f t="shared" si="7"/>
        <v>0</v>
      </c>
      <c r="J20" s="20">
        <f t="shared" si="7"/>
        <v>0</v>
      </c>
      <c r="K20" s="20">
        <f t="shared" si="7"/>
        <v>0</v>
      </c>
      <c r="L20" s="20">
        <f t="shared" si="7"/>
        <v>0</v>
      </c>
      <c r="M20" s="20">
        <f t="shared" si="7"/>
        <v>0</v>
      </c>
      <c r="N20" s="20">
        <f t="shared" si="7"/>
        <v>0</v>
      </c>
      <c r="O20" s="20">
        <f t="shared" si="7"/>
        <v>0</v>
      </c>
      <c r="P20" s="20">
        <f t="shared" si="7"/>
        <v>0</v>
      </c>
      <c r="Q20" s="20">
        <f t="shared" si="7"/>
        <v>0</v>
      </c>
      <c r="R20" s="20">
        <f t="shared" si="7"/>
        <v>0</v>
      </c>
      <c r="S20" s="20">
        <f t="shared" si="7"/>
        <v>0</v>
      </c>
      <c r="T20" s="20">
        <f t="shared" si="7"/>
        <v>0</v>
      </c>
      <c r="U20" s="20">
        <f t="shared" si="7"/>
        <v>0</v>
      </c>
    </row>
    <row r="21" spans="1:21">
      <c r="A21" s="5" t="s">
        <v>228</v>
      </c>
      <c r="F21" s="20">
        <f t="shared" ref="F21:U21" si="8">F70</f>
        <v>229132.95607125692</v>
      </c>
      <c r="G21" s="20">
        <f t="shared" si="8"/>
        <v>206816.26500109362</v>
      </c>
      <c r="H21" s="20">
        <f t="shared" si="8"/>
        <v>185862.28468905302</v>
      </c>
      <c r="I21" s="20">
        <f t="shared" si="8"/>
        <v>166941.99756490107</v>
      </c>
      <c r="J21" s="20">
        <f t="shared" si="8"/>
        <v>201745.38044963847</v>
      </c>
      <c r="K21" s="20">
        <f t="shared" si="8"/>
        <v>196421.23314839136</v>
      </c>
      <c r="L21" s="20">
        <f t="shared" si="8"/>
        <v>194246.166454661</v>
      </c>
      <c r="M21" s="20">
        <f t="shared" si="8"/>
        <v>192103.2688388667</v>
      </c>
      <c r="N21" s="20">
        <f t="shared" si="8"/>
        <v>189992.00492898139</v>
      </c>
      <c r="O21" s="20">
        <f t="shared" si="8"/>
        <v>187911.84897984372</v>
      </c>
      <c r="P21" s="20">
        <f t="shared" si="8"/>
        <v>183842.80501659098</v>
      </c>
      <c r="Q21" s="20">
        <f t="shared" si="8"/>
        <v>181852.91200806462</v>
      </c>
      <c r="R21" s="20">
        <f t="shared" si="8"/>
        <v>179892.1166215181</v>
      </c>
      <c r="S21" s="20">
        <f t="shared" si="8"/>
        <v>177959.93855772165</v>
      </c>
      <c r="T21" s="20">
        <f t="shared" si="8"/>
        <v>176055.90609387791</v>
      </c>
      <c r="U21" s="20">
        <f t="shared" si="8"/>
        <v>150576.55388687638</v>
      </c>
    </row>
    <row r="22" spans="1:21">
      <c r="A22" s="5" t="s">
        <v>229</v>
      </c>
      <c r="F22" s="12">
        <f t="shared" ref="F22:U22" si="9">XIRR(F$515:F$548,$C$515:$C$548)</f>
        <v>5.4242440092175326E-2</v>
      </c>
      <c r="G22" s="12">
        <f t="shared" si="9"/>
        <v>4.5555550670589251E-2</v>
      </c>
      <c r="H22" s="12">
        <f t="shared" si="9"/>
        <v>3.6708500998296589E-2</v>
      </c>
      <c r="I22" s="12">
        <f t="shared" si="9"/>
        <v>2.8035809592142271E-2</v>
      </c>
      <c r="J22" s="12">
        <f t="shared" si="9"/>
        <v>4.3480485641941624E-2</v>
      </c>
      <c r="K22" s="12">
        <f t="shared" si="9"/>
        <v>4.1257820241089732E-2</v>
      </c>
      <c r="L22" s="12">
        <f t="shared" si="9"/>
        <v>4.0336383113548237E-2</v>
      </c>
      <c r="M22" s="12">
        <f t="shared" si="9"/>
        <v>3.9420755303437784E-2</v>
      </c>
      <c r="N22" s="12">
        <f t="shared" si="9"/>
        <v>3.8510914184140835E-2</v>
      </c>
      <c r="O22" s="12">
        <f t="shared" si="9"/>
        <v>3.7606837026227857E-2</v>
      </c>
      <c r="P22" s="12">
        <f t="shared" si="9"/>
        <v>3.5815883168298854E-2</v>
      </c>
      <c r="Q22" s="12">
        <f t="shared" si="9"/>
        <v>3.4928960504696648E-2</v>
      </c>
      <c r="R22" s="12">
        <f t="shared" si="9"/>
        <v>3.4047709877706188E-2</v>
      </c>
      <c r="S22" s="12">
        <f t="shared" si="9"/>
        <v>3.3172108060579179E-2</v>
      </c>
      <c r="T22" s="12">
        <f t="shared" si="9"/>
        <v>3.2302131730931029E-2</v>
      </c>
      <c r="U22" s="12">
        <f t="shared" si="9"/>
        <v>1.9911410336237244E-2</v>
      </c>
    </row>
    <row r="23" spans="1:21">
      <c r="A23" s="5" t="s">
        <v>230</v>
      </c>
      <c r="F23" s="12">
        <f>XIRR(F$515:F$564,$C$515:$C$564)</f>
        <v>5.2045835352187049E-2</v>
      </c>
      <c r="G23" s="12">
        <f>XIRR(G$515:G$564,$C$515:$C$564)</f>
        <v>4.3530076244165279E-2</v>
      </c>
      <c r="H23" s="12">
        <f>XIRR(H$515:H$564,$C$515:$C$564)</f>
        <v>3.4823520995265443E-2</v>
      </c>
      <c r="I23" s="12">
        <f>XIRR(I$515:I$564,$C$515:$C$564)</f>
        <v>2.6268683839809837E-2</v>
      </c>
    </row>
    <row r="24" spans="1:21" ht="30">
      <c r="A24" s="5" t="s">
        <v>231</v>
      </c>
      <c r="F24" s="20">
        <f>(F18+F20+F21-'1 - Titoli e shock'!$B$7)/'1 - Titoli e shock'!$B$11</f>
        <v>11363.16652568361</v>
      </c>
      <c r="G24" s="20">
        <f>(G18+G20+G21-'1 - Titoli e shock'!$B$7)/'1 - Titoli e shock'!$B$11</f>
        <v>9131.4974186672771</v>
      </c>
      <c r="H24" s="20">
        <f>(H18+H20+H21-'1 - Titoli e shock'!$B$7)/'1 - Titoli e shock'!$B$11</f>
        <v>7036.0993874632168</v>
      </c>
      <c r="I24" s="20">
        <f>(I18+I20+I21-'1 - Titoli e shock'!$B$7)/'1 - Titoli e shock'!$B$11</f>
        <v>5144.0706750480222</v>
      </c>
      <c r="J24" s="20">
        <f>(J18+J20+J21-'1 - Titoli e shock'!$B$7)/'1 - Titoli e shock'!$B$11</f>
        <v>8624.4089635217624</v>
      </c>
      <c r="K24" s="20">
        <f>(K18+K20+K21-'1 - Titoli e shock'!$B$7)/'1 - Titoli e shock'!$B$11</f>
        <v>8091.9942333970512</v>
      </c>
      <c r="L24" s="20">
        <f>(L18+L20+L21-'1 - Titoli e shock'!$B$7)/'1 - Titoli e shock'!$B$11</f>
        <v>7874.4875640240152</v>
      </c>
      <c r="M24" s="20">
        <f>(M18+M20+M21-'1 - Titoli e shock'!$B$7)/'1 - Titoli e shock'!$B$11</f>
        <v>7660.1978024445825</v>
      </c>
      <c r="N24" s="20">
        <f>(N18+N20+N21-'1 - Titoli e shock'!$B$7)/'1 - Titoli e shock'!$B$11</f>
        <v>7449.0714114560515</v>
      </c>
      <c r="O24" s="20">
        <f>(O18+O20+O21-'1 - Titoli e shock'!$B$7)/'1 - Titoli e shock'!$B$11</f>
        <v>7241.0558165422872</v>
      </c>
      <c r="P24" s="20">
        <f>(P18+P20+P21-'1 - Titoli e shock'!$B$7)/'1 - Titoli e shock'!$B$11</f>
        <v>6834.1514202170129</v>
      </c>
      <c r="Q24" s="20">
        <f>(Q18+Q20+Q21-'1 - Titoli e shock'!$B$7)/'1 - Titoli e shock'!$B$11</f>
        <v>6635.1621193643778</v>
      </c>
      <c r="R24" s="20">
        <f>(R18+R20+R21-'1 - Titoli e shock'!$B$7)/'1 - Titoli e shock'!$B$11</f>
        <v>6439.0825807097253</v>
      </c>
      <c r="S24" s="20">
        <f>(S18+S20+S21-'1 - Titoli e shock'!$B$7)/'1 - Titoli e shock'!$B$11</f>
        <v>6245.8647743300771</v>
      </c>
      <c r="T24" s="20">
        <f>(T18+T20+T21-'1 - Titoli e shock'!$B$7)/'1 - Titoli e shock'!$B$11</f>
        <v>6055.4615279457066</v>
      </c>
      <c r="U24" s="20">
        <f>(U18+U20+U21-'1 - Titoli e shock'!$B$7)/'1 - Titoli e shock'!$B$11</f>
        <v>3507.5263072455537</v>
      </c>
    </row>
    <row r="25" spans="1:21">
      <c r="A25" s="5" t="s">
        <v>232</v>
      </c>
      <c r="F25" s="19">
        <f t="shared" ref="F25:U25" si="10">(F22-F14)*100</f>
        <v>2.042236004101726</v>
      </c>
      <c r="G25" s="19">
        <f t="shared" si="10"/>
        <v>0.80780397192720399</v>
      </c>
      <c r="H25" s="19">
        <f t="shared" si="10"/>
        <v>-0.43662205485796923</v>
      </c>
      <c r="I25" s="19">
        <f t="shared" si="10"/>
        <v>-1.6577693369312394</v>
      </c>
      <c r="J25" s="19">
        <f t="shared" si="10"/>
        <v>0.50980975400256867</v>
      </c>
      <c r="K25" s="19">
        <f t="shared" si="10"/>
        <v>0.19742900225819954</v>
      </c>
      <c r="L25" s="19">
        <f t="shared" si="10"/>
        <v>6.9343555062763296E-2</v>
      </c>
      <c r="M25" s="19">
        <f t="shared" si="10"/>
        <v>-5.8101828752862156E-2</v>
      </c>
      <c r="N25" s="19">
        <f t="shared" si="10"/>
        <v>-0.18490958989353171</v>
      </c>
      <c r="O25" s="19">
        <f t="shared" si="10"/>
        <v>-0.31108217865807586</v>
      </c>
      <c r="P25" s="19">
        <f t="shared" si="10"/>
        <v>-0.56153168768738815</v>
      </c>
      <c r="Q25" s="19">
        <f t="shared" si="10"/>
        <v>-0.68581355561026025</v>
      </c>
      <c r="R25" s="19">
        <f t="shared" si="10"/>
        <v>-0.80947014623850777</v>
      </c>
      <c r="S25" s="19">
        <f t="shared" si="10"/>
        <v>-0.93250395620663384</v>
      </c>
      <c r="T25" s="19">
        <f t="shared" si="10"/>
        <v>-1.0549174910415045</v>
      </c>
      <c r="U25" s="19">
        <f t="shared" si="10"/>
        <v>-2.8184168051374692</v>
      </c>
    </row>
    <row r="26" spans="1:21">
      <c r="A26" s="5" t="s">
        <v>233</v>
      </c>
      <c r="F26" s="21">
        <f>SMALL($F$5:$U$5,1)</f>
        <v>-1</v>
      </c>
      <c r="G26" s="21">
        <f>SMALL($F$5:$U$5,2)</f>
        <v>0</v>
      </c>
      <c r="H26" s="21">
        <f>SMALL($F$5:$U$5,3)</f>
        <v>0.25</v>
      </c>
      <c r="I26" s="21">
        <f>SMALL($F$5:$U$5,4)</f>
        <v>0.5</v>
      </c>
      <c r="J26" s="21">
        <f>SMALL($F$5:$U$5,5)</f>
        <v>0.6</v>
      </c>
      <c r="K26" s="21">
        <f>SMALL($F$5:$U$5,6)</f>
        <v>0.7</v>
      </c>
      <c r="L26" s="21">
        <f>SMALL($F$5:$U$5,7)</f>
        <v>0.8</v>
      </c>
      <c r="M26" s="21">
        <f>SMALL($F$5:$U$5,8)</f>
        <v>0.9</v>
      </c>
      <c r="N26" s="21">
        <f>SMALL($F$5:$U$5,9)</f>
        <v>1</v>
      </c>
      <c r="O26" s="21">
        <f>SMALL($F$5:$U$5,10)</f>
        <v>1.1000000000000001</v>
      </c>
      <c r="P26" s="21">
        <f>SMALL($F$5:$U$5,11)</f>
        <v>1.2</v>
      </c>
      <c r="Q26" s="21">
        <f>SMALL($F$5:$U$5,12)</f>
        <v>1.3</v>
      </c>
      <c r="R26" s="21">
        <f>SMALL($F$5:$U$5,13)</f>
        <v>1.4</v>
      </c>
      <c r="S26" s="21">
        <f>SMALL($F$5:$U$5,14)</f>
        <v>1.5</v>
      </c>
      <c r="T26" s="21">
        <f>SMALL($F$5:$U$5,15)</f>
        <v>2</v>
      </c>
      <c r="U26" s="21">
        <f>SMALL($F$5:$U$5,16)</f>
        <v>3</v>
      </c>
    </row>
    <row r="27" spans="1:21">
      <c r="A27" s="5" t="s">
        <v>234</v>
      </c>
      <c r="F27" s="19">
        <f t="shared" ref="F27:U27" si="11">INDEX($F$25:$U$25,MATCH(F26,$F$5:$U$5,0))</f>
        <v>2.042236004101726</v>
      </c>
      <c r="G27" s="19">
        <f t="shared" si="11"/>
        <v>0.80780397192720399</v>
      </c>
      <c r="H27" s="19">
        <f t="shared" si="11"/>
        <v>0.50980975400256867</v>
      </c>
      <c r="I27" s="19">
        <f t="shared" si="11"/>
        <v>0.19742900225819954</v>
      </c>
      <c r="J27" s="19">
        <f t="shared" si="11"/>
        <v>6.9343555062763296E-2</v>
      </c>
      <c r="K27" s="19">
        <f t="shared" si="11"/>
        <v>-5.8101828752862156E-2</v>
      </c>
      <c r="L27" s="19">
        <f t="shared" si="11"/>
        <v>-0.18490958989353171</v>
      </c>
      <c r="M27" s="19">
        <f t="shared" si="11"/>
        <v>-0.31108217865807586</v>
      </c>
      <c r="N27" s="19">
        <f t="shared" si="11"/>
        <v>-0.43662205485796923</v>
      </c>
      <c r="O27" s="19">
        <f t="shared" si="11"/>
        <v>-0.56153168768738815</v>
      </c>
      <c r="P27" s="19">
        <f t="shared" si="11"/>
        <v>-0.68581355561026025</v>
      </c>
      <c r="Q27" s="19">
        <f t="shared" si="11"/>
        <v>-0.80947014623850777</v>
      </c>
      <c r="R27" s="19">
        <f t="shared" si="11"/>
        <v>-0.93250395620663384</v>
      </c>
      <c r="S27" s="19">
        <f t="shared" si="11"/>
        <v>-1.0549174910415045</v>
      </c>
      <c r="T27" s="19">
        <f t="shared" si="11"/>
        <v>-1.6577693369312394</v>
      </c>
      <c r="U27" s="19">
        <f t="shared" si="11"/>
        <v>-2.8184168051374692</v>
      </c>
    </row>
    <row r="28" spans="1:21">
      <c r="A28" s="5" t="s">
        <v>235</v>
      </c>
      <c r="F28" s="21" t="str">
        <f t="shared" ref="F28:T28" si="12">IF(AND(F27&gt;=0,G27&lt;0),F26+(G26-F26)*F27/(F27-G27),"")</f>
        <v/>
      </c>
      <c r="G28" s="21" t="str">
        <f t="shared" si="12"/>
        <v/>
      </c>
      <c r="H28" s="21" t="str">
        <f t="shared" si="12"/>
        <v/>
      </c>
      <c r="I28" s="21" t="str">
        <f t="shared" si="12"/>
        <v/>
      </c>
      <c r="J28" s="21">
        <f t="shared" si="12"/>
        <v>0.65441040937432637</v>
      </c>
      <c r="K28" s="21" t="str">
        <f t="shared" si="12"/>
        <v/>
      </c>
      <c r="L28" s="21" t="str">
        <f t="shared" si="12"/>
        <v/>
      </c>
      <c r="M28" s="21" t="str">
        <f t="shared" si="12"/>
        <v/>
      </c>
      <c r="N28" s="21" t="str">
        <f t="shared" si="12"/>
        <v/>
      </c>
      <c r="O28" s="21" t="str">
        <f t="shared" si="12"/>
        <v/>
      </c>
      <c r="P28" s="21" t="str">
        <f t="shared" si="12"/>
        <v/>
      </c>
      <c r="Q28" s="21" t="str">
        <f t="shared" si="12"/>
        <v/>
      </c>
      <c r="R28" s="21" t="str">
        <f t="shared" si="12"/>
        <v/>
      </c>
      <c r="S28" s="21" t="str">
        <f t="shared" si="12"/>
        <v/>
      </c>
      <c r="T28" s="21" t="str">
        <f t="shared" si="12"/>
        <v/>
      </c>
    </row>
    <row r="29" spans="1:21">
      <c r="A29" s="5" t="s">
        <v>236</v>
      </c>
      <c r="F29" s="21">
        <f>IF(COUNT(F28:T28)=0,"n/d",MIN(F28:T28))</f>
        <v>0.65441040937432637</v>
      </c>
    </row>
    <row r="32" spans="1:21">
      <c r="A32" s="36" t="s">
        <v>237</v>
      </c>
      <c r="B32" s="33"/>
      <c r="C32" s="33"/>
      <c r="D32" s="33"/>
      <c r="E32" s="33"/>
      <c r="F32" s="33"/>
      <c r="G32" s="33"/>
      <c r="H32" s="33"/>
      <c r="I32" s="33"/>
      <c r="J32" s="33"/>
    </row>
    <row r="33" spans="1:21" ht="33.950000000000003" customHeight="1">
      <c r="A33" s="14" t="s">
        <v>41</v>
      </c>
      <c r="B33" s="14" t="s">
        <v>44</v>
      </c>
      <c r="C33" s="14" t="s">
        <v>238</v>
      </c>
      <c r="D33" s="14" t="s">
        <v>239</v>
      </c>
      <c r="E33" s="14" t="s">
        <v>240</v>
      </c>
      <c r="F33" s="14" t="s">
        <v>241</v>
      </c>
      <c r="G33" s="14" t="s">
        <v>242</v>
      </c>
      <c r="H33" s="14" t="s">
        <v>243</v>
      </c>
      <c r="I33" s="14" t="s">
        <v>244</v>
      </c>
    </row>
    <row r="34" spans="1:21">
      <c r="A34" s="22" t="str">
        <f>'1 - Titoli e shock'!A21</f>
        <v>BTP 2,70% ott 2027</v>
      </c>
      <c r="B34" s="13">
        <f>'1 - Titoli e shock'!D21</f>
        <v>46675</v>
      </c>
      <c r="C34" s="17">
        <f>'1 - Titoli e shock'!$B$7/10/('1 - Titoli e shock'!E21+'1 - Titoli e shock'!I21)</f>
        <v>200.83210700687775</v>
      </c>
      <c r="D34" s="20">
        <f>C34*(100-'1 - Titoli e shock'!$B$8*MAX(0,100-'1 - Titoli e shock'!E21))</f>
        <v>20072.064518748895</v>
      </c>
      <c r="E34" s="13">
        <f t="shared" ref="E34:E43" si="13">EDATE(B34,120)</f>
        <v>50328</v>
      </c>
      <c r="F34" s="19">
        <f>(B34-'1 - Titoli e shock'!$B$17)/365.25</f>
        <v>-9.0130047912388775</v>
      </c>
      <c r="G34" s="12">
        <f>IF(F34&lt;='1 - Titoli e shock'!$P$21,'1 - Titoli e shock'!$K$21,IF(F34&gt;='1 - Titoli e shock'!$P$35,'1 - Titoli e shock'!$K$35,INDEX('1 - Titoli e shock'!$K$21:$K$35,MATCH(F34,'1 - Titoli e shock'!$P$21:$P$35,1))+(INDEX('1 - Titoli e shock'!$K$21:$K$35,MATCH(F34,'1 - Titoli e shock'!$P$21:$P$35,1)+1)-INDEX('1 - Titoli e shock'!$K$21:$K$35,MATCH(F34,'1 - Titoli e shock'!$P$21:$P$35,1)))*(F34-INDEX('1 - Titoli e shock'!$P$21:$P$35,MATCH(F34,'1 - Titoli e shock'!$P$21:$P$35,1)))/(INDEX('1 - Titoli e shock'!$P$21:$P$35,MATCH(F34,'1 - Titoli e shock'!$P$21:$P$35,1)+1)-INDEX('1 - Titoli e shock'!$P$21:$P$35,MATCH(F34,'1 - Titoli e shock'!$P$21:$P$35,1)))))</f>
        <v>3.1842376340284639E-2</v>
      </c>
      <c r="H34" s="17">
        <f>IF(B34&lt;='1 - Titoli e shock'!$B$17,('1 - Titoli e shock'!$B$17-EDATE(B34,6*INT(DATEDIF(B34,'1 - Titoli e shock'!$B$17,"m")/6)))/(EDATE(B34,6*INT(DATEDIF(B34,'1 - Titoli e shock'!$B$17,"m")/6)+6)-EDATE(B34,6*INT(DATEDIF(B34,'1 - Titoli e shock'!$B$17,"m")/6))),0)</f>
        <v>2.197802197802198E-2</v>
      </c>
      <c r="I34" s="17">
        <f>IF(B34&gt;'1 - Titoli e shock'!$B$17,'1 - Titoli e shock'!C21*100/2*COUPDAYBS('1 - Titoli e shock'!$B$17,B34,2,1)/COUPDAYS('1 - Titoli e shock'!$B$17,B34,2,1),0)</f>
        <v>0</v>
      </c>
    </row>
    <row r="35" spans="1:21">
      <c r="A35" s="22" t="str">
        <f>'1 - Titoli e shock'!A22</f>
        <v>BTP 2,80% dic 2028</v>
      </c>
      <c r="B35" s="13">
        <f>'1 - Titoli e shock'!D22</f>
        <v>47088</v>
      </c>
      <c r="C35" s="17">
        <f>'1 - Titoli e shock'!$B$7/10/('1 - Titoli e shock'!E22+'1 - Titoli e shock'!I22)</f>
        <v>200.25825654942989</v>
      </c>
      <c r="D35" s="20">
        <f>C35*(100-'1 - Titoli e shock'!$B$8*MAX(0,100-'1 - Titoli e shock'!E22))</f>
        <v>19995.786916460573</v>
      </c>
      <c r="E35" s="13">
        <f t="shared" si="13"/>
        <v>50740</v>
      </c>
      <c r="F35" s="19">
        <f>(B35-'1 - Titoli e shock'!$B$17)/365.25</f>
        <v>-7.8822724161533193</v>
      </c>
      <c r="G35" s="12">
        <f>IF(F35&lt;='1 - Titoli e shock'!$P$21,'1 - Titoli e shock'!$K$21,IF(F35&gt;='1 - Titoli e shock'!$P$35,'1 - Titoli e shock'!$K$35,INDEX('1 - Titoli e shock'!$K$21:$K$35,MATCH(F35,'1 - Titoli e shock'!$P$21:$P$35,1))+(INDEX('1 - Titoli e shock'!$K$21:$K$35,MATCH(F35,'1 - Titoli e shock'!$P$21:$P$35,1)+1)-INDEX('1 - Titoli e shock'!$K$21:$K$35,MATCH(F35,'1 - Titoli e shock'!$P$21:$P$35,1)))*(F35-INDEX('1 - Titoli e shock'!$P$21:$P$35,MATCH(F35,'1 - Titoli e shock'!$P$21:$P$35,1)))/(INDEX('1 - Titoli e shock'!$P$21:$P$35,MATCH(F35,'1 - Titoli e shock'!$P$21:$P$35,1)+1)-INDEX('1 - Titoli e shock'!$P$21:$P$35,MATCH(F35,'1 - Titoli e shock'!$P$21:$P$35,1)))))</f>
        <v>3.1842376340284639E-2</v>
      </c>
      <c r="H35" s="17">
        <f>IF(B35&lt;='1 - Titoli e shock'!$B$17,('1 - Titoli e shock'!$B$17-EDATE(B35,6*INT(DATEDIF(B35,'1 - Titoli e shock'!$B$17,"m")/6)))/(EDATE(B35,6*INT(DATEDIF(B35,'1 - Titoli e shock'!$B$17,"m")/6)+6)-EDATE(B35,6*INT(DATEDIF(B35,'1 - Titoli e shock'!$B$17,"m")/6))),0)</f>
        <v>0.76502732240437155</v>
      </c>
      <c r="I35" s="17">
        <f>IF(B35&gt;'1 - Titoli e shock'!$B$17,'1 - Titoli e shock'!C22*100/2*COUPDAYBS('1 - Titoli e shock'!$B$17,B35,2,1)/COUPDAYS('1 - Titoli e shock'!$B$17,B35,2,1),0)</f>
        <v>0</v>
      </c>
    </row>
    <row r="36" spans="1:21">
      <c r="A36" s="22" t="str">
        <f>'1 - Titoli e shock'!A23</f>
        <v>BTP 3,00% ott 2029</v>
      </c>
      <c r="B36" s="13">
        <f>'1 - Titoli e shock'!D23</f>
        <v>47392</v>
      </c>
      <c r="C36" s="17">
        <f>'1 - Titoli e shock'!$B$7/10/('1 - Titoli e shock'!E23+'1 - Titoli e shock'!I23)</f>
        <v>203.19348709051488</v>
      </c>
      <c r="D36" s="20">
        <f>C36*(100-'1 - Titoli e shock'!$B$8*MAX(0,100-'1 - Titoli e shock'!E23))</f>
        <v>20275.662109327026</v>
      </c>
      <c r="E36" s="13">
        <f t="shared" si="13"/>
        <v>51044</v>
      </c>
      <c r="F36" s="19">
        <f>(B36-'1 - Titoli e shock'!$B$17)/365.25</f>
        <v>-7.0499657768651609</v>
      </c>
      <c r="G36" s="12">
        <f>IF(F36&lt;='1 - Titoli e shock'!$P$21,'1 - Titoli e shock'!$K$21,IF(F36&gt;='1 - Titoli e shock'!$P$35,'1 - Titoli e shock'!$K$35,INDEX('1 - Titoli e shock'!$K$21:$K$35,MATCH(F36,'1 - Titoli e shock'!$P$21:$P$35,1))+(INDEX('1 - Titoli e shock'!$K$21:$K$35,MATCH(F36,'1 - Titoli e shock'!$P$21:$P$35,1)+1)-INDEX('1 - Titoli e shock'!$K$21:$K$35,MATCH(F36,'1 - Titoli e shock'!$P$21:$P$35,1)))*(F36-INDEX('1 - Titoli e shock'!$P$21:$P$35,MATCH(F36,'1 - Titoli e shock'!$P$21:$P$35,1)))/(INDEX('1 - Titoli e shock'!$P$21:$P$35,MATCH(F36,'1 - Titoli e shock'!$P$21:$P$35,1)+1)-INDEX('1 - Titoli e shock'!$P$21:$P$35,MATCH(F36,'1 - Titoli e shock'!$P$21:$P$35,1)))))</f>
        <v>3.1842376340284639E-2</v>
      </c>
      <c r="H36" s="17">
        <f>IF(B36&lt;='1 - Titoli e shock'!$B$17,('1 - Titoli e shock'!$B$17-EDATE(B36,6*INT(DATEDIF(B36,'1 - Titoli e shock'!$B$17,"m")/6)))/(EDATE(B36,6*INT(DATEDIF(B36,'1 - Titoli e shock'!$B$17,"m")/6)+6)-EDATE(B36,6*INT(DATEDIF(B36,'1 - Titoli e shock'!$B$17,"m")/6))),0)</f>
        <v>9.8901098901098897E-2</v>
      </c>
      <c r="I36" s="17">
        <f>IF(B36&gt;'1 - Titoli e shock'!$B$17,'1 - Titoli e shock'!C23*100/2*COUPDAYBS('1 - Titoli e shock'!$B$17,B36,2,1)/COUPDAYS('1 - Titoli e shock'!$B$17,B36,2,1),0)</f>
        <v>0</v>
      </c>
    </row>
    <row r="37" spans="1:21">
      <c r="A37" s="22" t="str">
        <f>'1 - Titoli e shock'!A24</f>
        <v>BTP 2,70% ott 2030</v>
      </c>
      <c r="B37" s="13">
        <f>'1 - Titoli e shock'!D24</f>
        <v>47757</v>
      </c>
      <c r="C37" s="17">
        <f>'1 - Titoli e shock'!$B$7/10/('1 - Titoli e shock'!E24+'1 - Titoli e shock'!I24)</f>
        <v>207.95745784576638</v>
      </c>
      <c r="D37" s="20">
        <f>C37*(100-'1 - Titoli e shock'!$B$8*MAX(0,100-'1 - Titoli e shock'!E24))</f>
        <v>20692.806842942984</v>
      </c>
      <c r="E37" s="13">
        <f t="shared" si="13"/>
        <v>51410</v>
      </c>
      <c r="F37" s="19">
        <f>(B37-'1 - Titoli e shock'!$B$17)/365.25</f>
        <v>-6.0506502395619437</v>
      </c>
      <c r="G37" s="12">
        <f>IF(F37&lt;='1 - Titoli e shock'!$P$21,'1 - Titoli e shock'!$K$21,IF(F37&gt;='1 - Titoli e shock'!$P$35,'1 - Titoli e shock'!$K$35,INDEX('1 - Titoli e shock'!$K$21:$K$35,MATCH(F37,'1 - Titoli e shock'!$P$21:$P$35,1))+(INDEX('1 - Titoli e shock'!$K$21:$K$35,MATCH(F37,'1 - Titoli e shock'!$P$21:$P$35,1)+1)-INDEX('1 - Titoli e shock'!$K$21:$K$35,MATCH(F37,'1 - Titoli e shock'!$P$21:$P$35,1)))*(F37-INDEX('1 - Titoli e shock'!$P$21:$P$35,MATCH(F37,'1 - Titoli e shock'!$P$21:$P$35,1)))/(INDEX('1 - Titoli e shock'!$P$21:$P$35,MATCH(F37,'1 - Titoli e shock'!$P$21:$P$35,1)+1)-INDEX('1 - Titoli e shock'!$P$21:$P$35,MATCH(F37,'1 - Titoli e shock'!$P$21:$P$35,1)))))</f>
        <v>3.1842376340284639E-2</v>
      </c>
      <c r="H37" s="17">
        <f>IF(B37&lt;='1 - Titoli e shock'!$B$17,('1 - Titoli e shock'!$B$17-EDATE(B37,6*INT(DATEDIF(B37,'1 - Titoli e shock'!$B$17,"m")/6)))/(EDATE(B37,6*INT(DATEDIF(B37,'1 - Titoli e shock'!$B$17,"m")/6)+6)-EDATE(B37,6*INT(DATEDIF(B37,'1 - Titoli e shock'!$B$17,"m")/6))),0)</f>
        <v>9.8901098901098897E-2</v>
      </c>
      <c r="I37" s="17">
        <f>IF(B37&gt;'1 - Titoli e shock'!$B$17,'1 - Titoli e shock'!C24*100/2*COUPDAYBS('1 - Titoli e shock'!$B$17,B37,2,1)/COUPDAYS('1 - Titoli e shock'!$B$17,B37,2,1),0)</f>
        <v>0</v>
      </c>
    </row>
    <row r="38" spans="1:21">
      <c r="A38" s="22" t="str">
        <f>'1 - Titoli e shock'!A25</f>
        <v>BTP 3,15% nov 2031</v>
      </c>
      <c r="B38" s="13">
        <f>'1 - Titoli e shock'!D25</f>
        <v>48167</v>
      </c>
      <c r="C38" s="17">
        <f>'1 - Titoli e shock'!$B$7/10/('1 - Titoli e shock'!E25+'1 - Titoli e shock'!I25)</f>
        <v>204.28198352254859</v>
      </c>
      <c r="D38" s="20">
        <f>C38*(100-'1 - Titoli e shock'!$B$8*MAX(0,100-'1 - Titoli e shock'!E25))</f>
        <v>20340.357099340163</v>
      </c>
      <c r="E38" s="13">
        <f t="shared" si="13"/>
        <v>51820</v>
      </c>
      <c r="F38" s="19">
        <f>(B38-'1 - Titoli e shock'!$B$17)/365.25</f>
        <v>-4.9281314168377826</v>
      </c>
      <c r="G38" s="12">
        <f>IF(F38&lt;='1 - Titoli e shock'!$P$21,'1 - Titoli e shock'!$K$21,IF(F38&gt;='1 - Titoli e shock'!$P$35,'1 - Titoli e shock'!$K$35,INDEX('1 - Titoli e shock'!$K$21:$K$35,MATCH(F38,'1 - Titoli e shock'!$P$21:$P$35,1))+(INDEX('1 - Titoli e shock'!$K$21:$K$35,MATCH(F38,'1 - Titoli e shock'!$P$21:$P$35,1)+1)-INDEX('1 - Titoli e shock'!$K$21:$K$35,MATCH(F38,'1 - Titoli e shock'!$P$21:$P$35,1)))*(F38-INDEX('1 - Titoli e shock'!$P$21:$P$35,MATCH(F38,'1 - Titoli e shock'!$P$21:$P$35,1)))/(INDEX('1 - Titoli e shock'!$P$21:$P$35,MATCH(F38,'1 - Titoli e shock'!$P$21:$P$35,1)+1)-INDEX('1 - Titoli e shock'!$P$21:$P$35,MATCH(F38,'1 - Titoli e shock'!$P$21:$P$35,1)))))</f>
        <v>3.1842376340284639E-2</v>
      </c>
      <c r="H38" s="17">
        <f>IF(B38&lt;='1 - Titoli e shock'!$B$17,('1 - Titoli e shock'!$B$17-EDATE(B38,6*INT(DATEDIF(B38,'1 - Titoli e shock'!$B$17,"m")/6)))/(EDATE(B38,6*INT(DATEDIF(B38,'1 - Titoli e shock'!$B$17,"m")/6)+6)-EDATE(B38,6*INT(DATEDIF(B38,'1 - Titoli e shock'!$B$17,"m")/6))),0)</f>
        <v>0.85326086956521741</v>
      </c>
      <c r="I38" s="17">
        <f>IF(B38&gt;'1 - Titoli e shock'!$B$17,'1 - Titoli e shock'!C25*100/2*COUPDAYBS('1 - Titoli e shock'!$B$17,B38,2,1)/COUPDAYS('1 - Titoli e shock'!$B$17,B38,2,1),0)</f>
        <v>0</v>
      </c>
    </row>
    <row r="39" spans="1:21">
      <c r="A39" s="22" t="str">
        <f>'1 - Titoli e shock'!A26</f>
        <v>BTP 3,25% nov 2032</v>
      </c>
      <c r="B39" s="13">
        <f>'1 - Titoli e shock'!D26</f>
        <v>48533</v>
      </c>
      <c r="C39" s="17">
        <f>'1 - Titoli e shock'!$B$7/10/('1 - Titoli e shock'!E26+'1 - Titoli e shock'!I26)</f>
        <v>205.57826568476972</v>
      </c>
      <c r="D39" s="20">
        <f>C39*(100-'1 - Titoli e shock'!$B$8*MAX(0,100-'1 - Titoli e shock'!E26))</f>
        <v>20452.467707313528</v>
      </c>
      <c r="E39" s="13">
        <f t="shared" si="13"/>
        <v>52185</v>
      </c>
      <c r="F39" s="19">
        <f>(B39-'1 - Titoli e shock'!$B$17)/365.25</f>
        <v>-3.9260780287474333</v>
      </c>
      <c r="G39" s="12">
        <f>IF(F39&lt;='1 - Titoli e shock'!$P$21,'1 - Titoli e shock'!$K$21,IF(F39&gt;='1 - Titoli e shock'!$P$35,'1 - Titoli e shock'!$K$35,INDEX('1 - Titoli e shock'!$K$21:$K$35,MATCH(F39,'1 - Titoli e shock'!$P$21:$P$35,1))+(INDEX('1 - Titoli e shock'!$K$21:$K$35,MATCH(F39,'1 - Titoli e shock'!$P$21:$P$35,1)+1)-INDEX('1 - Titoli e shock'!$K$21:$K$35,MATCH(F39,'1 - Titoli e shock'!$P$21:$P$35,1)))*(F39-INDEX('1 - Titoli e shock'!$P$21:$P$35,MATCH(F39,'1 - Titoli e shock'!$P$21:$P$35,1)))/(INDEX('1 - Titoli e shock'!$P$21:$P$35,MATCH(F39,'1 - Titoli e shock'!$P$21:$P$35,1)+1)-INDEX('1 - Titoli e shock'!$P$21:$P$35,MATCH(F39,'1 - Titoli e shock'!$P$21:$P$35,1)))))</f>
        <v>3.1842376340284639E-2</v>
      </c>
      <c r="H39" s="17">
        <f>IF(B39&lt;='1 - Titoli e shock'!$B$17,('1 - Titoli e shock'!$B$17-EDATE(B39,6*INT(DATEDIF(B39,'1 - Titoli e shock'!$B$17,"m")/6)))/(EDATE(B39,6*INT(DATEDIF(B39,'1 - Titoli e shock'!$B$17,"m")/6)+6)-EDATE(B39,6*INT(DATEDIF(B39,'1 - Titoli e shock'!$B$17,"m")/6))),0)</f>
        <v>0.85326086956521741</v>
      </c>
      <c r="I39" s="17">
        <f>IF(B39&gt;'1 - Titoli e shock'!$B$17,'1 - Titoli e shock'!C26*100/2*COUPDAYBS('1 - Titoli e shock'!$B$17,B39,2,1)/COUPDAYS('1 - Titoli e shock'!$B$17,B39,2,1),0)</f>
        <v>0</v>
      </c>
    </row>
    <row r="40" spans="1:21">
      <c r="A40" s="22" t="str">
        <f>'1 - Titoli e shock'!A27</f>
        <v>BTP 4,35% nov 2033</v>
      </c>
      <c r="B40" s="13">
        <f>'1 - Titoli e shock'!D27</f>
        <v>48884</v>
      </c>
      <c r="C40" s="17">
        <f>'1 - Titoli e shock'!$B$7/10/('1 - Titoli e shock'!E27+'1 - Titoli e shock'!I27)</f>
        <v>193.72086455305623</v>
      </c>
      <c r="D40" s="20">
        <f>C40*(100-'1 - Titoli e shock'!$B$8*MAX(0,100-'1 - Titoli e shock'!E27))</f>
        <v>19372.086455305624</v>
      </c>
      <c r="E40" s="13">
        <f t="shared" si="13"/>
        <v>52536</v>
      </c>
      <c r="F40" s="19">
        <f>(B40-'1 - Titoli e shock'!$B$17)/365.25</f>
        <v>-2.9650924024640659</v>
      </c>
      <c r="G40" s="12">
        <f>IF(F40&lt;='1 - Titoli e shock'!$P$21,'1 - Titoli e shock'!$K$21,IF(F40&gt;='1 - Titoli e shock'!$P$35,'1 - Titoli e shock'!$K$35,INDEX('1 - Titoli e shock'!$K$21:$K$35,MATCH(F40,'1 - Titoli e shock'!$P$21:$P$35,1))+(INDEX('1 - Titoli e shock'!$K$21:$K$35,MATCH(F40,'1 - Titoli e shock'!$P$21:$P$35,1)+1)-INDEX('1 - Titoli e shock'!$K$21:$K$35,MATCH(F40,'1 - Titoli e shock'!$P$21:$P$35,1)))*(F40-INDEX('1 - Titoli e shock'!$P$21:$P$35,MATCH(F40,'1 - Titoli e shock'!$P$21:$P$35,1)))/(INDEX('1 - Titoli e shock'!$P$21:$P$35,MATCH(F40,'1 - Titoli e shock'!$P$21:$P$35,1)+1)-INDEX('1 - Titoli e shock'!$P$21:$P$35,MATCH(F40,'1 - Titoli e shock'!$P$21:$P$35,1)))))</f>
        <v>3.1842376340284639E-2</v>
      </c>
      <c r="H40" s="17">
        <f>IF(B40&lt;='1 - Titoli e shock'!$B$17,('1 - Titoli e shock'!$B$17-EDATE(B40,6*INT(DATEDIF(B40,'1 - Titoli e shock'!$B$17,"m")/6)))/(EDATE(B40,6*INT(DATEDIF(B40,'1 - Titoli e shock'!$B$17,"m")/6)+6)-EDATE(B40,6*INT(DATEDIF(B40,'1 - Titoli e shock'!$B$17,"m")/6))),0)</f>
        <v>0.92934782608695654</v>
      </c>
      <c r="I40" s="17">
        <f>IF(B40&gt;'1 - Titoli e shock'!$B$17,'1 - Titoli e shock'!C27*100/2*COUPDAYBS('1 - Titoli e shock'!$B$17,B40,2,1)/COUPDAYS('1 - Titoli e shock'!$B$17,B40,2,1),0)</f>
        <v>0</v>
      </c>
    </row>
    <row r="41" spans="1:21">
      <c r="A41" s="22" t="str">
        <f>'1 - Titoli e shock'!A28</f>
        <v>BTP 3,85% feb 2035</v>
      </c>
      <c r="B41" s="13">
        <f>'1 - Titoli e shock'!D28</f>
        <v>49341</v>
      </c>
      <c r="C41" s="17">
        <f>'1 - Titoli e shock'!$B$7/10/('1 - Titoli e shock'!E28+'1 - Titoli e shock'!I28)</f>
        <v>204.63185311659041</v>
      </c>
      <c r="D41" s="20">
        <f>C41*(100-'1 - Titoli e shock'!$B$8*MAX(0,100-'1 - Titoli e shock'!E28))</f>
        <v>20384.146258392757</v>
      </c>
      <c r="E41" s="13">
        <f t="shared" si="13"/>
        <v>52994</v>
      </c>
      <c r="F41" s="19">
        <f>(B41-'1 - Titoli e shock'!$B$17)/365.25</f>
        <v>-1.7138945927446954</v>
      </c>
      <c r="G41" s="12">
        <f>IF(F41&lt;='1 - Titoli e shock'!$P$21,'1 - Titoli e shock'!$K$21,IF(F41&gt;='1 - Titoli e shock'!$P$35,'1 - Titoli e shock'!$K$35,INDEX('1 - Titoli e shock'!$K$21:$K$35,MATCH(F41,'1 - Titoli e shock'!$P$21:$P$35,1))+(INDEX('1 - Titoli e shock'!$K$21:$K$35,MATCH(F41,'1 - Titoli e shock'!$P$21:$P$35,1)+1)-INDEX('1 - Titoli e shock'!$K$21:$K$35,MATCH(F41,'1 - Titoli e shock'!$P$21:$P$35,1)))*(F41-INDEX('1 - Titoli e shock'!$P$21:$P$35,MATCH(F41,'1 - Titoli e shock'!$P$21:$P$35,1)))/(INDEX('1 - Titoli e shock'!$P$21:$P$35,MATCH(F41,'1 - Titoli e shock'!$P$21:$P$35,1)+1)-INDEX('1 - Titoli e shock'!$P$21:$P$35,MATCH(F41,'1 - Titoli e shock'!$P$21:$P$35,1)))))</f>
        <v>3.1842376340284639E-2</v>
      </c>
      <c r="H41" s="17">
        <f>IF(B41&lt;='1 - Titoli e shock'!$B$17,('1 - Titoli e shock'!$B$17-EDATE(B41,6*INT(DATEDIF(B41,'1 - Titoli e shock'!$B$17,"m")/6)))/(EDATE(B41,6*INT(DATEDIF(B41,'1 - Titoli e shock'!$B$17,"m")/6)+6)-EDATE(B41,6*INT(DATEDIF(B41,'1 - Titoli e shock'!$B$17,"m")/6))),0)</f>
        <v>0.42934782608695654</v>
      </c>
      <c r="I41" s="17">
        <f>IF(B41&gt;'1 - Titoli e shock'!$B$17,'1 - Titoli e shock'!C28*100/2*COUPDAYBS('1 - Titoli e shock'!$B$17,B41,2,1)/COUPDAYS('1 - Titoli e shock'!$B$17,B41,2,1),0)</f>
        <v>0</v>
      </c>
    </row>
    <row r="42" spans="1:21">
      <c r="A42" s="22" t="str">
        <f>'1 - Titoli e shock'!A29</f>
        <v>BTP 3,60% ott 2035</v>
      </c>
      <c r="B42" s="13">
        <f>'1 - Titoli e shock'!D29</f>
        <v>49583</v>
      </c>
      <c r="C42" s="17">
        <f>'1 - Titoli e shock'!$B$7/10/('1 - Titoli e shock'!E29+'1 - Titoli e shock'!I29)</f>
        <v>211.24226702415359</v>
      </c>
      <c r="D42" s="20">
        <f>C42*(100-'1 - Titoli e shock'!$B$8*MAX(0,100-'1 - Titoli e shock'!E29))</f>
        <v>20978.997643836254</v>
      </c>
      <c r="E42" s="13">
        <f t="shared" si="13"/>
        <v>53236</v>
      </c>
      <c r="F42" s="19">
        <f>(B42-'1 - Titoli e shock'!$B$17)/365.25</f>
        <v>-1.0513347022587269</v>
      </c>
      <c r="G42" s="12">
        <f>IF(F42&lt;='1 - Titoli e shock'!$P$21,'1 - Titoli e shock'!$K$21,IF(F42&gt;='1 - Titoli e shock'!$P$35,'1 - Titoli e shock'!$K$35,INDEX('1 - Titoli e shock'!$K$21:$K$35,MATCH(F42,'1 - Titoli e shock'!$P$21:$P$35,1))+(INDEX('1 - Titoli e shock'!$K$21:$K$35,MATCH(F42,'1 - Titoli e shock'!$P$21:$P$35,1)+1)-INDEX('1 - Titoli e shock'!$K$21:$K$35,MATCH(F42,'1 - Titoli e shock'!$P$21:$P$35,1)))*(F42-INDEX('1 - Titoli e shock'!$P$21:$P$35,MATCH(F42,'1 - Titoli e shock'!$P$21:$P$35,1)))/(INDEX('1 - Titoli e shock'!$P$21:$P$35,MATCH(F42,'1 - Titoli e shock'!$P$21:$P$35,1)+1)-INDEX('1 - Titoli e shock'!$P$21:$P$35,MATCH(F42,'1 - Titoli e shock'!$P$21:$P$35,1)))))</f>
        <v>3.1842376340284639E-2</v>
      </c>
      <c r="H42" s="17">
        <f>IF(B42&lt;='1 - Titoli e shock'!$B$17,('1 - Titoli e shock'!$B$17-EDATE(B42,6*INT(DATEDIF(B42,'1 - Titoli e shock'!$B$17,"m")/6)))/(EDATE(B42,6*INT(DATEDIF(B42,'1 - Titoli e shock'!$B$17,"m")/6)+6)-EDATE(B42,6*INT(DATEDIF(B42,'1 - Titoli e shock'!$B$17,"m")/6))),0)</f>
        <v>9.8901098901098897E-2</v>
      </c>
      <c r="I42" s="17">
        <f>IF(B42&gt;'1 - Titoli e shock'!$B$17,'1 - Titoli e shock'!C29*100/2*COUPDAYBS('1 - Titoli e shock'!$B$17,B42,2,1)/COUPDAYS('1 - Titoli e shock'!$B$17,B42,2,1),0)</f>
        <v>0</v>
      </c>
    </row>
    <row r="43" spans="1:21">
      <c r="A43" s="22" t="str">
        <f>'1 - Titoli e shock'!A30</f>
        <v>BTP 4,00% ott 2036</v>
      </c>
      <c r="B43" s="13">
        <f>'1 - Titoli e shock'!D30</f>
        <v>49949</v>
      </c>
      <c r="C43" s="17">
        <f>'1 - Titoli e shock'!$B$7/10/('1 - Titoli e shock'!E30+'1 - Titoli e shock'!I30)</f>
        <v>206.82993351894993</v>
      </c>
      <c r="D43" s="20">
        <f>C43*(100-'1 - Titoli e shock'!$B$8*MAX(0,100-'1 - Titoli e shock'!E30))</f>
        <v>20592.505255980454</v>
      </c>
      <c r="E43" s="13">
        <f t="shared" si="13"/>
        <v>53601</v>
      </c>
      <c r="F43" s="19">
        <f>(B43-'1 - Titoli e shock'!$B$17)/365.25</f>
        <v>-4.9281314168377825E-2</v>
      </c>
      <c r="G43" s="12">
        <f>IF(F43&lt;='1 - Titoli e shock'!$P$21,'1 - Titoli e shock'!$K$21,IF(F43&gt;='1 - Titoli e shock'!$P$35,'1 - Titoli e shock'!$K$35,INDEX('1 - Titoli e shock'!$K$21:$K$35,MATCH(F43,'1 - Titoli e shock'!$P$21:$P$35,1))+(INDEX('1 - Titoli e shock'!$K$21:$K$35,MATCH(F43,'1 - Titoli e shock'!$P$21:$P$35,1)+1)-INDEX('1 - Titoli e shock'!$K$21:$K$35,MATCH(F43,'1 - Titoli e shock'!$P$21:$P$35,1)))*(F43-INDEX('1 - Titoli e shock'!$P$21:$P$35,MATCH(F43,'1 - Titoli e shock'!$P$21:$P$35,1)))/(INDEX('1 - Titoli e shock'!$P$21:$P$35,MATCH(F43,'1 - Titoli e shock'!$P$21:$P$35,1)+1)-INDEX('1 - Titoli e shock'!$P$21:$P$35,MATCH(F43,'1 - Titoli e shock'!$P$21:$P$35,1)))))</f>
        <v>3.1842376340284639E-2</v>
      </c>
      <c r="H43" s="17">
        <f>IF(B43&lt;='1 - Titoli e shock'!$B$17,('1 - Titoli e shock'!$B$17-EDATE(B43,6*INT(DATEDIF(B43,'1 - Titoli e shock'!$B$17,"m")/6)))/(EDATE(B43,6*INT(DATEDIF(B43,'1 - Titoli e shock'!$B$17,"m")/6)+6)-EDATE(B43,6*INT(DATEDIF(B43,'1 - Titoli e shock'!$B$17,"m")/6))),0)</f>
        <v>9.8901098901098897E-2</v>
      </c>
      <c r="I43" s="17">
        <f>IF(B43&gt;'1 - Titoli e shock'!$B$17,'1 - Titoli e shock'!C30*100/2*COUPDAYBS('1 - Titoli e shock'!$B$17,B43,2,1)/COUPDAYS('1 - Titoli e shock'!$B$17,B43,2,1),0)</f>
        <v>0</v>
      </c>
    </row>
    <row r="44" spans="1:21">
      <c r="A44" s="22" t="str">
        <f>'1 - Titoli e shock'!A33</f>
        <v>BTP 4,50% ott 2053</v>
      </c>
      <c r="B44" s="13">
        <f>'1 - Titoli e shock'!D33</f>
        <v>56158</v>
      </c>
      <c r="C44" s="17">
        <f>'1 - Titoli e shock'!R33/100</f>
        <v>2144.4840218266054</v>
      </c>
      <c r="F44" s="19">
        <f>(B44-'1 - Titoli e shock'!$B$17)/365.25</f>
        <v>16.950034223134839</v>
      </c>
      <c r="G44" s="12">
        <f>IF(F44&lt;='1 - Titoli e shock'!$P$21,'1 - Titoli e shock'!$K$21,IF(F44&gt;='1 - Titoli e shock'!$P$35,'1 - Titoli e shock'!$K$35,INDEX('1 - Titoli e shock'!$K$21:$K$35,MATCH(F44,'1 - Titoli e shock'!$P$21:$P$35,1))+(INDEX('1 - Titoli e shock'!$K$21:$K$35,MATCH(F44,'1 - Titoli e shock'!$P$21:$P$35,1)+1)-INDEX('1 - Titoli e shock'!$K$21:$K$35,MATCH(F44,'1 - Titoli e shock'!$P$21:$P$35,1)))*(F44-INDEX('1 - Titoli e shock'!$P$21:$P$35,MATCH(F44,'1 - Titoli e shock'!$P$21:$P$35,1)))/(INDEX('1 - Titoli e shock'!$P$21:$P$35,MATCH(F44,'1 - Titoli e shock'!$P$21:$P$35,1)+1)-INDEX('1 - Titoli e shock'!$P$21:$P$35,MATCH(F44,'1 - Titoli e shock'!$P$21:$P$35,1)))))</f>
        <v>4.8430853180945511E-2</v>
      </c>
      <c r="I44" s="17">
        <f>IF(B44&gt;'1 - Titoli e shock'!$B$17,'1 - Titoli e shock'!C33*100/2*COUPDAYBS('1 - Titoli e shock'!$B$17,B44,2,1)/COUPDAYS('1 - Titoli e shock'!$B$17,B44,2,1),0)</f>
        <v>0.22252747252747251</v>
      </c>
    </row>
    <row r="47" spans="1:21">
      <c r="A47" s="36" t="s">
        <v>245</v>
      </c>
      <c r="B47" s="33"/>
      <c r="C47" s="33"/>
      <c r="D47" s="33"/>
      <c r="E47" s="33"/>
      <c r="F47" s="33"/>
      <c r="G47" s="33"/>
      <c r="H47" s="33"/>
      <c r="I47" s="33"/>
      <c r="J47" s="33"/>
    </row>
    <row r="48" spans="1:21">
      <c r="A48" s="22" t="str">
        <f t="shared" ref="A48:A57" si="14">A34</f>
        <v>BTP 2,70% ott 2027</v>
      </c>
      <c r="F48" s="20">
        <f>IF($B$34&gt;'1 - Titoli e shock'!$B$17,(PRICE('1 - Titoli e shock'!$B$17,$B$34,'1 - Titoli e shock'!$C$21,2*((1+$G$34+F$5/100)^0.5-1),100,2,1)+$I$34-'1 - Titoli e shock'!$B$8*(MAX(0,PRICE('1 - Titoli e shock'!$B$17,$B$34,'1 - Titoli e shock'!$C$21,2*((1+$G$34+F$5/100)^0.5-1),100,2,1)-'1 - Titoli e shock'!$E$21)+$I$34))*$C$34,0)</f>
        <v>0</v>
      </c>
      <c r="G48" s="20">
        <f>IF($B$34&gt;'1 - Titoli e shock'!$B$17,(PRICE('1 - Titoli e shock'!$B$17,$B$34,'1 - Titoli e shock'!$C$21,2*((1+$G$34+G$5/100)^0.5-1),100,2,1)+$I$34-'1 - Titoli e shock'!$B$8*(MAX(0,PRICE('1 - Titoli e shock'!$B$17,$B$34,'1 - Titoli e shock'!$C$21,2*((1+$G$34+G$5/100)^0.5-1),100,2,1)-'1 - Titoli e shock'!$E$21)+$I$34))*$C$34,0)</f>
        <v>0</v>
      </c>
      <c r="H48" s="20">
        <f>IF($B$34&gt;'1 - Titoli e shock'!$B$17,(PRICE('1 - Titoli e shock'!$B$17,$B$34,'1 - Titoli e shock'!$C$21,2*((1+$G$34+H$5/100)^0.5-1),100,2,1)+$I$34-'1 - Titoli e shock'!$B$8*(MAX(0,PRICE('1 - Titoli e shock'!$B$17,$B$34,'1 - Titoli e shock'!$C$21,2*((1+$G$34+H$5/100)^0.5-1),100,2,1)-'1 - Titoli e shock'!$E$21)+$I$34))*$C$34,0)</f>
        <v>0</v>
      </c>
      <c r="I48" s="20">
        <f>IF($B$34&gt;'1 - Titoli e shock'!$B$17,(PRICE('1 - Titoli e shock'!$B$17,$B$34,'1 - Titoli e shock'!$C$21,2*((1+$G$34+I$5/100)^0.5-1),100,2,1)+$I$34-'1 - Titoli e shock'!$B$8*(MAX(0,PRICE('1 - Titoli e shock'!$B$17,$B$34,'1 - Titoli e shock'!$C$21,2*((1+$G$34+I$5/100)^0.5-1),100,2,1)-'1 - Titoli e shock'!$E$21)+$I$34))*$C$34,0)</f>
        <v>0</v>
      </c>
      <c r="J48" s="20">
        <f>IF($B$34&gt;'1 - Titoli e shock'!$B$17,(PRICE('1 - Titoli e shock'!$B$17,$B$34,'1 - Titoli e shock'!$C$21,2*((1+$G$34+J$5/100)^0.5-1),100,2,1)+$I$34-'1 - Titoli e shock'!$B$8*(MAX(0,PRICE('1 - Titoli e shock'!$B$17,$B$34,'1 - Titoli e shock'!$C$21,2*((1+$G$34+J$5/100)^0.5-1),100,2,1)-'1 - Titoli e shock'!$E$21)+$I$34))*$C$34,0)</f>
        <v>0</v>
      </c>
      <c r="K48" s="20">
        <f>IF($B$34&gt;'1 - Titoli e shock'!$B$17,(PRICE('1 - Titoli e shock'!$B$17,$B$34,'1 - Titoli e shock'!$C$21,2*((1+$G$34+K$5/100)^0.5-1),100,2,1)+$I$34-'1 - Titoli e shock'!$B$8*(MAX(0,PRICE('1 - Titoli e shock'!$B$17,$B$34,'1 - Titoli e shock'!$C$21,2*((1+$G$34+K$5/100)^0.5-1),100,2,1)-'1 - Titoli e shock'!$E$21)+$I$34))*$C$34,0)</f>
        <v>0</v>
      </c>
      <c r="L48" s="20">
        <f>IF($B$34&gt;'1 - Titoli e shock'!$B$17,(PRICE('1 - Titoli e shock'!$B$17,$B$34,'1 - Titoli e shock'!$C$21,2*((1+$G$34+L$5/100)^0.5-1),100,2,1)+$I$34-'1 - Titoli e shock'!$B$8*(MAX(0,PRICE('1 - Titoli e shock'!$B$17,$B$34,'1 - Titoli e shock'!$C$21,2*((1+$G$34+L$5/100)^0.5-1),100,2,1)-'1 - Titoli e shock'!$E$21)+$I$34))*$C$34,0)</f>
        <v>0</v>
      </c>
      <c r="M48" s="20">
        <f>IF($B$34&gt;'1 - Titoli e shock'!$B$17,(PRICE('1 - Titoli e shock'!$B$17,$B$34,'1 - Titoli e shock'!$C$21,2*((1+$G$34+M$5/100)^0.5-1),100,2,1)+$I$34-'1 - Titoli e shock'!$B$8*(MAX(0,PRICE('1 - Titoli e shock'!$B$17,$B$34,'1 - Titoli e shock'!$C$21,2*((1+$G$34+M$5/100)^0.5-1),100,2,1)-'1 - Titoli e shock'!$E$21)+$I$34))*$C$34,0)</f>
        <v>0</v>
      </c>
      <c r="N48" s="20">
        <f>IF($B$34&gt;'1 - Titoli e shock'!$B$17,(PRICE('1 - Titoli e shock'!$B$17,$B$34,'1 - Titoli e shock'!$C$21,2*((1+$G$34+N$5/100)^0.5-1),100,2,1)+$I$34-'1 - Titoli e shock'!$B$8*(MAX(0,PRICE('1 - Titoli e shock'!$B$17,$B$34,'1 - Titoli e shock'!$C$21,2*((1+$G$34+N$5/100)^0.5-1),100,2,1)-'1 - Titoli e shock'!$E$21)+$I$34))*$C$34,0)</f>
        <v>0</v>
      </c>
      <c r="O48" s="20">
        <f>IF($B$34&gt;'1 - Titoli e shock'!$B$17,(PRICE('1 - Titoli e shock'!$B$17,$B$34,'1 - Titoli e shock'!$C$21,2*((1+$G$34+O$5/100)^0.5-1),100,2,1)+$I$34-'1 - Titoli e shock'!$B$8*(MAX(0,PRICE('1 - Titoli e shock'!$B$17,$B$34,'1 - Titoli e shock'!$C$21,2*((1+$G$34+O$5/100)^0.5-1),100,2,1)-'1 - Titoli e shock'!$E$21)+$I$34))*$C$34,0)</f>
        <v>0</v>
      </c>
      <c r="P48" s="20">
        <f>IF($B$34&gt;'1 - Titoli e shock'!$B$17,(PRICE('1 - Titoli e shock'!$B$17,$B$34,'1 - Titoli e shock'!$C$21,2*((1+$G$34+P$5/100)^0.5-1),100,2,1)+$I$34-'1 - Titoli e shock'!$B$8*(MAX(0,PRICE('1 - Titoli e shock'!$B$17,$B$34,'1 - Titoli e shock'!$C$21,2*((1+$G$34+P$5/100)^0.5-1),100,2,1)-'1 - Titoli e shock'!$E$21)+$I$34))*$C$34,0)</f>
        <v>0</v>
      </c>
      <c r="Q48" s="20">
        <f>IF($B$34&gt;'1 - Titoli e shock'!$B$17,(PRICE('1 - Titoli e shock'!$B$17,$B$34,'1 - Titoli e shock'!$C$21,2*((1+$G$34+Q$5/100)^0.5-1),100,2,1)+$I$34-'1 - Titoli e shock'!$B$8*(MAX(0,PRICE('1 - Titoli e shock'!$B$17,$B$34,'1 - Titoli e shock'!$C$21,2*((1+$G$34+Q$5/100)^0.5-1),100,2,1)-'1 - Titoli e shock'!$E$21)+$I$34))*$C$34,0)</f>
        <v>0</v>
      </c>
      <c r="R48" s="20">
        <f>IF($B$34&gt;'1 - Titoli e shock'!$B$17,(PRICE('1 - Titoli e shock'!$B$17,$B$34,'1 - Titoli e shock'!$C$21,2*((1+$G$34+R$5/100)^0.5-1),100,2,1)+$I$34-'1 - Titoli e shock'!$B$8*(MAX(0,PRICE('1 - Titoli e shock'!$B$17,$B$34,'1 - Titoli e shock'!$C$21,2*((1+$G$34+R$5/100)^0.5-1),100,2,1)-'1 - Titoli e shock'!$E$21)+$I$34))*$C$34,0)</f>
        <v>0</v>
      </c>
      <c r="S48" s="20">
        <f>IF($B$34&gt;'1 - Titoli e shock'!$B$17,(PRICE('1 - Titoli e shock'!$B$17,$B$34,'1 - Titoli e shock'!$C$21,2*((1+$G$34+S$5/100)^0.5-1),100,2,1)+$I$34-'1 - Titoli e shock'!$B$8*(MAX(0,PRICE('1 - Titoli e shock'!$B$17,$B$34,'1 - Titoli e shock'!$C$21,2*((1+$G$34+S$5/100)^0.5-1),100,2,1)-'1 - Titoli e shock'!$E$21)+$I$34))*$C$34,0)</f>
        <v>0</v>
      </c>
      <c r="T48" s="20">
        <f>IF($B$34&gt;'1 - Titoli e shock'!$B$17,(PRICE('1 - Titoli e shock'!$B$17,$B$34,'1 - Titoli e shock'!$C$21,2*((1+$G$34+T$5/100)^0.5-1),100,2,1)+$I$34-'1 - Titoli e shock'!$B$8*(MAX(0,PRICE('1 - Titoli e shock'!$B$17,$B$34,'1 - Titoli e shock'!$C$21,2*((1+$G$34+T$5/100)^0.5-1),100,2,1)-'1 - Titoli e shock'!$E$21)+$I$34))*$C$34,0)</f>
        <v>0</v>
      </c>
      <c r="U48" s="20">
        <f>IF($B$34&gt;'1 - Titoli e shock'!$B$17,(PRICE('1 - Titoli e shock'!$B$17,$B$34,'1 - Titoli e shock'!$C$21,2*((1+$G$34+U$5/100)^0.5-1),100,2,1)+$I$34-'1 - Titoli e shock'!$B$8*(MAX(0,PRICE('1 - Titoli e shock'!$B$17,$B$34,'1 - Titoli e shock'!$C$21,2*((1+$G$34+U$5/100)^0.5-1),100,2,1)-'1 - Titoli e shock'!$E$21)+$I$34))*$C$34,0)</f>
        <v>0</v>
      </c>
    </row>
    <row r="49" spans="1:21">
      <c r="A49" s="22" t="str">
        <f t="shared" si="14"/>
        <v>BTP 2,80% dic 2028</v>
      </c>
      <c r="F49" s="20">
        <f>IF($B$35&gt;'1 - Titoli e shock'!$B$17,(PRICE('1 - Titoli e shock'!$B$17,$B$35,'1 - Titoli e shock'!$C$22,2*((1+$G$35+F$5/100)^0.5-1),100,2,1)+$I$35-'1 - Titoli e shock'!$B$8*(MAX(0,PRICE('1 - Titoli e shock'!$B$17,$B$35,'1 - Titoli e shock'!$C$22,2*((1+$G$35+F$5/100)^0.5-1),100,2,1)-'1 - Titoli e shock'!$E$22)+$I$35))*$C$35,0)</f>
        <v>0</v>
      </c>
      <c r="G49" s="20">
        <f>IF($B$35&gt;'1 - Titoli e shock'!$B$17,(PRICE('1 - Titoli e shock'!$B$17,$B$35,'1 - Titoli e shock'!$C$22,2*((1+$G$35+G$5/100)^0.5-1),100,2,1)+$I$35-'1 - Titoli e shock'!$B$8*(MAX(0,PRICE('1 - Titoli e shock'!$B$17,$B$35,'1 - Titoli e shock'!$C$22,2*((1+$G$35+G$5/100)^0.5-1),100,2,1)-'1 - Titoli e shock'!$E$22)+$I$35))*$C$35,0)</f>
        <v>0</v>
      </c>
      <c r="H49" s="20">
        <f>IF($B$35&gt;'1 - Titoli e shock'!$B$17,(PRICE('1 - Titoli e shock'!$B$17,$B$35,'1 - Titoli e shock'!$C$22,2*((1+$G$35+H$5/100)^0.5-1),100,2,1)+$I$35-'1 - Titoli e shock'!$B$8*(MAX(0,PRICE('1 - Titoli e shock'!$B$17,$B$35,'1 - Titoli e shock'!$C$22,2*((1+$G$35+H$5/100)^0.5-1),100,2,1)-'1 - Titoli e shock'!$E$22)+$I$35))*$C$35,0)</f>
        <v>0</v>
      </c>
      <c r="I49" s="20">
        <f>IF($B$35&gt;'1 - Titoli e shock'!$B$17,(PRICE('1 - Titoli e shock'!$B$17,$B$35,'1 - Titoli e shock'!$C$22,2*((1+$G$35+I$5/100)^0.5-1),100,2,1)+$I$35-'1 - Titoli e shock'!$B$8*(MAX(0,PRICE('1 - Titoli e shock'!$B$17,$B$35,'1 - Titoli e shock'!$C$22,2*((1+$G$35+I$5/100)^0.5-1),100,2,1)-'1 - Titoli e shock'!$E$22)+$I$35))*$C$35,0)</f>
        <v>0</v>
      </c>
      <c r="J49" s="20">
        <f>IF($B$35&gt;'1 - Titoli e shock'!$B$17,(PRICE('1 - Titoli e shock'!$B$17,$B$35,'1 - Titoli e shock'!$C$22,2*((1+$G$35+J$5/100)^0.5-1),100,2,1)+$I$35-'1 - Titoli e shock'!$B$8*(MAX(0,PRICE('1 - Titoli e shock'!$B$17,$B$35,'1 - Titoli e shock'!$C$22,2*((1+$G$35+J$5/100)^0.5-1),100,2,1)-'1 - Titoli e shock'!$E$22)+$I$35))*$C$35,0)</f>
        <v>0</v>
      </c>
      <c r="K49" s="20">
        <f>IF($B$35&gt;'1 - Titoli e shock'!$B$17,(PRICE('1 - Titoli e shock'!$B$17,$B$35,'1 - Titoli e shock'!$C$22,2*((1+$G$35+K$5/100)^0.5-1),100,2,1)+$I$35-'1 - Titoli e shock'!$B$8*(MAX(0,PRICE('1 - Titoli e shock'!$B$17,$B$35,'1 - Titoli e shock'!$C$22,2*((1+$G$35+K$5/100)^0.5-1),100,2,1)-'1 - Titoli e shock'!$E$22)+$I$35))*$C$35,0)</f>
        <v>0</v>
      </c>
      <c r="L49" s="20">
        <f>IF($B$35&gt;'1 - Titoli e shock'!$B$17,(PRICE('1 - Titoli e shock'!$B$17,$B$35,'1 - Titoli e shock'!$C$22,2*((1+$G$35+L$5/100)^0.5-1),100,2,1)+$I$35-'1 - Titoli e shock'!$B$8*(MAX(0,PRICE('1 - Titoli e shock'!$B$17,$B$35,'1 - Titoli e shock'!$C$22,2*((1+$G$35+L$5/100)^0.5-1),100,2,1)-'1 - Titoli e shock'!$E$22)+$I$35))*$C$35,0)</f>
        <v>0</v>
      </c>
      <c r="M49" s="20">
        <f>IF($B$35&gt;'1 - Titoli e shock'!$B$17,(PRICE('1 - Titoli e shock'!$B$17,$B$35,'1 - Titoli e shock'!$C$22,2*((1+$G$35+M$5/100)^0.5-1),100,2,1)+$I$35-'1 - Titoli e shock'!$B$8*(MAX(0,PRICE('1 - Titoli e shock'!$B$17,$B$35,'1 - Titoli e shock'!$C$22,2*((1+$G$35+M$5/100)^0.5-1),100,2,1)-'1 - Titoli e shock'!$E$22)+$I$35))*$C$35,0)</f>
        <v>0</v>
      </c>
      <c r="N49" s="20">
        <f>IF($B$35&gt;'1 - Titoli e shock'!$B$17,(PRICE('1 - Titoli e shock'!$B$17,$B$35,'1 - Titoli e shock'!$C$22,2*((1+$G$35+N$5/100)^0.5-1),100,2,1)+$I$35-'1 - Titoli e shock'!$B$8*(MAX(0,PRICE('1 - Titoli e shock'!$B$17,$B$35,'1 - Titoli e shock'!$C$22,2*((1+$G$35+N$5/100)^0.5-1),100,2,1)-'1 - Titoli e shock'!$E$22)+$I$35))*$C$35,0)</f>
        <v>0</v>
      </c>
      <c r="O49" s="20">
        <f>IF($B$35&gt;'1 - Titoli e shock'!$B$17,(PRICE('1 - Titoli e shock'!$B$17,$B$35,'1 - Titoli e shock'!$C$22,2*((1+$G$35+O$5/100)^0.5-1),100,2,1)+$I$35-'1 - Titoli e shock'!$B$8*(MAX(0,PRICE('1 - Titoli e shock'!$B$17,$B$35,'1 - Titoli e shock'!$C$22,2*((1+$G$35+O$5/100)^0.5-1),100,2,1)-'1 - Titoli e shock'!$E$22)+$I$35))*$C$35,0)</f>
        <v>0</v>
      </c>
      <c r="P49" s="20">
        <f>IF($B$35&gt;'1 - Titoli e shock'!$B$17,(PRICE('1 - Titoli e shock'!$B$17,$B$35,'1 - Titoli e shock'!$C$22,2*((1+$G$35+P$5/100)^0.5-1),100,2,1)+$I$35-'1 - Titoli e shock'!$B$8*(MAX(0,PRICE('1 - Titoli e shock'!$B$17,$B$35,'1 - Titoli e shock'!$C$22,2*((1+$G$35+P$5/100)^0.5-1),100,2,1)-'1 - Titoli e shock'!$E$22)+$I$35))*$C$35,0)</f>
        <v>0</v>
      </c>
      <c r="Q49" s="20">
        <f>IF($B$35&gt;'1 - Titoli e shock'!$B$17,(PRICE('1 - Titoli e shock'!$B$17,$B$35,'1 - Titoli e shock'!$C$22,2*((1+$G$35+Q$5/100)^0.5-1),100,2,1)+$I$35-'1 - Titoli e shock'!$B$8*(MAX(0,PRICE('1 - Titoli e shock'!$B$17,$B$35,'1 - Titoli e shock'!$C$22,2*((1+$G$35+Q$5/100)^0.5-1),100,2,1)-'1 - Titoli e shock'!$E$22)+$I$35))*$C$35,0)</f>
        <v>0</v>
      </c>
      <c r="R49" s="20">
        <f>IF($B$35&gt;'1 - Titoli e shock'!$B$17,(PRICE('1 - Titoli e shock'!$B$17,$B$35,'1 - Titoli e shock'!$C$22,2*((1+$G$35+R$5/100)^0.5-1),100,2,1)+$I$35-'1 - Titoli e shock'!$B$8*(MAX(0,PRICE('1 - Titoli e shock'!$B$17,$B$35,'1 - Titoli e shock'!$C$22,2*((1+$G$35+R$5/100)^0.5-1),100,2,1)-'1 - Titoli e shock'!$E$22)+$I$35))*$C$35,0)</f>
        <v>0</v>
      </c>
      <c r="S49" s="20">
        <f>IF($B$35&gt;'1 - Titoli e shock'!$B$17,(PRICE('1 - Titoli e shock'!$B$17,$B$35,'1 - Titoli e shock'!$C$22,2*((1+$G$35+S$5/100)^0.5-1),100,2,1)+$I$35-'1 - Titoli e shock'!$B$8*(MAX(0,PRICE('1 - Titoli e shock'!$B$17,$B$35,'1 - Titoli e shock'!$C$22,2*((1+$G$35+S$5/100)^0.5-1),100,2,1)-'1 - Titoli e shock'!$E$22)+$I$35))*$C$35,0)</f>
        <v>0</v>
      </c>
      <c r="T49" s="20">
        <f>IF($B$35&gt;'1 - Titoli e shock'!$B$17,(PRICE('1 - Titoli e shock'!$B$17,$B$35,'1 - Titoli e shock'!$C$22,2*((1+$G$35+T$5/100)^0.5-1),100,2,1)+$I$35-'1 - Titoli e shock'!$B$8*(MAX(0,PRICE('1 - Titoli e shock'!$B$17,$B$35,'1 - Titoli e shock'!$C$22,2*((1+$G$35+T$5/100)^0.5-1),100,2,1)-'1 - Titoli e shock'!$E$22)+$I$35))*$C$35,0)</f>
        <v>0</v>
      </c>
      <c r="U49" s="20">
        <f>IF($B$35&gt;'1 - Titoli e shock'!$B$17,(PRICE('1 - Titoli e shock'!$B$17,$B$35,'1 - Titoli e shock'!$C$22,2*((1+$G$35+U$5/100)^0.5-1),100,2,1)+$I$35-'1 - Titoli e shock'!$B$8*(MAX(0,PRICE('1 - Titoli e shock'!$B$17,$B$35,'1 - Titoli e shock'!$C$22,2*((1+$G$35+U$5/100)^0.5-1),100,2,1)-'1 - Titoli e shock'!$E$22)+$I$35))*$C$35,0)</f>
        <v>0</v>
      </c>
    </row>
    <row r="50" spans="1:21">
      <c r="A50" s="22" t="str">
        <f t="shared" si="14"/>
        <v>BTP 3,00% ott 2029</v>
      </c>
      <c r="F50" s="20">
        <f>IF($B$36&gt;'1 - Titoli e shock'!$B$17,(PRICE('1 - Titoli e shock'!$B$17,$B$36,'1 - Titoli e shock'!$C$23,2*((1+$G$36+F$5/100)^0.5-1),100,2,1)+$I$36-'1 - Titoli e shock'!$B$8*(MAX(0,PRICE('1 - Titoli e shock'!$B$17,$B$36,'1 - Titoli e shock'!$C$23,2*((1+$G$36+F$5/100)^0.5-1),100,2,1)-'1 - Titoli e shock'!$E$23)+$I$36))*$C$36,0)</f>
        <v>0</v>
      </c>
      <c r="G50" s="20">
        <f>IF($B$36&gt;'1 - Titoli e shock'!$B$17,(PRICE('1 - Titoli e shock'!$B$17,$B$36,'1 - Titoli e shock'!$C$23,2*((1+$G$36+G$5/100)^0.5-1),100,2,1)+$I$36-'1 - Titoli e shock'!$B$8*(MAX(0,PRICE('1 - Titoli e shock'!$B$17,$B$36,'1 - Titoli e shock'!$C$23,2*((1+$G$36+G$5/100)^0.5-1),100,2,1)-'1 - Titoli e shock'!$E$23)+$I$36))*$C$36,0)</f>
        <v>0</v>
      </c>
      <c r="H50" s="20">
        <f>IF($B$36&gt;'1 - Titoli e shock'!$B$17,(PRICE('1 - Titoli e shock'!$B$17,$B$36,'1 - Titoli e shock'!$C$23,2*((1+$G$36+H$5/100)^0.5-1),100,2,1)+$I$36-'1 - Titoli e shock'!$B$8*(MAX(0,PRICE('1 - Titoli e shock'!$B$17,$B$36,'1 - Titoli e shock'!$C$23,2*((1+$G$36+H$5/100)^0.5-1),100,2,1)-'1 - Titoli e shock'!$E$23)+$I$36))*$C$36,0)</f>
        <v>0</v>
      </c>
      <c r="I50" s="20">
        <f>IF($B$36&gt;'1 - Titoli e shock'!$B$17,(PRICE('1 - Titoli e shock'!$B$17,$B$36,'1 - Titoli e shock'!$C$23,2*((1+$G$36+I$5/100)^0.5-1),100,2,1)+$I$36-'1 - Titoli e shock'!$B$8*(MAX(0,PRICE('1 - Titoli e shock'!$B$17,$B$36,'1 - Titoli e shock'!$C$23,2*((1+$G$36+I$5/100)^0.5-1),100,2,1)-'1 - Titoli e shock'!$E$23)+$I$36))*$C$36,0)</f>
        <v>0</v>
      </c>
      <c r="J50" s="20">
        <f>IF($B$36&gt;'1 - Titoli e shock'!$B$17,(PRICE('1 - Titoli e shock'!$B$17,$B$36,'1 - Titoli e shock'!$C$23,2*((1+$G$36+J$5/100)^0.5-1),100,2,1)+$I$36-'1 - Titoli e shock'!$B$8*(MAX(0,PRICE('1 - Titoli e shock'!$B$17,$B$36,'1 - Titoli e shock'!$C$23,2*((1+$G$36+J$5/100)^0.5-1),100,2,1)-'1 - Titoli e shock'!$E$23)+$I$36))*$C$36,0)</f>
        <v>0</v>
      </c>
      <c r="K50" s="20">
        <f>IF($B$36&gt;'1 - Titoli e shock'!$B$17,(PRICE('1 - Titoli e shock'!$B$17,$B$36,'1 - Titoli e shock'!$C$23,2*((1+$G$36+K$5/100)^0.5-1),100,2,1)+$I$36-'1 - Titoli e shock'!$B$8*(MAX(0,PRICE('1 - Titoli e shock'!$B$17,$B$36,'1 - Titoli e shock'!$C$23,2*((1+$G$36+K$5/100)^0.5-1),100,2,1)-'1 - Titoli e shock'!$E$23)+$I$36))*$C$36,0)</f>
        <v>0</v>
      </c>
      <c r="L50" s="20">
        <f>IF($B$36&gt;'1 - Titoli e shock'!$B$17,(PRICE('1 - Titoli e shock'!$B$17,$B$36,'1 - Titoli e shock'!$C$23,2*((1+$G$36+L$5/100)^0.5-1),100,2,1)+$I$36-'1 - Titoli e shock'!$B$8*(MAX(0,PRICE('1 - Titoli e shock'!$B$17,$B$36,'1 - Titoli e shock'!$C$23,2*((1+$G$36+L$5/100)^0.5-1),100,2,1)-'1 - Titoli e shock'!$E$23)+$I$36))*$C$36,0)</f>
        <v>0</v>
      </c>
      <c r="M50" s="20">
        <f>IF($B$36&gt;'1 - Titoli e shock'!$B$17,(PRICE('1 - Titoli e shock'!$B$17,$B$36,'1 - Titoli e shock'!$C$23,2*((1+$G$36+M$5/100)^0.5-1),100,2,1)+$I$36-'1 - Titoli e shock'!$B$8*(MAX(0,PRICE('1 - Titoli e shock'!$B$17,$B$36,'1 - Titoli e shock'!$C$23,2*((1+$G$36+M$5/100)^0.5-1),100,2,1)-'1 - Titoli e shock'!$E$23)+$I$36))*$C$36,0)</f>
        <v>0</v>
      </c>
      <c r="N50" s="20">
        <f>IF($B$36&gt;'1 - Titoli e shock'!$B$17,(PRICE('1 - Titoli e shock'!$B$17,$B$36,'1 - Titoli e shock'!$C$23,2*((1+$G$36+N$5/100)^0.5-1),100,2,1)+$I$36-'1 - Titoli e shock'!$B$8*(MAX(0,PRICE('1 - Titoli e shock'!$B$17,$B$36,'1 - Titoli e shock'!$C$23,2*((1+$G$36+N$5/100)^0.5-1),100,2,1)-'1 - Titoli e shock'!$E$23)+$I$36))*$C$36,0)</f>
        <v>0</v>
      </c>
      <c r="O50" s="20">
        <f>IF($B$36&gt;'1 - Titoli e shock'!$B$17,(PRICE('1 - Titoli e shock'!$B$17,$B$36,'1 - Titoli e shock'!$C$23,2*((1+$G$36+O$5/100)^0.5-1),100,2,1)+$I$36-'1 - Titoli e shock'!$B$8*(MAX(0,PRICE('1 - Titoli e shock'!$B$17,$B$36,'1 - Titoli e shock'!$C$23,2*((1+$G$36+O$5/100)^0.5-1),100,2,1)-'1 - Titoli e shock'!$E$23)+$I$36))*$C$36,0)</f>
        <v>0</v>
      </c>
      <c r="P50" s="20">
        <f>IF($B$36&gt;'1 - Titoli e shock'!$B$17,(PRICE('1 - Titoli e shock'!$B$17,$B$36,'1 - Titoli e shock'!$C$23,2*((1+$G$36+P$5/100)^0.5-1),100,2,1)+$I$36-'1 - Titoli e shock'!$B$8*(MAX(0,PRICE('1 - Titoli e shock'!$B$17,$B$36,'1 - Titoli e shock'!$C$23,2*((1+$G$36+P$5/100)^0.5-1),100,2,1)-'1 - Titoli e shock'!$E$23)+$I$36))*$C$36,0)</f>
        <v>0</v>
      </c>
      <c r="Q50" s="20">
        <f>IF($B$36&gt;'1 - Titoli e shock'!$B$17,(PRICE('1 - Titoli e shock'!$B$17,$B$36,'1 - Titoli e shock'!$C$23,2*((1+$G$36+Q$5/100)^0.5-1),100,2,1)+$I$36-'1 - Titoli e shock'!$B$8*(MAX(0,PRICE('1 - Titoli e shock'!$B$17,$B$36,'1 - Titoli e shock'!$C$23,2*((1+$G$36+Q$5/100)^0.5-1),100,2,1)-'1 - Titoli e shock'!$E$23)+$I$36))*$C$36,0)</f>
        <v>0</v>
      </c>
      <c r="R50" s="20">
        <f>IF($B$36&gt;'1 - Titoli e shock'!$B$17,(PRICE('1 - Titoli e shock'!$B$17,$B$36,'1 - Titoli e shock'!$C$23,2*((1+$G$36+R$5/100)^0.5-1),100,2,1)+$I$36-'1 - Titoli e shock'!$B$8*(MAX(0,PRICE('1 - Titoli e shock'!$B$17,$B$36,'1 - Titoli e shock'!$C$23,2*((1+$G$36+R$5/100)^0.5-1),100,2,1)-'1 - Titoli e shock'!$E$23)+$I$36))*$C$36,0)</f>
        <v>0</v>
      </c>
      <c r="S50" s="20">
        <f>IF($B$36&gt;'1 - Titoli e shock'!$B$17,(PRICE('1 - Titoli e shock'!$B$17,$B$36,'1 - Titoli e shock'!$C$23,2*((1+$G$36+S$5/100)^0.5-1),100,2,1)+$I$36-'1 - Titoli e shock'!$B$8*(MAX(0,PRICE('1 - Titoli e shock'!$B$17,$B$36,'1 - Titoli e shock'!$C$23,2*((1+$G$36+S$5/100)^0.5-1),100,2,1)-'1 - Titoli e shock'!$E$23)+$I$36))*$C$36,0)</f>
        <v>0</v>
      </c>
      <c r="T50" s="20">
        <f>IF($B$36&gt;'1 - Titoli e shock'!$B$17,(PRICE('1 - Titoli e shock'!$B$17,$B$36,'1 - Titoli e shock'!$C$23,2*((1+$G$36+T$5/100)^0.5-1),100,2,1)+$I$36-'1 - Titoli e shock'!$B$8*(MAX(0,PRICE('1 - Titoli e shock'!$B$17,$B$36,'1 - Titoli e shock'!$C$23,2*((1+$G$36+T$5/100)^0.5-1),100,2,1)-'1 - Titoli e shock'!$E$23)+$I$36))*$C$36,0)</f>
        <v>0</v>
      </c>
      <c r="U50" s="20">
        <f>IF($B$36&gt;'1 - Titoli e shock'!$B$17,(PRICE('1 - Titoli e shock'!$B$17,$B$36,'1 - Titoli e shock'!$C$23,2*((1+$G$36+U$5/100)^0.5-1),100,2,1)+$I$36-'1 - Titoli e shock'!$B$8*(MAX(0,PRICE('1 - Titoli e shock'!$B$17,$B$36,'1 - Titoli e shock'!$C$23,2*((1+$G$36+U$5/100)^0.5-1),100,2,1)-'1 - Titoli e shock'!$E$23)+$I$36))*$C$36,0)</f>
        <v>0</v>
      </c>
    </row>
    <row r="51" spans="1:21">
      <c r="A51" s="22" t="str">
        <f t="shared" si="14"/>
        <v>BTP 2,70% ott 2030</v>
      </c>
      <c r="F51" s="20">
        <f>IF($B$37&gt;'1 - Titoli e shock'!$B$17,(PRICE('1 - Titoli e shock'!$B$17,$B$37,'1 - Titoli e shock'!$C$24,2*((1+$G$37+F$5/100)^0.5-1),100,2,1)+$I$37-'1 - Titoli e shock'!$B$8*(MAX(0,PRICE('1 - Titoli e shock'!$B$17,$B$37,'1 - Titoli e shock'!$C$24,2*((1+$G$37+F$5/100)^0.5-1),100,2,1)-'1 - Titoli e shock'!$E$24)+$I$37))*$C$37,0)</f>
        <v>0</v>
      </c>
      <c r="G51" s="20">
        <f>IF($B$37&gt;'1 - Titoli e shock'!$B$17,(PRICE('1 - Titoli e shock'!$B$17,$B$37,'1 - Titoli e shock'!$C$24,2*((1+$G$37+G$5/100)^0.5-1),100,2,1)+$I$37-'1 - Titoli e shock'!$B$8*(MAX(0,PRICE('1 - Titoli e shock'!$B$17,$B$37,'1 - Titoli e shock'!$C$24,2*((1+$G$37+G$5/100)^0.5-1),100,2,1)-'1 - Titoli e shock'!$E$24)+$I$37))*$C$37,0)</f>
        <v>0</v>
      </c>
      <c r="H51" s="20">
        <f>IF($B$37&gt;'1 - Titoli e shock'!$B$17,(PRICE('1 - Titoli e shock'!$B$17,$B$37,'1 - Titoli e shock'!$C$24,2*((1+$G$37+H$5/100)^0.5-1),100,2,1)+$I$37-'1 - Titoli e shock'!$B$8*(MAX(0,PRICE('1 - Titoli e shock'!$B$17,$B$37,'1 - Titoli e shock'!$C$24,2*((1+$G$37+H$5/100)^0.5-1),100,2,1)-'1 - Titoli e shock'!$E$24)+$I$37))*$C$37,0)</f>
        <v>0</v>
      </c>
      <c r="I51" s="20">
        <f>IF($B$37&gt;'1 - Titoli e shock'!$B$17,(PRICE('1 - Titoli e shock'!$B$17,$B$37,'1 - Titoli e shock'!$C$24,2*((1+$G$37+I$5/100)^0.5-1),100,2,1)+$I$37-'1 - Titoli e shock'!$B$8*(MAX(0,PRICE('1 - Titoli e shock'!$B$17,$B$37,'1 - Titoli e shock'!$C$24,2*((1+$G$37+I$5/100)^0.5-1),100,2,1)-'1 - Titoli e shock'!$E$24)+$I$37))*$C$37,0)</f>
        <v>0</v>
      </c>
      <c r="J51" s="20">
        <f>IF($B$37&gt;'1 - Titoli e shock'!$B$17,(PRICE('1 - Titoli e shock'!$B$17,$B$37,'1 - Titoli e shock'!$C$24,2*((1+$G$37+J$5/100)^0.5-1),100,2,1)+$I$37-'1 - Titoli e shock'!$B$8*(MAX(0,PRICE('1 - Titoli e shock'!$B$17,$B$37,'1 - Titoli e shock'!$C$24,2*((1+$G$37+J$5/100)^0.5-1),100,2,1)-'1 - Titoli e shock'!$E$24)+$I$37))*$C$37,0)</f>
        <v>0</v>
      </c>
      <c r="K51" s="20">
        <f>IF($B$37&gt;'1 - Titoli e shock'!$B$17,(PRICE('1 - Titoli e shock'!$B$17,$B$37,'1 - Titoli e shock'!$C$24,2*((1+$G$37+K$5/100)^0.5-1),100,2,1)+$I$37-'1 - Titoli e shock'!$B$8*(MAX(0,PRICE('1 - Titoli e shock'!$B$17,$B$37,'1 - Titoli e shock'!$C$24,2*((1+$G$37+K$5/100)^0.5-1),100,2,1)-'1 - Titoli e shock'!$E$24)+$I$37))*$C$37,0)</f>
        <v>0</v>
      </c>
      <c r="L51" s="20">
        <f>IF($B$37&gt;'1 - Titoli e shock'!$B$17,(PRICE('1 - Titoli e shock'!$B$17,$B$37,'1 - Titoli e shock'!$C$24,2*((1+$G$37+L$5/100)^0.5-1),100,2,1)+$I$37-'1 - Titoli e shock'!$B$8*(MAX(0,PRICE('1 - Titoli e shock'!$B$17,$B$37,'1 - Titoli e shock'!$C$24,2*((1+$G$37+L$5/100)^0.5-1),100,2,1)-'1 - Titoli e shock'!$E$24)+$I$37))*$C$37,0)</f>
        <v>0</v>
      </c>
      <c r="M51" s="20">
        <f>IF($B$37&gt;'1 - Titoli e shock'!$B$17,(PRICE('1 - Titoli e shock'!$B$17,$B$37,'1 - Titoli e shock'!$C$24,2*((1+$G$37+M$5/100)^0.5-1),100,2,1)+$I$37-'1 - Titoli e shock'!$B$8*(MAX(0,PRICE('1 - Titoli e shock'!$B$17,$B$37,'1 - Titoli e shock'!$C$24,2*((1+$G$37+M$5/100)^0.5-1),100,2,1)-'1 - Titoli e shock'!$E$24)+$I$37))*$C$37,0)</f>
        <v>0</v>
      </c>
      <c r="N51" s="20">
        <f>IF($B$37&gt;'1 - Titoli e shock'!$B$17,(PRICE('1 - Titoli e shock'!$B$17,$B$37,'1 - Titoli e shock'!$C$24,2*((1+$G$37+N$5/100)^0.5-1),100,2,1)+$I$37-'1 - Titoli e shock'!$B$8*(MAX(0,PRICE('1 - Titoli e shock'!$B$17,$B$37,'1 - Titoli e shock'!$C$24,2*((1+$G$37+N$5/100)^0.5-1),100,2,1)-'1 - Titoli e shock'!$E$24)+$I$37))*$C$37,0)</f>
        <v>0</v>
      </c>
      <c r="O51" s="20">
        <f>IF($B$37&gt;'1 - Titoli e shock'!$B$17,(PRICE('1 - Titoli e shock'!$B$17,$B$37,'1 - Titoli e shock'!$C$24,2*((1+$G$37+O$5/100)^0.5-1),100,2,1)+$I$37-'1 - Titoli e shock'!$B$8*(MAX(0,PRICE('1 - Titoli e shock'!$B$17,$B$37,'1 - Titoli e shock'!$C$24,2*((1+$G$37+O$5/100)^0.5-1),100,2,1)-'1 - Titoli e shock'!$E$24)+$I$37))*$C$37,0)</f>
        <v>0</v>
      </c>
      <c r="P51" s="20">
        <f>IF($B$37&gt;'1 - Titoli e shock'!$B$17,(PRICE('1 - Titoli e shock'!$B$17,$B$37,'1 - Titoli e shock'!$C$24,2*((1+$G$37+P$5/100)^0.5-1),100,2,1)+$I$37-'1 - Titoli e shock'!$B$8*(MAX(0,PRICE('1 - Titoli e shock'!$B$17,$B$37,'1 - Titoli e shock'!$C$24,2*((1+$G$37+P$5/100)^0.5-1),100,2,1)-'1 - Titoli e shock'!$E$24)+$I$37))*$C$37,0)</f>
        <v>0</v>
      </c>
      <c r="Q51" s="20">
        <f>IF($B$37&gt;'1 - Titoli e shock'!$B$17,(PRICE('1 - Titoli e shock'!$B$17,$B$37,'1 - Titoli e shock'!$C$24,2*((1+$G$37+Q$5/100)^0.5-1),100,2,1)+$I$37-'1 - Titoli e shock'!$B$8*(MAX(0,PRICE('1 - Titoli e shock'!$B$17,$B$37,'1 - Titoli e shock'!$C$24,2*((1+$G$37+Q$5/100)^0.5-1),100,2,1)-'1 - Titoli e shock'!$E$24)+$I$37))*$C$37,0)</f>
        <v>0</v>
      </c>
      <c r="R51" s="20">
        <f>IF($B$37&gt;'1 - Titoli e shock'!$B$17,(PRICE('1 - Titoli e shock'!$B$17,$B$37,'1 - Titoli e shock'!$C$24,2*((1+$G$37+R$5/100)^0.5-1),100,2,1)+$I$37-'1 - Titoli e shock'!$B$8*(MAX(0,PRICE('1 - Titoli e shock'!$B$17,$B$37,'1 - Titoli e shock'!$C$24,2*((1+$G$37+R$5/100)^0.5-1),100,2,1)-'1 - Titoli e shock'!$E$24)+$I$37))*$C$37,0)</f>
        <v>0</v>
      </c>
      <c r="S51" s="20">
        <f>IF($B$37&gt;'1 - Titoli e shock'!$B$17,(PRICE('1 - Titoli e shock'!$B$17,$B$37,'1 - Titoli e shock'!$C$24,2*((1+$G$37+S$5/100)^0.5-1),100,2,1)+$I$37-'1 - Titoli e shock'!$B$8*(MAX(0,PRICE('1 - Titoli e shock'!$B$17,$B$37,'1 - Titoli e shock'!$C$24,2*((1+$G$37+S$5/100)^0.5-1),100,2,1)-'1 - Titoli e shock'!$E$24)+$I$37))*$C$37,0)</f>
        <v>0</v>
      </c>
      <c r="T51" s="20">
        <f>IF($B$37&gt;'1 - Titoli e shock'!$B$17,(PRICE('1 - Titoli e shock'!$B$17,$B$37,'1 - Titoli e shock'!$C$24,2*((1+$G$37+T$5/100)^0.5-1),100,2,1)+$I$37-'1 - Titoli e shock'!$B$8*(MAX(0,PRICE('1 - Titoli e shock'!$B$17,$B$37,'1 - Titoli e shock'!$C$24,2*((1+$G$37+T$5/100)^0.5-1),100,2,1)-'1 - Titoli e shock'!$E$24)+$I$37))*$C$37,0)</f>
        <v>0</v>
      </c>
      <c r="U51" s="20">
        <f>IF($B$37&gt;'1 - Titoli e shock'!$B$17,(PRICE('1 - Titoli e shock'!$B$17,$B$37,'1 - Titoli e shock'!$C$24,2*((1+$G$37+U$5/100)^0.5-1),100,2,1)+$I$37-'1 - Titoli e shock'!$B$8*(MAX(0,PRICE('1 - Titoli e shock'!$B$17,$B$37,'1 - Titoli e shock'!$C$24,2*((1+$G$37+U$5/100)^0.5-1),100,2,1)-'1 - Titoli e shock'!$E$24)+$I$37))*$C$37,0)</f>
        <v>0</v>
      </c>
    </row>
    <row r="52" spans="1:21">
      <c r="A52" s="22" t="str">
        <f t="shared" si="14"/>
        <v>BTP 3,15% nov 2031</v>
      </c>
      <c r="F52" s="20">
        <f>IF($B$38&gt;'1 - Titoli e shock'!$B$17,(PRICE('1 - Titoli e shock'!$B$17,$B$38,'1 - Titoli e shock'!$C$25,2*((1+$G$38+F$5/100)^0.5-1),100,2,1)+$I$38-'1 - Titoli e shock'!$B$8*(MAX(0,PRICE('1 - Titoli e shock'!$B$17,$B$38,'1 - Titoli e shock'!$C$25,2*((1+$G$38+F$5/100)^0.5-1),100,2,1)-'1 - Titoli e shock'!$E$25)+$I$38))*$C$38,0)</f>
        <v>0</v>
      </c>
      <c r="G52" s="20">
        <f>IF($B$38&gt;'1 - Titoli e shock'!$B$17,(PRICE('1 - Titoli e shock'!$B$17,$B$38,'1 - Titoli e shock'!$C$25,2*((1+$G$38+G$5/100)^0.5-1),100,2,1)+$I$38-'1 - Titoli e shock'!$B$8*(MAX(0,PRICE('1 - Titoli e shock'!$B$17,$B$38,'1 - Titoli e shock'!$C$25,2*((1+$G$38+G$5/100)^0.5-1),100,2,1)-'1 - Titoli e shock'!$E$25)+$I$38))*$C$38,0)</f>
        <v>0</v>
      </c>
      <c r="H52" s="20">
        <f>IF($B$38&gt;'1 - Titoli e shock'!$B$17,(PRICE('1 - Titoli e shock'!$B$17,$B$38,'1 - Titoli e shock'!$C$25,2*((1+$G$38+H$5/100)^0.5-1),100,2,1)+$I$38-'1 - Titoli e shock'!$B$8*(MAX(0,PRICE('1 - Titoli e shock'!$B$17,$B$38,'1 - Titoli e shock'!$C$25,2*((1+$G$38+H$5/100)^0.5-1),100,2,1)-'1 - Titoli e shock'!$E$25)+$I$38))*$C$38,0)</f>
        <v>0</v>
      </c>
      <c r="I52" s="20">
        <f>IF($B$38&gt;'1 - Titoli e shock'!$B$17,(PRICE('1 - Titoli e shock'!$B$17,$B$38,'1 - Titoli e shock'!$C$25,2*((1+$G$38+I$5/100)^0.5-1),100,2,1)+$I$38-'1 - Titoli e shock'!$B$8*(MAX(0,PRICE('1 - Titoli e shock'!$B$17,$B$38,'1 - Titoli e shock'!$C$25,2*((1+$G$38+I$5/100)^0.5-1),100,2,1)-'1 - Titoli e shock'!$E$25)+$I$38))*$C$38,0)</f>
        <v>0</v>
      </c>
      <c r="J52" s="20">
        <f>IF($B$38&gt;'1 - Titoli e shock'!$B$17,(PRICE('1 - Titoli e shock'!$B$17,$B$38,'1 - Titoli e shock'!$C$25,2*((1+$G$38+J$5/100)^0.5-1),100,2,1)+$I$38-'1 - Titoli e shock'!$B$8*(MAX(0,PRICE('1 - Titoli e shock'!$B$17,$B$38,'1 - Titoli e shock'!$C$25,2*((1+$G$38+J$5/100)^0.5-1),100,2,1)-'1 - Titoli e shock'!$E$25)+$I$38))*$C$38,0)</f>
        <v>0</v>
      </c>
      <c r="K52" s="20">
        <f>IF($B$38&gt;'1 - Titoli e shock'!$B$17,(PRICE('1 - Titoli e shock'!$B$17,$B$38,'1 - Titoli e shock'!$C$25,2*((1+$G$38+K$5/100)^0.5-1),100,2,1)+$I$38-'1 - Titoli e shock'!$B$8*(MAX(0,PRICE('1 - Titoli e shock'!$B$17,$B$38,'1 - Titoli e shock'!$C$25,2*((1+$G$38+K$5/100)^0.5-1),100,2,1)-'1 - Titoli e shock'!$E$25)+$I$38))*$C$38,0)</f>
        <v>0</v>
      </c>
      <c r="L52" s="20">
        <f>IF($B$38&gt;'1 - Titoli e shock'!$B$17,(PRICE('1 - Titoli e shock'!$B$17,$B$38,'1 - Titoli e shock'!$C$25,2*((1+$G$38+L$5/100)^0.5-1),100,2,1)+$I$38-'1 - Titoli e shock'!$B$8*(MAX(0,PRICE('1 - Titoli e shock'!$B$17,$B$38,'1 - Titoli e shock'!$C$25,2*((1+$G$38+L$5/100)^0.5-1),100,2,1)-'1 - Titoli e shock'!$E$25)+$I$38))*$C$38,0)</f>
        <v>0</v>
      </c>
      <c r="M52" s="20">
        <f>IF($B$38&gt;'1 - Titoli e shock'!$B$17,(PRICE('1 - Titoli e shock'!$B$17,$B$38,'1 - Titoli e shock'!$C$25,2*((1+$G$38+M$5/100)^0.5-1),100,2,1)+$I$38-'1 - Titoli e shock'!$B$8*(MAX(0,PRICE('1 - Titoli e shock'!$B$17,$B$38,'1 - Titoli e shock'!$C$25,2*((1+$G$38+M$5/100)^0.5-1),100,2,1)-'1 - Titoli e shock'!$E$25)+$I$38))*$C$38,0)</f>
        <v>0</v>
      </c>
      <c r="N52" s="20">
        <f>IF($B$38&gt;'1 - Titoli e shock'!$B$17,(PRICE('1 - Titoli e shock'!$B$17,$B$38,'1 - Titoli e shock'!$C$25,2*((1+$G$38+N$5/100)^0.5-1),100,2,1)+$I$38-'1 - Titoli e shock'!$B$8*(MAX(0,PRICE('1 - Titoli e shock'!$B$17,$B$38,'1 - Titoli e shock'!$C$25,2*((1+$G$38+N$5/100)^0.5-1),100,2,1)-'1 - Titoli e shock'!$E$25)+$I$38))*$C$38,0)</f>
        <v>0</v>
      </c>
      <c r="O52" s="20">
        <f>IF($B$38&gt;'1 - Titoli e shock'!$B$17,(PRICE('1 - Titoli e shock'!$B$17,$B$38,'1 - Titoli e shock'!$C$25,2*((1+$G$38+O$5/100)^0.5-1),100,2,1)+$I$38-'1 - Titoli e shock'!$B$8*(MAX(0,PRICE('1 - Titoli e shock'!$B$17,$B$38,'1 - Titoli e shock'!$C$25,2*((1+$G$38+O$5/100)^0.5-1),100,2,1)-'1 - Titoli e shock'!$E$25)+$I$38))*$C$38,0)</f>
        <v>0</v>
      </c>
      <c r="P52" s="20">
        <f>IF($B$38&gt;'1 - Titoli e shock'!$B$17,(PRICE('1 - Titoli e shock'!$B$17,$B$38,'1 - Titoli e shock'!$C$25,2*((1+$G$38+P$5/100)^0.5-1),100,2,1)+$I$38-'1 - Titoli e shock'!$B$8*(MAX(0,PRICE('1 - Titoli e shock'!$B$17,$B$38,'1 - Titoli e shock'!$C$25,2*((1+$G$38+P$5/100)^0.5-1),100,2,1)-'1 - Titoli e shock'!$E$25)+$I$38))*$C$38,0)</f>
        <v>0</v>
      </c>
      <c r="Q52" s="20">
        <f>IF($B$38&gt;'1 - Titoli e shock'!$B$17,(PRICE('1 - Titoli e shock'!$B$17,$B$38,'1 - Titoli e shock'!$C$25,2*((1+$G$38+Q$5/100)^0.5-1),100,2,1)+$I$38-'1 - Titoli e shock'!$B$8*(MAX(0,PRICE('1 - Titoli e shock'!$B$17,$B$38,'1 - Titoli e shock'!$C$25,2*((1+$G$38+Q$5/100)^0.5-1),100,2,1)-'1 - Titoli e shock'!$E$25)+$I$38))*$C$38,0)</f>
        <v>0</v>
      </c>
      <c r="R52" s="20">
        <f>IF($B$38&gt;'1 - Titoli e shock'!$B$17,(PRICE('1 - Titoli e shock'!$B$17,$B$38,'1 - Titoli e shock'!$C$25,2*((1+$G$38+R$5/100)^0.5-1),100,2,1)+$I$38-'1 - Titoli e shock'!$B$8*(MAX(0,PRICE('1 - Titoli e shock'!$B$17,$B$38,'1 - Titoli e shock'!$C$25,2*((1+$G$38+R$5/100)^0.5-1),100,2,1)-'1 - Titoli e shock'!$E$25)+$I$38))*$C$38,0)</f>
        <v>0</v>
      </c>
      <c r="S52" s="20">
        <f>IF($B$38&gt;'1 - Titoli e shock'!$B$17,(PRICE('1 - Titoli e shock'!$B$17,$B$38,'1 - Titoli e shock'!$C$25,2*((1+$G$38+S$5/100)^0.5-1),100,2,1)+$I$38-'1 - Titoli e shock'!$B$8*(MAX(0,PRICE('1 - Titoli e shock'!$B$17,$B$38,'1 - Titoli e shock'!$C$25,2*((1+$G$38+S$5/100)^0.5-1),100,2,1)-'1 - Titoli e shock'!$E$25)+$I$38))*$C$38,0)</f>
        <v>0</v>
      </c>
      <c r="T52" s="20">
        <f>IF($B$38&gt;'1 - Titoli e shock'!$B$17,(PRICE('1 - Titoli e shock'!$B$17,$B$38,'1 - Titoli e shock'!$C$25,2*((1+$G$38+T$5/100)^0.5-1),100,2,1)+$I$38-'1 - Titoli e shock'!$B$8*(MAX(0,PRICE('1 - Titoli e shock'!$B$17,$B$38,'1 - Titoli e shock'!$C$25,2*((1+$G$38+T$5/100)^0.5-1),100,2,1)-'1 - Titoli e shock'!$E$25)+$I$38))*$C$38,0)</f>
        <v>0</v>
      </c>
      <c r="U52" s="20">
        <f>IF($B$38&gt;'1 - Titoli e shock'!$B$17,(PRICE('1 - Titoli e shock'!$B$17,$B$38,'1 - Titoli e shock'!$C$25,2*((1+$G$38+U$5/100)^0.5-1),100,2,1)+$I$38-'1 - Titoli e shock'!$B$8*(MAX(0,PRICE('1 - Titoli e shock'!$B$17,$B$38,'1 - Titoli e shock'!$C$25,2*((1+$G$38+U$5/100)^0.5-1),100,2,1)-'1 - Titoli e shock'!$E$25)+$I$38))*$C$38,0)</f>
        <v>0</v>
      </c>
    </row>
    <row r="53" spans="1:21">
      <c r="A53" s="22" t="str">
        <f t="shared" si="14"/>
        <v>BTP 3,25% nov 2032</v>
      </c>
      <c r="F53" s="20">
        <f>IF($B$39&gt;'1 - Titoli e shock'!$B$17,(PRICE('1 - Titoli e shock'!$B$17,$B$39,'1 - Titoli e shock'!$C$26,2*((1+$G$39+F$5/100)^0.5-1),100,2,1)+$I$39-'1 - Titoli e shock'!$B$8*(MAX(0,PRICE('1 - Titoli e shock'!$B$17,$B$39,'1 - Titoli e shock'!$C$26,2*((1+$G$39+F$5/100)^0.5-1),100,2,1)-'1 - Titoli e shock'!$E$26)+$I$39))*$C$39,0)</f>
        <v>0</v>
      </c>
      <c r="G53" s="20">
        <f>IF($B$39&gt;'1 - Titoli e shock'!$B$17,(PRICE('1 - Titoli e shock'!$B$17,$B$39,'1 - Titoli e shock'!$C$26,2*((1+$G$39+G$5/100)^0.5-1),100,2,1)+$I$39-'1 - Titoli e shock'!$B$8*(MAX(0,PRICE('1 - Titoli e shock'!$B$17,$B$39,'1 - Titoli e shock'!$C$26,2*((1+$G$39+G$5/100)^0.5-1),100,2,1)-'1 - Titoli e shock'!$E$26)+$I$39))*$C$39,0)</f>
        <v>0</v>
      </c>
      <c r="H53" s="20">
        <f>IF($B$39&gt;'1 - Titoli e shock'!$B$17,(PRICE('1 - Titoli e shock'!$B$17,$B$39,'1 - Titoli e shock'!$C$26,2*((1+$G$39+H$5/100)^0.5-1),100,2,1)+$I$39-'1 - Titoli e shock'!$B$8*(MAX(0,PRICE('1 - Titoli e shock'!$B$17,$B$39,'1 - Titoli e shock'!$C$26,2*((1+$G$39+H$5/100)^0.5-1),100,2,1)-'1 - Titoli e shock'!$E$26)+$I$39))*$C$39,0)</f>
        <v>0</v>
      </c>
      <c r="I53" s="20">
        <f>IF($B$39&gt;'1 - Titoli e shock'!$B$17,(PRICE('1 - Titoli e shock'!$B$17,$B$39,'1 - Titoli e shock'!$C$26,2*((1+$G$39+I$5/100)^0.5-1),100,2,1)+$I$39-'1 - Titoli e shock'!$B$8*(MAX(0,PRICE('1 - Titoli e shock'!$B$17,$B$39,'1 - Titoli e shock'!$C$26,2*((1+$G$39+I$5/100)^0.5-1),100,2,1)-'1 - Titoli e shock'!$E$26)+$I$39))*$C$39,0)</f>
        <v>0</v>
      </c>
      <c r="J53" s="20">
        <f>IF($B$39&gt;'1 - Titoli e shock'!$B$17,(PRICE('1 - Titoli e shock'!$B$17,$B$39,'1 - Titoli e shock'!$C$26,2*((1+$G$39+J$5/100)^0.5-1),100,2,1)+$I$39-'1 - Titoli e shock'!$B$8*(MAX(0,PRICE('1 - Titoli e shock'!$B$17,$B$39,'1 - Titoli e shock'!$C$26,2*((1+$G$39+J$5/100)^0.5-1),100,2,1)-'1 - Titoli e shock'!$E$26)+$I$39))*$C$39,0)</f>
        <v>0</v>
      </c>
      <c r="K53" s="20">
        <f>IF($B$39&gt;'1 - Titoli e shock'!$B$17,(PRICE('1 - Titoli e shock'!$B$17,$B$39,'1 - Titoli e shock'!$C$26,2*((1+$G$39+K$5/100)^0.5-1),100,2,1)+$I$39-'1 - Titoli e shock'!$B$8*(MAX(0,PRICE('1 - Titoli e shock'!$B$17,$B$39,'1 - Titoli e shock'!$C$26,2*((1+$G$39+K$5/100)^0.5-1),100,2,1)-'1 - Titoli e shock'!$E$26)+$I$39))*$C$39,0)</f>
        <v>0</v>
      </c>
      <c r="L53" s="20">
        <f>IF($B$39&gt;'1 - Titoli e shock'!$B$17,(PRICE('1 - Titoli e shock'!$B$17,$B$39,'1 - Titoli e shock'!$C$26,2*((1+$G$39+L$5/100)^0.5-1),100,2,1)+$I$39-'1 - Titoli e shock'!$B$8*(MAX(0,PRICE('1 - Titoli e shock'!$B$17,$B$39,'1 - Titoli e shock'!$C$26,2*((1+$G$39+L$5/100)^0.5-1),100,2,1)-'1 - Titoli e shock'!$E$26)+$I$39))*$C$39,0)</f>
        <v>0</v>
      </c>
      <c r="M53" s="20">
        <f>IF($B$39&gt;'1 - Titoli e shock'!$B$17,(PRICE('1 - Titoli e shock'!$B$17,$B$39,'1 - Titoli e shock'!$C$26,2*((1+$G$39+M$5/100)^0.5-1),100,2,1)+$I$39-'1 - Titoli e shock'!$B$8*(MAX(0,PRICE('1 - Titoli e shock'!$B$17,$B$39,'1 - Titoli e shock'!$C$26,2*((1+$G$39+M$5/100)^0.5-1),100,2,1)-'1 - Titoli e shock'!$E$26)+$I$39))*$C$39,0)</f>
        <v>0</v>
      </c>
      <c r="N53" s="20">
        <f>IF($B$39&gt;'1 - Titoli e shock'!$B$17,(PRICE('1 - Titoli e shock'!$B$17,$B$39,'1 - Titoli e shock'!$C$26,2*((1+$G$39+N$5/100)^0.5-1),100,2,1)+$I$39-'1 - Titoli e shock'!$B$8*(MAX(0,PRICE('1 - Titoli e shock'!$B$17,$B$39,'1 - Titoli e shock'!$C$26,2*((1+$G$39+N$5/100)^0.5-1),100,2,1)-'1 - Titoli e shock'!$E$26)+$I$39))*$C$39,0)</f>
        <v>0</v>
      </c>
      <c r="O53" s="20">
        <f>IF($B$39&gt;'1 - Titoli e shock'!$B$17,(PRICE('1 - Titoli e shock'!$B$17,$B$39,'1 - Titoli e shock'!$C$26,2*((1+$G$39+O$5/100)^0.5-1),100,2,1)+$I$39-'1 - Titoli e shock'!$B$8*(MAX(0,PRICE('1 - Titoli e shock'!$B$17,$B$39,'1 - Titoli e shock'!$C$26,2*((1+$G$39+O$5/100)^0.5-1),100,2,1)-'1 - Titoli e shock'!$E$26)+$I$39))*$C$39,0)</f>
        <v>0</v>
      </c>
      <c r="P53" s="20">
        <f>IF($B$39&gt;'1 - Titoli e shock'!$B$17,(PRICE('1 - Titoli e shock'!$B$17,$B$39,'1 - Titoli e shock'!$C$26,2*((1+$G$39+P$5/100)^0.5-1),100,2,1)+$I$39-'1 - Titoli e shock'!$B$8*(MAX(0,PRICE('1 - Titoli e shock'!$B$17,$B$39,'1 - Titoli e shock'!$C$26,2*((1+$G$39+P$5/100)^0.5-1),100,2,1)-'1 - Titoli e shock'!$E$26)+$I$39))*$C$39,0)</f>
        <v>0</v>
      </c>
      <c r="Q53" s="20">
        <f>IF($B$39&gt;'1 - Titoli e shock'!$B$17,(PRICE('1 - Titoli e shock'!$B$17,$B$39,'1 - Titoli e shock'!$C$26,2*((1+$G$39+Q$5/100)^0.5-1),100,2,1)+$I$39-'1 - Titoli e shock'!$B$8*(MAX(0,PRICE('1 - Titoli e shock'!$B$17,$B$39,'1 - Titoli e shock'!$C$26,2*((1+$G$39+Q$5/100)^0.5-1),100,2,1)-'1 - Titoli e shock'!$E$26)+$I$39))*$C$39,0)</f>
        <v>0</v>
      </c>
      <c r="R53" s="20">
        <f>IF($B$39&gt;'1 - Titoli e shock'!$B$17,(PRICE('1 - Titoli e shock'!$B$17,$B$39,'1 - Titoli e shock'!$C$26,2*((1+$G$39+R$5/100)^0.5-1),100,2,1)+$I$39-'1 - Titoli e shock'!$B$8*(MAX(0,PRICE('1 - Titoli e shock'!$B$17,$B$39,'1 - Titoli e shock'!$C$26,2*((1+$G$39+R$5/100)^0.5-1),100,2,1)-'1 - Titoli e shock'!$E$26)+$I$39))*$C$39,0)</f>
        <v>0</v>
      </c>
      <c r="S53" s="20">
        <f>IF($B$39&gt;'1 - Titoli e shock'!$B$17,(PRICE('1 - Titoli e shock'!$B$17,$B$39,'1 - Titoli e shock'!$C$26,2*((1+$G$39+S$5/100)^0.5-1),100,2,1)+$I$39-'1 - Titoli e shock'!$B$8*(MAX(0,PRICE('1 - Titoli e shock'!$B$17,$B$39,'1 - Titoli e shock'!$C$26,2*((1+$G$39+S$5/100)^0.5-1),100,2,1)-'1 - Titoli e shock'!$E$26)+$I$39))*$C$39,0)</f>
        <v>0</v>
      </c>
      <c r="T53" s="20">
        <f>IF($B$39&gt;'1 - Titoli e shock'!$B$17,(PRICE('1 - Titoli e shock'!$B$17,$B$39,'1 - Titoli e shock'!$C$26,2*((1+$G$39+T$5/100)^0.5-1),100,2,1)+$I$39-'1 - Titoli e shock'!$B$8*(MAX(0,PRICE('1 - Titoli e shock'!$B$17,$B$39,'1 - Titoli e shock'!$C$26,2*((1+$G$39+T$5/100)^0.5-1),100,2,1)-'1 - Titoli e shock'!$E$26)+$I$39))*$C$39,0)</f>
        <v>0</v>
      </c>
      <c r="U53" s="20">
        <f>IF($B$39&gt;'1 - Titoli e shock'!$B$17,(PRICE('1 - Titoli e shock'!$B$17,$B$39,'1 - Titoli e shock'!$C$26,2*((1+$G$39+U$5/100)^0.5-1),100,2,1)+$I$39-'1 - Titoli e shock'!$B$8*(MAX(0,PRICE('1 - Titoli e shock'!$B$17,$B$39,'1 - Titoli e shock'!$C$26,2*((1+$G$39+U$5/100)^0.5-1),100,2,1)-'1 - Titoli e shock'!$E$26)+$I$39))*$C$39,0)</f>
        <v>0</v>
      </c>
    </row>
    <row r="54" spans="1:21">
      <c r="A54" s="22" t="str">
        <f t="shared" si="14"/>
        <v>BTP 4,35% nov 2033</v>
      </c>
      <c r="F54" s="20">
        <f>IF($B$40&gt;'1 - Titoli e shock'!$B$17,(PRICE('1 - Titoli e shock'!$B$17,$B$40,'1 - Titoli e shock'!$C$27,2*((1+$G$40+F$5/100)^0.5-1),100,2,1)+$I$40-'1 - Titoli e shock'!$B$8*(MAX(0,PRICE('1 - Titoli e shock'!$B$17,$B$40,'1 - Titoli e shock'!$C$27,2*((1+$G$40+F$5/100)^0.5-1),100,2,1)-'1 - Titoli e shock'!$E$27)+$I$40))*$C$40,0)</f>
        <v>0</v>
      </c>
      <c r="G54" s="20">
        <f>IF($B$40&gt;'1 - Titoli e shock'!$B$17,(PRICE('1 - Titoli e shock'!$B$17,$B$40,'1 - Titoli e shock'!$C$27,2*((1+$G$40+G$5/100)^0.5-1),100,2,1)+$I$40-'1 - Titoli e shock'!$B$8*(MAX(0,PRICE('1 - Titoli e shock'!$B$17,$B$40,'1 - Titoli e shock'!$C$27,2*((1+$G$40+G$5/100)^0.5-1),100,2,1)-'1 - Titoli e shock'!$E$27)+$I$40))*$C$40,0)</f>
        <v>0</v>
      </c>
      <c r="H54" s="20">
        <f>IF($B$40&gt;'1 - Titoli e shock'!$B$17,(PRICE('1 - Titoli e shock'!$B$17,$B$40,'1 - Titoli e shock'!$C$27,2*((1+$G$40+H$5/100)^0.5-1),100,2,1)+$I$40-'1 - Titoli e shock'!$B$8*(MAX(0,PRICE('1 - Titoli e shock'!$B$17,$B$40,'1 - Titoli e shock'!$C$27,2*((1+$G$40+H$5/100)^0.5-1),100,2,1)-'1 - Titoli e shock'!$E$27)+$I$40))*$C$40,0)</f>
        <v>0</v>
      </c>
      <c r="I54" s="20">
        <f>IF($B$40&gt;'1 - Titoli e shock'!$B$17,(PRICE('1 - Titoli e shock'!$B$17,$B$40,'1 - Titoli e shock'!$C$27,2*((1+$G$40+I$5/100)^0.5-1),100,2,1)+$I$40-'1 - Titoli e shock'!$B$8*(MAX(0,PRICE('1 - Titoli e shock'!$B$17,$B$40,'1 - Titoli e shock'!$C$27,2*((1+$G$40+I$5/100)^0.5-1),100,2,1)-'1 - Titoli e shock'!$E$27)+$I$40))*$C$40,0)</f>
        <v>0</v>
      </c>
      <c r="J54" s="20">
        <f>IF($B$40&gt;'1 - Titoli e shock'!$B$17,(PRICE('1 - Titoli e shock'!$B$17,$B$40,'1 - Titoli e shock'!$C$27,2*((1+$G$40+J$5/100)^0.5-1),100,2,1)+$I$40-'1 - Titoli e shock'!$B$8*(MAX(0,PRICE('1 - Titoli e shock'!$B$17,$B$40,'1 - Titoli e shock'!$C$27,2*((1+$G$40+J$5/100)^0.5-1),100,2,1)-'1 - Titoli e shock'!$E$27)+$I$40))*$C$40,0)</f>
        <v>0</v>
      </c>
      <c r="K54" s="20">
        <f>IF($B$40&gt;'1 - Titoli e shock'!$B$17,(PRICE('1 - Titoli e shock'!$B$17,$B$40,'1 - Titoli e shock'!$C$27,2*((1+$G$40+K$5/100)^0.5-1),100,2,1)+$I$40-'1 - Titoli e shock'!$B$8*(MAX(0,PRICE('1 - Titoli e shock'!$B$17,$B$40,'1 - Titoli e shock'!$C$27,2*((1+$G$40+K$5/100)^0.5-1),100,2,1)-'1 - Titoli e shock'!$E$27)+$I$40))*$C$40,0)</f>
        <v>0</v>
      </c>
      <c r="L54" s="20">
        <f>IF($B$40&gt;'1 - Titoli e shock'!$B$17,(PRICE('1 - Titoli e shock'!$B$17,$B$40,'1 - Titoli e shock'!$C$27,2*((1+$G$40+L$5/100)^0.5-1),100,2,1)+$I$40-'1 - Titoli e shock'!$B$8*(MAX(0,PRICE('1 - Titoli e shock'!$B$17,$B$40,'1 - Titoli e shock'!$C$27,2*((1+$G$40+L$5/100)^0.5-1),100,2,1)-'1 - Titoli e shock'!$E$27)+$I$40))*$C$40,0)</f>
        <v>0</v>
      </c>
      <c r="M54" s="20">
        <f>IF($B$40&gt;'1 - Titoli e shock'!$B$17,(PRICE('1 - Titoli e shock'!$B$17,$B$40,'1 - Titoli e shock'!$C$27,2*((1+$G$40+M$5/100)^0.5-1),100,2,1)+$I$40-'1 - Titoli e shock'!$B$8*(MAX(0,PRICE('1 - Titoli e shock'!$B$17,$B$40,'1 - Titoli e shock'!$C$27,2*((1+$G$40+M$5/100)^0.5-1),100,2,1)-'1 - Titoli e shock'!$E$27)+$I$40))*$C$40,0)</f>
        <v>0</v>
      </c>
      <c r="N54" s="20">
        <f>IF($B$40&gt;'1 - Titoli e shock'!$B$17,(PRICE('1 - Titoli e shock'!$B$17,$B$40,'1 - Titoli e shock'!$C$27,2*((1+$G$40+N$5/100)^0.5-1),100,2,1)+$I$40-'1 - Titoli e shock'!$B$8*(MAX(0,PRICE('1 - Titoli e shock'!$B$17,$B$40,'1 - Titoli e shock'!$C$27,2*((1+$G$40+N$5/100)^0.5-1),100,2,1)-'1 - Titoli e shock'!$E$27)+$I$40))*$C$40,0)</f>
        <v>0</v>
      </c>
      <c r="O54" s="20">
        <f>IF($B$40&gt;'1 - Titoli e shock'!$B$17,(PRICE('1 - Titoli e shock'!$B$17,$B$40,'1 - Titoli e shock'!$C$27,2*((1+$G$40+O$5/100)^0.5-1),100,2,1)+$I$40-'1 - Titoli e shock'!$B$8*(MAX(0,PRICE('1 - Titoli e shock'!$B$17,$B$40,'1 - Titoli e shock'!$C$27,2*((1+$G$40+O$5/100)^0.5-1),100,2,1)-'1 - Titoli e shock'!$E$27)+$I$40))*$C$40,0)</f>
        <v>0</v>
      </c>
      <c r="P54" s="20">
        <f>IF($B$40&gt;'1 - Titoli e shock'!$B$17,(PRICE('1 - Titoli e shock'!$B$17,$B$40,'1 - Titoli e shock'!$C$27,2*((1+$G$40+P$5/100)^0.5-1),100,2,1)+$I$40-'1 - Titoli e shock'!$B$8*(MAX(0,PRICE('1 - Titoli e shock'!$B$17,$B$40,'1 - Titoli e shock'!$C$27,2*((1+$G$40+P$5/100)^0.5-1),100,2,1)-'1 - Titoli e shock'!$E$27)+$I$40))*$C$40,0)</f>
        <v>0</v>
      </c>
      <c r="Q54" s="20">
        <f>IF($B$40&gt;'1 - Titoli e shock'!$B$17,(PRICE('1 - Titoli e shock'!$B$17,$B$40,'1 - Titoli e shock'!$C$27,2*((1+$G$40+Q$5/100)^0.5-1),100,2,1)+$I$40-'1 - Titoli e shock'!$B$8*(MAX(0,PRICE('1 - Titoli e shock'!$B$17,$B$40,'1 - Titoli e shock'!$C$27,2*((1+$G$40+Q$5/100)^0.5-1),100,2,1)-'1 - Titoli e shock'!$E$27)+$I$40))*$C$40,0)</f>
        <v>0</v>
      </c>
      <c r="R54" s="20">
        <f>IF($B$40&gt;'1 - Titoli e shock'!$B$17,(PRICE('1 - Titoli e shock'!$B$17,$B$40,'1 - Titoli e shock'!$C$27,2*((1+$G$40+R$5/100)^0.5-1),100,2,1)+$I$40-'1 - Titoli e shock'!$B$8*(MAX(0,PRICE('1 - Titoli e shock'!$B$17,$B$40,'1 - Titoli e shock'!$C$27,2*((1+$G$40+R$5/100)^0.5-1),100,2,1)-'1 - Titoli e shock'!$E$27)+$I$40))*$C$40,0)</f>
        <v>0</v>
      </c>
      <c r="S54" s="20">
        <f>IF($B$40&gt;'1 - Titoli e shock'!$B$17,(PRICE('1 - Titoli e shock'!$B$17,$B$40,'1 - Titoli e shock'!$C$27,2*((1+$G$40+S$5/100)^0.5-1),100,2,1)+$I$40-'1 - Titoli e shock'!$B$8*(MAX(0,PRICE('1 - Titoli e shock'!$B$17,$B$40,'1 - Titoli e shock'!$C$27,2*((1+$G$40+S$5/100)^0.5-1),100,2,1)-'1 - Titoli e shock'!$E$27)+$I$40))*$C$40,0)</f>
        <v>0</v>
      </c>
      <c r="T54" s="20">
        <f>IF($B$40&gt;'1 - Titoli e shock'!$B$17,(PRICE('1 - Titoli e shock'!$B$17,$B$40,'1 - Titoli e shock'!$C$27,2*((1+$G$40+T$5/100)^0.5-1),100,2,1)+$I$40-'1 - Titoli e shock'!$B$8*(MAX(0,PRICE('1 - Titoli e shock'!$B$17,$B$40,'1 - Titoli e shock'!$C$27,2*((1+$G$40+T$5/100)^0.5-1),100,2,1)-'1 - Titoli e shock'!$E$27)+$I$40))*$C$40,0)</f>
        <v>0</v>
      </c>
      <c r="U54" s="20">
        <f>IF($B$40&gt;'1 - Titoli e shock'!$B$17,(PRICE('1 - Titoli e shock'!$B$17,$B$40,'1 - Titoli e shock'!$C$27,2*((1+$G$40+U$5/100)^0.5-1),100,2,1)+$I$40-'1 - Titoli e shock'!$B$8*(MAX(0,PRICE('1 - Titoli e shock'!$B$17,$B$40,'1 - Titoli e shock'!$C$27,2*((1+$G$40+U$5/100)^0.5-1),100,2,1)-'1 - Titoli e shock'!$E$27)+$I$40))*$C$40,0)</f>
        <v>0</v>
      </c>
    </row>
    <row r="55" spans="1:21">
      <c r="A55" s="22" t="str">
        <f t="shared" si="14"/>
        <v>BTP 3,85% feb 2035</v>
      </c>
      <c r="F55" s="20">
        <f>IF($B$41&gt;'1 - Titoli e shock'!$B$17,(PRICE('1 - Titoli e shock'!$B$17,$B$41,'1 - Titoli e shock'!$C$28,2*((1+$G$41+F$5/100)^0.5-1),100,2,1)+$I$41-'1 - Titoli e shock'!$B$8*(MAX(0,PRICE('1 - Titoli e shock'!$B$17,$B$41,'1 - Titoli e shock'!$C$28,2*((1+$G$41+F$5/100)^0.5-1),100,2,1)-'1 - Titoli e shock'!$E$28)+$I$41))*$C$41,0)</f>
        <v>0</v>
      </c>
      <c r="G55" s="20">
        <f>IF($B$41&gt;'1 - Titoli e shock'!$B$17,(PRICE('1 - Titoli e shock'!$B$17,$B$41,'1 - Titoli e shock'!$C$28,2*((1+$G$41+G$5/100)^0.5-1),100,2,1)+$I$41-'1 - Titoli e shock'!$B$8*(MAX(0,PRICE('1 - Titoli e shock'!$B$17,$B$41,'1 - Titoli e shock'!$C$28,2*((1+$G$41+G$5/100)^0.5-1),100,2,1)-'1 - Titoli e shock'!$E$28)+$I$41))*$C$41,0)</f>
        <v>0</v>
      </c>
      <c r="H55" s="20">
        <f>IF($B$41&gt;'1 - Titoli e shock'!$B$17,(PRICE('1 - Titoli e shock'!$B$17,$B$41,'1 - Titoli e shock'!$C$28,2*((1+$G$41+H$5/100)^0.5-1),100,2,1)+$I$41-'1 - Titoli e shock'!$B$8*(MAX(0,PRICE('1 - Titoli e shock'!$B$17,$B$41,'1 - Titoli e shock'!$C$28,2*((1+$G$41+H$5/100)^0.5-1),100,2,1)-'1 - Titoli e shock'!$E$28)+$I$41))*$C$41,0)</f>
        <v>0</v>
      </c>
      <c r="I55" s="20">
        <f>IF($B$41&gt;'1 - Titoli e shock'!$B$17,(PRICE('1 - Titoli e shock'!$B$17,$B$41,'1 - Titoli e shock'!$C$28,2*((1+$G$41+I$5/100)^0.5-1),100,2,1)+$I$41-'1 - Titoli e shock'!$B$8*(MAX(0,PRICE('1 - Titoli e shock'!$B$17,$B$41,'1 - Titoli e shock'!$C$28,2*((1+$G$41+I$5/100)^0.5-1),100,2,1)-'1 - Titoli e shock'!$E$28)+$I$41))*$C$41,0)</f>
        <v>0</v>
      </c>
      <c r="J55" s="20">
        <f>IF($B$41&gt;'1 - Titoli e shock'!$B$17,(PRICE('1 - Titoli e shock'!$B$17,$B$41,'1 - Titoli e shock'!$C$28,2*((1+$G$41+J$5/100)^0.5-1),100,2,1)+$I$41-'1 - Titoli e shock'!$B$8*(MAX(0,PRICE('1 - Titoli e shock'!$B$17,$B$41,'1 - Titoli e shock'!$C$28,2*((1+$G$41+J$5/100)^0.5-1),100,2,1)-'1 - Titoli e shock'!$E$28)+$I$41))*$C$41,0)</f>
        <v>0</v>
      </c>
      <c r="K55" s="20">
        <f>IF($B$41&gt;'1 - Titoli e shock'!$B$17,(PRICE('1 - Titoli e shock'!$B$17,$B$41,'1 - Titoli e shock'!$C$28,2*((1+$G$41+K$5/100)^0.5-1),100,2,1)+$I$41-'1 - Titoli e shock'!$B$8*(MAX(0,PRICE('1 - Titoli e shock'!$B$17,$B$41,'1 - Titoli e shock'!$C$28,2*((1+$G$41+K$5/100)^0.5-1),100,2,1)-'1 - Titoli e shock'!$E$28)+$I$41))*$C$41,0)</f>
        <v>0</v>
      </c>
      <c r="L55" s="20">
        <f>IF($B$41&gt;'1 - Titoli e shock'!$B$17,(PRICE('1 - Titoli e shock'!$B$17,$B$41,'1 - Titoli e shock'!$C$28,2*((1+$G$41+L$5/100)^0.5-1),100,2,1)+$I$41-'1 - Titoli e shock'!$B$8*(MAX(0,PRICE('1 - Titoli e shock'!$B$17,$B$41,'1 - Titoli e shock'!$C$28,2*((1+$G$41+L$5/100)^0.5-1),100,2,1)-'1 - Titoli e shock'!$E$28)+$I$41))*$C$41,0)</f>
        <v>0</v>
      </c>
      <c r="M55" s="20">
        <f>IF($B$41&gt;'1 - Titoli e shock'!$B$17,(PRICE('1 - Titoli e shock'!$B$17,$B$41,'1 - Titoli e shock'!$C$28,2*((1+$G$41+M$5/100)^0.5-1),100,2,1)+$I$41-'1 - Titoli e shock'!$B$8*(MAX(0,PRICE('1 - Titoli e shock'!$B$17,$B$41,'1 - Titoli e shock'!$C$28,2*((1+$G$41+M$5/100)^0.5-1),100,2,1)-'1 - Titoli e shock'!$E$28)+$I$41))*$C$41,0)</f>
        <v>0</v>
      </c>
      <c r="N55" s="20">
        <f>IF($B$41&gt;'1 - Titoli e shock'!$B$17,(PRICE('1 - Titoli e shock'!$B$17,$B$41,'1 - Titoli e shock'!$C$28,2*((1+$G$41+N$5/100)^0.5-1),100,2,1)+$I$41-'1 - Titoli e shock'!$B$8*(MAX(0,PRICE('1 - Titoli e shock'!$B$17,$B$41,'1 - Titoli e shock'!$C$28,2*((1+$G$41+N$5/100)^0.5-1),100,2,1)-'1 - Titoli e shock'!$E$28)+$I$41))*$C$41,0)</f>
        <v>0</v>
      </c>
      <c r="O55" s="20">
        <f>IF($B$41&gt;'1 - Titoli e shock'!$B$17,(PRICE('1 - Titoli e shock'!$B$17,$B$41,'1 - Titoli e shock'!$C$28,2*((1+$G$41+O$5/100)^0.5-1),100,2,1)+$I$41-'1 - Titoli e shock'!$B$8*(MAX(0,PRICE('1 - Titoli e shock'!$B$17,$B$41,'1 - Titoli e shock'!$C$28,2*((1+$G$41+O$5/100)^0.5-1),100,2,1)-'1 - Titoli e shock'!$E$28)+$I$41))*$C$41,0)</f>
        <v>0</v>
      </c>
      <c r="P55" s="20">
        <f>IF($B$41&gt;'1 - Titoli e shock'!$B$17,(PRICE('1 - Titoli e shock'!$B$17,$B$41,'1 - Titoli e shock'!$C$28,2*((1+$G$41+P$5/100)^0.5-1),100,2,1)+$I$41-'1 - Titoli e shock'!$B$8*(MAX(0,PRICE('1 - Titoli e shock'!$B$17,$B$41,'1 - Titoli e shock'!$C$28,2*((1+$G$41+P$5/100)^0.5-1),100,2,1)-'1 - Titoli e shock'!$E$28)+$I$41))*$C$41,0)</f>
        <v>0</v>
      </c>
      <c r="Q55" s="20">
        <f>IF($B$41&gt;'1 - Titoli e shock'!$B$17,(PRICE('1 - Titoli e shock'!$B$17,$B$41,'1 - Titoli e shock'!$C$28,2*((1+$G$41+Q$5/100)^0.5-1),100,2,1)+$I$41-'1 - Titoli e shock'!$B$8*(MAX(0,PRICE('1 - Titoli e shock'!$B$17,$B$41,'1 - Titoli e shock'!$C$28,2*((1+$G$41+Q$5/100)^0.5-1),100,2,1)-'1 - Titoli e shock'!$E$28)+$I$41))*$C$41,0)</f>
        <v>0</v>
      </c>
      <c r="R55" s="20">
        <f>IF($B$41&gt;'1 - Titoli e shock'!$B$17,(PRICE('1 - Titoli e shock'!$B$17,$B$41,'1 - Titoli e shock'!$C$28,2*((1+$G$41+R$5/100)^0.5-1),100,2,1)+$I$41-'1 - Titoli e shock'!$B$8*(MAX(0,PRICE('1 - Titoli e shock'!$B$17,$B$41,'1 - Titoli e shock'!$C$28,2*((1+$G$41+R$5/100)^0.5-1),100,2,1)-'1 - Titoli e shock'!$E$28)+$I$41))*$C$41,0)</f>
        <v>0</v>
      </c>
      <c r="S55" s="20">
        <f>IF($B$41&gt;'1 - Titoli e shock'!$B$17,(PRICE('1 - Titoli e shock'!$B$17,$B$41,'1 - Titoli e shock'!$C$28,2*((1+$G$41+S$5/100)^0.5-1),100,2,1)+$I$41-'1 - Titoli e shock'!$B$8*(MAX(0,PRICE('1 - Titoli e shock'!$B$17,$B$41,'1 - Titoli e shock'!$C$28,2*((1+$G$41+S$5/100)^0.5-1),100,2,1)-'1 - Titoli e shock'!$E$28)+$I$41))*$C$41,0)</f>
        <v>0</v>
      </c>
      <c r="T55" s="20">
        <f>IF($B$41&gt;'1 - Titoli e shock'!$B$17,(PRICE('1 - Titoli e shock'!$B$17,$B$41,'1 - Titoli e shock'!$C$28,2*((1+$G$41+T$5/100)^0.5-1),100,2,1)+$I$41-'1 - Titoli e shock'!$B$8*(MAX(0,PRICE('1 - Titoli e shock'!$B$17,$B$41,'1 - Titoli e shock'!$C$28,2*((1+$G$41+T$5/100)^0.5-1),100,2,1)-'1 - Titoli e shock'!$E$28)+$I$41))*$C$41,0)</f>
        <v>0</v>
      </c>
      <c r="U55" s="20">
        <f>IF($B$41&gt;'1 - Titoli e shock'!$B$17,(PRICE('1 - Titoli e shock'!$B$17,$B$41,'1 - Titoli e shock'!$C$28,2*((1+$G$41+U$5/100)^0.5-1),100,2,1)+$I$41-'1 - Titoli e shock'!$B$8*(MAX(0,PRICE('1 - Titoli e shock'!$B$17,$B$41,'1 - Titoli e shock'!$C$28,2*((1+$G$41+U$5/100)^0.5-1),100,2,1)-'1 - Titoli e shock'!$E$28)+$I$41))*$C$41,0)</f>
        <v>0</v>
      </c>
    </row>
    <row r="56" spans="1:21">
      <c r="A56" s="22" t="str">
        <f t="shared" si="14"/>
        <v>BTP 3,60% ott 2035</v>
      </c>
      <c r="F56" s="20">
        <f>IF($B$42&gt;'1 - Titoli e shock'!$B$17,(PRICE('1 - Titoli e shock'!$B$17,$B$42,'1 - Titoli e shock'!$C$29,2*((1+$G$42+F$5/100)^0.5-1),100,2,1)+$I$42-'1 - Titoli e shock'!$B$8*(MAX(0,PRICE('1 - Titoli e shock'!$B$17,$B$42,'1 - Titoli e shock'!$C$29,2*((1+$G$42+F$5/100)^0.5-1),100,2,1)-'1 - Titoli e shock'!$E$29)+$I$42))*$C$42,0)</f>
        <v>0</v>
      </c>
      <c r="G56" s="20">
        <f>IF($B$42&gt;'1 - Titoli e shock'!$B$17,(PRICE('1 - Titoli e shock'!$B$17,$B$42,'1 - Titoli e shock'!$C$29,2*((1+$G$42+G$5/100)^0.5-1),100,2,1)+$I$42-'1 - Titoli e shock'!$B$8*(MAX(0,PRICE('1 - Titoli e shock'!$B$17,$B$42,'1 - Titoli e shock'!$C$29,2*((1+$G$42+G$5/100)^0.5-1),100,2,1)-'1 - Titoli e shock'!$E$29)+$I$42))*$C$42,0)</f>
        <v>0</v>
      </c>
      <c r="H56" s="20">
        <f>IF($B$42&gt;'1 - Titoli e shock'!$B$17,(PRICE('1 - Titoli e shock'!$B$17,$B$42,'1 - Titoli e shock'!$C$29,2*((1+$G$42+H$5/100)^0.5-1),100,2,1)+$I$42-'1 - Titoli e shock'!$B$8*(MAX(0,PRICE('1 - Titoli e shock'!$B$17,$B$42,'1 - Titoli e shock'!$C$29,2*((1+$G$42+H$5/100)^0.5-1),100,2,1)-'1 - Titoli e shock'!$E$29)+$I$42))*$C$42,0)</f>
        <v>0</v>
      </c>
      <c r="I56" s="20">
        <f>IF($B$42&gt;'1 - Titoli e shock'!$B$17,(PRICE('1 - Titoli e shock'!$B$17,$B$42,'1 - Titoli e shock'!$C$29,2*((1+$G$42+I$5/100)^0.5-1),100,2,1)+$I$42-'1 - Titoli e shock'!$B$8*(MAX(0,PRICE('1 - Titoli e shock'!$B$17,$B$42,'1 - Titoli e shock'!$C$29,2*((1+$G$42+I$5/100)^0.5-1),100,2,1)-'1 - Titoli e shock'!$E$29)+$I$42))*$C$42,0)</f>
        <v>0</v>
      </c>
      <c r="J56" s="20">
        <f>IF($B$42&gt;'1 - Titoli e shock'!$B$17,(PRICE('1 - Titoli e shock'!$B$17,$B$42,'1 - Titoli e shock'!$C$29,2*((1+$G$42+J$5/100)^0.5-1),100,2,1)+$I$42-'1 - Titoli e shock'!$B$8*(MAX(0,PRICE('1 - Titoli e shock'!$B$17,$B$42,'1 - Titoli e shock'!$C$29,2*((1+$G$42+J$5/100)^0.5-1),100,2,1)-'1 - Titoli e shock'!$E$29)+$I$42))*$C$42,0)</f>
        <v>0</v>
      </c>
      <c r="K56" s="20">
        <f>IF($B$42&gt;'1 - Titoli e shock'!$B$17,(PRICE('1 - Titoli e shock'!$B$17,$B$42,'1 - Titoli e shock'!$C$29,2*((1+$G$42+K$5/100)^0.5-1),100,2,1)+$I$42-'1 - Titoli e shock'!$B$8*(MAX(0,PRICE('1 - Titoli e shock'!$B$17,$B$42,'1 - Titoli e shock'!$C$29,2*((1+$G$42+K$5/100)^0.5-1),100,2,1)-'1 - Titoli e shock'!$E$29)+$I$42))*$C$42,0)</f>
        <v>0</v>
      </c>
      <c r="L56" s="20">
        <f>IF($B$42&gt;'1 - Titoli e shock'!$B$17,(PRICE('1 - Titoli e shock'!$B$17,$B$42,'1 - Titoli e shock'!$C$29,2*((1+$G$42+L$5/100)^0.5-1),100,2,1)+$I$42-'1 - Titoli e shock'!$B$8*(MAX(0,PRICE('1 - Titoli e shock'!$B$17,$B$42,'1 - Titoli e shock'!$C$29,2*((1+$G$42+L$5/100)^0.5-1),100,2,1)-'1 - Titoli e shock'!$E$29)+$I$42))*$C$42,0)</f>
        <v>0</v>
      </c>
      <c r="M56" s="20">
        <f>IF($B$42&gt;'1 - Titoli e shock'!$B$17,(PRICE('1 - Titoli e shock'!$B$17,$B$42,'1 - Titoli e shock'!$C$29,2*((1+$G$42+M$5/100)^0.5-1),100,2,1)+$I$42-'1 - Titoli e shock'!$B$8*(MAX(0,PRICE('1 - Titoli e shock'!$B$17,$B$42,'1 - Titoli e shock'!$C$29,2*((1+$G$42+M$5/100)^0.5-1),100,2,1)-'1 - Titoli e shock'!$E$29)+$I$42))*$C$42,0)</f>
        <v>0</v>
      </c>
      <c r="N56" s="20">
        <f>IF($B$42&gt;'1 - Titoli e shock'!$B$17,(PRICE('1 - Titoli e shock'!$B$17,$B$42,'1 - Titoli e shock'!$C$29,2*((1+$G$42+N$5/100)^0.5-1),100,2,1)+$I$42-'1 - Titoli e shock'!$B$8*(MAX(0,PRICE('1 - Titoli e shock'!$B$17,$B$42,'1 - Titoli e shock'!$C$29,2*((1+$G$42+N$5/100)^0.5-1),100,2,1)-'1 - Titoli e shock'!$E$29)+$I$42))*$C$42,0)</f>
        <v>0</v>
      </c>
      <c r="O56" s="20">
        <f>IF($B$42&gt;'1 - Titoli e shock'!$B$17,(PRICE('1 - Titoli e shock'!$B$17,$B$42,'1 - Titoli e shock'!$C$29,2*((1+$G$42+O$5/100)^0.5-1),100,2,1)+$I$42-'1 - Titoli e shock'!$B$8*(MAX(0,PRICE('1 - Titoli e shock'!$B$17,$B$42,'1 - Titoli e shock'!$C$29,2*((1+$G$42+O$5/100)^0.5-1),100,2,1)-'1 - Titoli e shock'!$E$29)+$I$42))*$C$42,0)</f>
        <v>0</v>
      </c>
      <c r="P56" s="20">
        <f>IF($B$42&gt;'1 - Titoli e shock'!$B$17,(PRICE('1 - Titoli e shock'!$B$17,$B$42,'1 - Titoli e shock'!$C$29,2*((1+$G$42+P$5/100)^0.5-1),100,2,1)+$I$42-'1 - Titoli e shock'!$B$8*(MAX(0,PRICE('1 - Titoli e shock'!$B$17,$B$42,'1 - Titoli e shock'!$C$29,2*((1+$G$42+P$5/100)^0.5-1),100,2,1)-'1 - Titoli e shock'!$E$29)+$I$42))*$C$42,0)</f>
        <v>0</v>
      </c>
      <c r="Q56" s="20">
        <f>IF($B$42&gt;'1 - Titoli e shock'!$B$17,(PRICE('1 - Titoli e shock'!$B$17,$B$42,'1 - Titoli e shock'!$C$29,2*((1+$G$42+Q$5/100)^0.5-1),100,2,1)+$I$42-'1 - Titoli e shock'!$B$8*(MAX(0,PRICE('1 - Titoli e shock'!$B$17,$B$42,'1 - Titoli e shock'!$C$29,2*((1+$G$42+Q$5/100)^0.5-1),100,2,1)-'1 - Titoli e shock'!$E$29)+$I$42))*$C$42,0)</f>
        <v>0</v>
      </c>
      <c r="R56" s="20">
        <f>IF($B$42&gt;'1 - Titoli e shock'!$B$17,(PRICE('1 - Titoli e shock'!$B$17,$B$42,'1 - Titoli e shock'!$C$29,2*((1+$G$42+R$5/100)^0.5-1),100,2,1)+$I$42-'1 - Titoli e shock'!$B$8*(MAX(0,PRICE('1 - Titoli e shock'!$B$17,$B$42,'1 - Titoli e shock'!$C$29,2*((1+$G$42+R$5/100)^0.5-1),100,2,1)-'1 - Titoli e shock'!$E$29)+$I$42))*$C$42,0)</f>
        <v>0</v>
      </c>
      <c r="S56" s="20">
        <f>IF($B$42&gt;'1 - Titoli e shock'!$B$17,(PRICE('1 - Titoli e shock'!$B$17,$B$42,'1 - Titoli e shock'!$C$29,2*((1+$G$42+S$5/100)^0.5-1),100,2,1)+$I$42-'1 - Titoli e shock'!$B$8*(MAX(0,PRICE('1 - Titoli e shock'!$B$17,$B$42,'1 - Titoli e shock'!$C$29,2*((1+$G$42+S$5/100)^0.5-1),100,2,1)-'1 - Titoli e shock'!$E$29)+$I$42))*$C$42,0)</f>
        <v>0</v>
      </c>
      <c r="T56" s="20">
        <f>IF($B$42&gt;'1 - Titoli e shock'!$B$17,(PRICE('1 - Titoli e shock'!$B$17,$B$42,'1 - Titoli e shock'!$C$29,2*((1+$G$42+T$5/100)^0.5-1),100,2,1)+$I$42-'1 - Titoli e shock'!$B$8*(MAX(0,PRICE('1 - Titoli e shock'!$B$17,$B$42,'1 - Titoli e shock'!$C$29,2*((1+$G$42+T$5/100)^0.5-1),100,2,1)-'1 - Titoli e shock'!$E$29)+$I$42))*$C$42,0)</f>
        <v>0</v>
      </c>
      <c r="U56" s="20">
        <f>IF($B$42&gt;'1 - Titoli e shock'!$B$17,(PRICE('1 - Titoli e shock'!$B$17,$B$42,'1 - Titoli e shock'!$C$29,2*((1+$G$42+U$5/100)^0.5-1),100,2,1)+$I$42-'1 - Titoli e shock'!$B$8*(MAX(0,PRICE('1 - Titoli e shock'!$B$17,$B$42,'1 - Titoli e shock'!$C$29,2*((1+$G$42+U$5/100)^0.5-1),100,2,1)-'1 - Titoli e shock'!$E$29)+$I$42))*$C$42,0)</f>
        <v>0</v>
      </c>
    </row>
    <row r="57" spans="1:21">
      <c r="A57" s="22" t="str">
        <f t="shared" si="14"/>
        <v>BTP 4,00% ott 2036</v>
      </c>
      <c r="F57" s="20">
        <f>IF($B$43&gt;'1 - Titoli e shock'!$B$17,(PRICE('1 - Titoli e shock'!$B$17,$B$43,'1 - Titoli e shock'!$C$30,2*((1+$G$43+F$5/100)^0.5-1),100,2,1)+$I$43-'1 - Titoli e shock'!$B$8*(MAX(0,PRICE('1 - Titoli e shock'!$B$17,$B$43,'1 - Titoli e shock'!$C$30,2*((1+$G$43+F$5/100)^0.5-1),100,2,1)-'1 - Titoli e shock'!$E$30)+$I$43))*$C$43,0)</f>
        <v>0</v>
      </c>
      <c r="G57" s="20">
        <f>IF($B$43&gt;'1 - Titoli e shock'!$B$17,(PRICE('1 - Titoli e shock'!$B$17,$B$43,'1 - Titoli e shock'!$C$30,2*((1+$G$43+G$5/100)^0.5-1),100,2,1)+$I$43-'1 - Titoli e shock'!$B$8*(MAX(0,PRICE('1 - Titoli e shock'!$B$17,$B$43,'1 - Titoli e shock'!$C$30,2*((1+$G$43+G$5/100)^0.5-1),100,2,1)-'1 - Titoli e shock'!$E$30)+$I$43))*$C$43,0)</f>
        <v>0</v>
      </c>
      <c r="H57" s="20">
        <f>IF($B$43&gt;'1 - Titoli e shock'!$B$17,(PRICE('1 - Titoli e shock'!$B$17,$B$43,'1 - Titoli e shock'!$C$30,2*((1+$G$43+H$5/100)^0.5-1),100,2,1)+$I$43-'1 - Titoli e shock'!$B$8*(MAX(0,PRICE('1 - Titoli e shock'!$B$17,$B$43,'1 - Titoli e shock'!$C$30,2*((1+$G$43+H$5/100)^0.5-1),100,2,1)-'1 - Titoli e shock'!$E$30)+$I$43))*$C$43,0)</f>
        <v>0</v>
      </c>
      <c r="I57" s="20">
        <f>IF($B$43&gt;'1 - Titoli e shock'!$B$17,(PRICE('1 - Titoli e shock'!$B$17,$B$43,'1 - Titoli e shock'!$C$30,2*((1+$G$43+I$5/100)^0.5-1),100,2,1)+$I$43-'1 - Titoli e shock'!$B$8*(MAX(0,PRICE('1 - Titoli e shock'!$B$17,$B$43,'1 - Titoli e shock'!$C$30,2*((1+$G$43+I$5/100)^0.5-1),100,2,1)-'1 - Titoli e shock'!$E$30)+$I$43))*$C$43,0)</f>
        <v>0</v>
      </c>
      <c r="J57" s="20">
        <f>IF($B$43&gt;'1 - Titoli e shock'!$B$17,(PRICE('1 - Titoli e shock'!$B$17,$B$43,'1 - Titoli e shock'!$C$30,2*((1+$G$43+J$5/100)^0.5-1),100,2,1)+$I$43-'1 - Titoli e shock'!$B$8*(MAX(0,PRICE('1 - Titoli e shock'!$B$17,$B$43,'1 - Titoli e shock'!$C$30,2*((1+$G$43+J$5/100)^0.5-1),100,2,1)-'1 - Titoli e shock'!$E$30)+$I$43))*$C$43,0)</f>
        <v>0</v>
      </c>
      <c r="K57" s="20">
        <f>IF($B$43&gt;'1 - Titoli e shock'!$B$17,(PRICE('1 - Titoli e shock'!$B$17,$B$43,'1 - Titoli e shock'!$C$30,2*((1+$G$43+K$5/100)^0.5-1),100,2,1)+$I$43-'1 - Titoli e shock'!$B$8*(MAX(0,PRICE('1 - Titoli e shock'!$B$17,$B$43,'1 - Titoli e shock'!$C$30,2*((1+$G$43+K$5/100)^0.5-1),100,2,1)-'1 - Titoli e shock'!$E$30)+$I$43))*$C$43,0)</f>
        <v>0</v>
      </c>
      <c r="L57" s="20">
        <f>IF($B$43&gt;'1 - Titoli e shock'!$B$17,(PRICE('1 - Titoli e shock'!$B$17,$B$43,'1 - Titoli e shock'!$C$30,2*((1+$G$43+L$5/100)^0.5-1),100,2,1)+$I$43-'1 - Titoli e shock'!$B$8*(MAX(0,PRICE('1 - Titoli e shock'!$B$17,$B$43,'1 - Titoli e shock'!$C$30,2*((1+$G$43+L$5/100)^0.5-1),100,2,1)-'1 - Titoli e shock'!$E$30)+$I$43))*$C$43,0)</f>
        <v>0</v>
      </c>
      <c r="M57" s="20">
        <f>IF($B$43&gt;'1 - Titoli e shock'!$B$17,(PRICE('1 - Titoli e shock'!$B$17,$B$43,'1 - Titoli e shock'!$C$30,2*((1+$G$43+M$5/100)^0.5-1),100,2,1)+$I$43-'1 - Titoli e shock'!$B$8*(MAX(0,PRICE('1 - Titoli e shock'!$B$17,$B$43,'1 - Titoli e shock'!$C$30,2*((1+$G$43+M$5/100)^0.5-1),100,2,1)-'1 - Titoli e shock'!$E$30)+$I$43))*$C$43,0)</f>
        <v>0</v>
      </c>
      <c r="N57" s="20">
        <f>IF($B$43&gt;'1 - Titoli e shock'!$B$17,(PRICE('1 - Titoli e shock'!$B$17,$B$43,'1 - Titoli e shock'!$C$30,2*((1+$G$43+N$5/100)^0.5-1),100,2,1)+$I$43-'1 - Titoli e shock'!$B$8*(MAX(0,PRICE('1 - Titoli e shock'!$B$17,$B$43,'1 - Titoli e shock'!$C$30,2*((1+$G$43+N$5/100)^0.5-1),100,2,1)-'1 - Titoli e shock'!$E$30)+$I$43))*$C$43,0)</f>
        <v>0</v>
      </c>
      <c r="O57" s="20">
        <f>IF($B$43&gt;'1 - Titoli e shock'!$B$17,(PRICE('1 - Titoli e shock'!$B$17,$B$43,'1 - Titoli e shock'!$C$30,2*((1+$G$43+O$5/100)^0.5-1),100,2,1)+$I$43-'1 - Titoli e shock'!$B$8*(MAX(0,PRICE('1 - Titoli e shock'!$B$17,$B$43,'1 - Titoli e shock'!$C$30,2*((1+$G$43+O$5/100)^0.5-1),100,2,1)-'1 - Titoli e shock'!$E$30)+$I$43))*$C$43,0)</f>
        <v>0</v>
      </c>
      <c r="P57" s="20">
        <f>IF($B$43&gt;'1 - Titoli e shock'!$B$17,(PRICE('1 - Titoli e shock'!$B$17,$B$43,'1 - Titoli e shock'!$C$30,2*((1+$G$43+P$5/100)^0.5-1),100,2,1)+$I$43-'1 - Titoli e shock'!$B$8*(MAX(0,PRICE('1 - Titoli e shock'!$B$17,$B$43,'1 - Titoli e shock'!$C$30,2*((1+$G$43+P$5/100)^0.5-1),100,2,1)-'1 - Titoli e shock'!$E$30)+$I$43))*$C$43,0)</f>
        <v>0</v>
      </c>
      <c r="Q57" s="20">
        <f>IF($B$43&gt;'1 - Titoli e shock'!$B$17,(PRICE('1 - Titoli e shock'!$B$17,$B$43,'1 - Titoli e shock'!$C$30,2*((1+$G$43+Q$5/100)^0.5-1),100,2,1)+$I$43-'1 - Titoli e shock'!$B$8*(MAX(0,PRICE('1 - Titoli e shock'!$B$17,$B$43,'1 - Titoli e shock'!$C$30,2*((1+$G$43+Q$5/100)^0.5-1),100,2,1)-'1 - Titoli e shock'!$E$30)+$I$43))*$C$43,0)</f>
        <v>0</v>
      </c>
      <c r="R57" s="20">
        <f>IF($B$43&gt;'1 - Titoli e shock'!$B$17,(PRICE('1 - Titoli e shock'!$B$17,$B$43,'1 - Titoli e shock'!$C$30,2*((1+$G$43+R$5/100)^0.5-1),100,2,1)+$I$43-'1 - Titoli e shock'!$B$8*(MAX(0,PRICE('1 - Titoli e shock'!$B$17,$B$43,'1 - Titoli e shock'!$C$30,2*((1+$G$43+R$5/100)^0.5-1),100,2,1)-'1 - Titoli e shock'!$E$30)+$I$43))*$C$43,0)</f>
        <v>0</v>
      </c>
      <c r="S57" s="20">
        <f>IF($B$43&gt;'1 - Titoli e shock'!$B$17,(PRICE('1 - Titoli e shock'!$B$17,$B$43,'1 - Titoli e shock'!$C$30,2*((1+$G$43+S$5/100)^0.5-1),100,2,1)+$I$43-'1 - Titoli e shock'!$B$8*(MAX(0,PRICE('1 - Titoli e shock'!$B$17,$B$43,'1 - Titoli e shock'!$C$30,2*((1+$G$43+S$5/100)^0.5-1),100,2,1)-'1 - Titoli e shock'!$E$30)+$I$43))*$C$43,0)</f>
        <v>0</v>
      </c>
      <c r="T57" s="20">
        <f>IF($B$43&gt;'1 - Titoli e shock'!$B$17,(PRICE('1 - Titoli e shock'!$B$17,$B$43,'1 - Titoli e shock'!$C$30,2*((1+$G$43+T$5/100)^0.5-1),100,2,1)+$I$43-'1 - Titoli e shock'!$B$8*(MAX(0,PRICE('1 - Titoli e shock'!$B$17,$B$43,'1 - Titoli e shock'!$C$30,2*((1+$G$43+T$5/100)^0.5-1),100,2,1)-'1 - Titoli e shock'!$E$30)+$I$43))*$C$43,0)</f>
        <v>0</v>
      </c>
      <c r="U57" s="20">
        <f>IF($B$43&gt;'1 - Titoli e shock'!$B$17,(PRICE('1 - Titoli e shock'!$B$17,$B$43,'1 - Titoli e shock'!$C$30,2*((1+$G$43+U$5/100)^0.5-1),100,2,1)+$I$43-'1 - Titoli e shock'!$B$8*(MAX(0,PRICE('1 - Titoli e shock'!$B$17,$B$43,'1 - Titoli e shock'!$C$30,2*((1+$G$43+U$5/100)^0.5-1),100,2,1)-'1 - Titoli e shock'!$E$30)+$I$43))*$C$43,0)</f>
        <v>0</v>
      </c>
    </row>
    <row r="59" spans="1:21">
      <c r="A59" s="22" t="str">
        <f t="shared" ref="A59:A68" si="15">A34</f>
        <v>BTP 2,70% ott 2027</v>
      </c>
      <c r="F59" s="20">
        <f>IF(AND($B$34&lt;='1 - Titoli e shock'!$B$17,$E$34&gt;'1 - Titoli e shock'!$B$17),$D$34*(1+F$6/2*(1-'1 - Titoli e shock'!$B$8)*$H$34),0)</f>
        <v>20078.738592398098</v>
      </c>
      <c r="G59" s="20">
        <f>IF(AND($B$34&lt;='1 - Titoli e shock'!$B$17,$E$34&gt;'1 - Titoli e shock'!$B$17),$D$34*(1+G$6/2*(1-'1 - Titoli e shock'!$B$8)*$H$34),0)</f>
        <v>20080.631234271448</v>
      </c>
      <c r="H59" s="20">
        <f>IF(AND($B$34&lt;='1 - Titoli e shock'!$B$17,$E$34&gt;'1 - Titoli e shock'!$B$17),$D$34*(1+H$6/2*(1-'1 - Titoli e shock'!$B$8)*$H$34),0)</f>
        <v>20082.514840860847</v>
      </c>
      <c r="I59" s="20">
        <f>IF(AND($B$34&lt;='1 - Titoli e shock'!$B$17,$E$34&gt;'1 - Titoli e shock'!$B$17),$D$34*(1+I$6/2*(1-'1 - Titoli e shock'!$B$8)*$H$34),0)</f>
        <v>20084.389540344564</v>
      </c>
      <c r="J59" s="20">
        <f>IF(AND($B$34&lt;='1 - Titoli e shock'!$B$17,$E$34&gt;'1 - Titoli e shock'!$B$17),$D$34*(1+J$6/2*(1-'1 - Titoli e shock'!$B$8)*$H$34),0)</f>
        <v>20081.102977917453</v>
      </c>
      <c r="K59" s="20">
        <f>IF(AND($B$34&lt;='1 - Titoli e shock'!$B$17,$E$34&gt;'1 - Titoli e shock'!$B$17),$D$34*(1+K$6/2*(1-'1 - Titoli e shock'!$B$8)*$H$34),0)</f>
        <v>20081.574158893964</v>
      </c>
      <c r="L59" s="20">
        <f>IF(AND($B$34&lt;='1 - Titoli e shock'!$B$17,$E$34&gt;'1 - Titoli e shock'!$B$17),$D$34*(1+L$6/2*(1-'1 - Titoli e shock'!$B$8)*$H$34),0)</f>
        <v>20081.762474187424</v>
      </c>
      <c r="M59" s="20">
        <f>IF(AND($B$34&lt;='1 - Titoli e shock'!$B$17,$E$34&gt;'1 - Titoli e shock'!$B$17),$D$34*(1+M$6/2*(1-'1 - Titoli e shock'!$B$8)*$H$34),0)</f>
        <v>20081.950699903289</v>
      </c>
      <c r="N59" s="20">
        <f>IF(AND($B$34&lt;='1 - Titoli e shock'!$B$17,$E$34&gt;'1 - Titoli e shock'!$B$17),$D$34*(1+N$6/2*(1-'1 - Titoli e shock'!$B$8)*$H$34),0)</f>
        <v>20082.138836169263</v>
      </c>
      <c r="O59" s="20">
        <f>IF(AND($B$34&lt;='1 - Titoli e shock'!$B$17,$E$34&gt;'1 - Titoli e shock'!$B$17),$D$34*(1+O$6/2*(1-'1 - Titoli e shock'!$B$8)*$H$34),0)</f>
        <v>20082.326883112746</v>
      </c>
      <c r="P59" s="20">
        <f>IF(AND($B$34&lt;='1 - Titoli e shock'!$B$17,$E$34&gt;'1 - Titoli e shock'!$B$17),$D$34*(1+P$6/2*(1-'1 - Titoli e shock'!$B$8)*$H$34),0)</f>
        <v>20082.702709540368</v>
      </c>
      <c r="Q59" s="20">
        <f>IF(AND($B$34&lt;='1 - Titoli e shock'!$B$17,$E$34&gt;'1 - Titoli e shock'!$B$17),$D$34*(1+Q$6/2*(1-'1 - Titoli e shock'!$B$8)*$H$34),0)</f>
        <v>20082.890489277812</v>
      </c>
      <c r="R59" s="20">
        <f>IF(AND($B$34&lt;='1 - Titoli e shock'!$B$17,$E$34&gt;'1 - Titoli e shock'!$B$17),$D$34*(1+R$6/2*(1-'1 - Titoli e shock'!$B$8)*$H$34),0)</f>
        <v>20083.07818019938</v>
      </c>
      <c r="S59" s="20">
        <f>IF(AND($B$34&lt;='1 - Titoli e shock'!$B$17,$E$34&gt;'1 - Titoli e shock'!$B$17),$D$34*(1+S$6/2*(1-'1 - Titoli e shock'!$B$8)*$H$34),0)</f>
        <v>20083.265782430975</v>
      </c>
      <c r="T59" s="20">
        <f>IF(AND($B$34&lt;='1 - Titoli e shock'!$B$17,$E$34&gt;'1 - Titoli e shock'!$B$17),$D$34*(1+T$6/2*(1-'1 - Titoli e shock'!$B$8)*$H$34),0)</f>
        <v>20083.453296098218</v>
      </c>
      <c r="U59" s="20">
        <f>IF(AND($B$34&lt;='1 - Titoli e shock'!$B$17,$E$34&gt;'1 - Titoli e shock'!$B$17),$D$34*(1+U$6/2*(1-'1 - Titoli e shock'!$B$8)*$H$34),0)</f>
        <v>20086.255457898576</v>
      </c>
    </row>
    <row r="60" spans="1:21">
      <c r="A60" s="22" t="str">
        <f t="shared" si="15"/>
        <v>BTP 2,80% dic 2028</v>
      </c>
      <c r="F60" s="20">
        <f>IF(AND($B$35&lt;='1 - Titoli e shock'!$B$17,$E$35&gt;'1 - Titoli e shock'!$B$17),$D$35*(1+F$6/2*(1-'1 - Titoli e shock'!$B$8)*$H$35),0)</f>
        <v>20227.220187284947</v>
      </c>
      <c r="G60" s="20">
        <f>IF(AND($B$35&lt;='1 - Titoli e shock'!$B$17,$E$35&gt;'1 - Titoli e shock'!$B$17),$D$35*(1+G$6/2*(1-'1 - Titoli e shock'!$B$8)*$H$35),0)</f>
        <v>20292.850313991894</v>
      </c>
      <c r="H60" s="20">
        <f>IF(AND($B$35&lt;='1 - Titoli e shock'!$B$17,$E$35&gt;'1 - Titoli e shock'!$B$17),$D$35*(1+H$6/2*(1-'1 - Titoli e shock'!$B$8)*$H$35),0)</f>
        <v>20358.167129005389</v>
      </c>
      <c r="I60" s="20">
        <f>IF(AND($B$35&lt;='1 - Titoli e shock'!$B$17,$E$35&gt;'1 - Titoli e shock'!$B$17),$D$35*(1+I$6/2*(1-'1 - Titoli e shock'!$B$8)*$H$35),0)</f>
        <v>20423.175077094369</v>
      </c>
      <c r="J60" s="20">
        <f>IF(AND($B$35&lt;='1 - Titoli e shock'!$B$17,$E$35&gt;'1 - Titoli e shock'!$B$17),$D$35*(1+J$6/2*(1-'1 - Titoli e shock'!$B$8)*$H$35),0)</f>
        <v>20309.208715280893</v>
      </c>
      <c r="K60" s="20">
        <f>IF(AND($B$35&lt;='1 - Titoli e shock'!$B$17,$E$35&gt;'1 - Titoli e shock'!$B$17),$D$35*(1+K$6/2*(1-'1 - Titoli e shock'!$B$8)*$H$35),0)</f>
        <v>20325.547605181589</v>
      </c>
      <c r="L60" s="20">
        <f>IF(AND($B$35&lt;='1 - Titoli e shock'!$B$17,$E$35&gt;'1 - Titoli e shock'!$B$17),$D$35*(1+L$6/2*(1-'1 - Titoli e shock'!$B$8)*$H$35),0)</f>
        <v>20332.077713568713</v>
      </c>
      <c r="M60" s="20">
        <f>IF(AND($B$35&lt;='1 - Titoli e shock'!$B$17,$E$35&gt;'1 - Titoli e shock'!$B$17),$D$35*(1+M$6/2*(1-'1 - Titoli e shock'!$B$8)*$H$35),0)</f>
        <v>20338.604715721405</v>
      </c>
      <c r="N60" s="20">
        <f>IF(AND($B$35&lt;='1 - Titoli e shock'!$B$17,$E$35&gt;'1 - Titoli e shock'!$B$17),$D$35*(1+N$6/2*(1-'1 - Titoli e shock'!$B$8)*$H$35),0)</f>
        <v>20345.12861606817</v>
      </c>
      <c r="O60" s="20">
        <f>IF(AND($B$35&lt;='1 - Titoli e shock'!$B$17,$E$35&gt;'1 - Titoli e shock'!$B$17),$D$35*(1+O$6/2*(1-'1 - Titoli e shock'!$B$8)*$H$35),0)</f>
        <v>20351.649419026995</v>
      </c>
      <c r="P60" s="20">
        <f>IF(AND($B$35&lt;='1 - Titoli e shock'!$B$17,$E$35&gt;'1 - Titoli e shock'!$B$17),$D$35*(1+P$6/2*(1-'1 - Titoli e shock'!$B$8)*$H$35),0)</f>
        <v>20364.681750400403</v>
      </c>
      <c r="Q60" s="20">
        <f>IF(AND($B$35&lt;='1 - Titoli e shock'!$B$17,$E$35&gt;'1 - Titoli e shock'!$B$17),$D$35*(1+Q$6/2*(1-'1 - Titoli e shock'!$B$8)*$H$35),0)</f>
        <v>20371.193287598708</v>
      </c>
      <c r="R60" s="20">
        <f>IF(AND($B$35&lt;='1 - Titoli e shock'!$B$17,$E$35&gt;'1 - Titoli e shock'!$B$17),$D$35*(1+R$6/2*(1-'1 - Titoli e shock'!$B$8)*$H$35),0)</f>
        <v>20377.701744976574</v>
      </c>
      <c r="S60" s="20">
        <f>IF(AND($B$35&lt;='1 - Titoli e shock'!$B$17,$E$35&gt;'1 - Titoli e shock'!$B$17),$D$35*(1+S$6/2*(1-'1 - Titoli e shock'!$B$8)*$H$35),0)</f>
        <v>20384.20712689995</v>
      </c>
      <c r="T60" s="20">
        <f>IF(AND($B$35&lt;='1 - Titoli e shock'!$B$17,$E$35&gt;'1 - Titoli e shock'!$B$17),$D$35*(1+T$6/2*(1-'1 - Titoli e shock'!$B$8)*$H$35),0)</f>
        <v>20390.709437724468</v>
      </c>
      <c r="U60" s="20">
        <f>IF(AND($B$35&lt;='1 - Titoli e shock'!$B$17,$E$35&gt;'1 - Titoli e shock'!$B$17),$D$35*(1+U$6/2*(1-'1 - Titoli e shock'!$B$8)*$H$35),0)</f>
        <v>20487.878498919017</v>
      </c>
    </row>
    <row r="61" spans="1:21">
      <c r="A61" s="22" t="str">
        <f t="shared" si="15"/>
        <v>BTP 3,00% ott 2029</v>
      </c>
      <c r="F61" s="20">
        <f>IF(AND($B$36&lt;='1 - Titoli e shock'!$B$17,$E$36&gt;'1 - Titoli e shock'!$B$17),$D$36*(1+F$6/2*(1-'1 - Titoli e shock'!$B$8)*$H$36),0)</f>
        <v>20306.000078764555</v>
      </c>
      <c r="G61" s="20">
        <f>IF(AND($B$36&lt;='1 - Titoli e shock'!$B$17,$E$36&gt;'1 - Titoli e shock'!$B$17),$D$36*(1+G$6/2*(1-'1 - Titoli e shock'!$B$8)*$H$36),0)</f>
        <v>20314.603356811502</v>
      </c>
      <c r="H61" s="20">
        <f>IF(AND($B$36&lt;='1 - Titoli e shock'!$B$17,$E$36&gt;'1 - Titoli e shock'!$B$17),$D$36*(1+H$6/2*(1-'1 - Titoli e shock'!$B$8)*$H$36),0)</f>
        <v>20323.165563665243</v>
      </c>
      <c r="I61" s="20">
        <f>IF(AND($B$36&lt;='1 - Titoli e shock'!$B$17,$E$36&gt;'1 - Titoli e shock'!$B$17),$D$36*(1+I$6/2*(1-'1 - Titoli e shock'!$B$8)*$H$36),0)</f>
        <v>20331.687281978666</v>
      </c>
      <c r="J61" s="20">
        <f>IF(AND($B$36&lt;='1 - Titoli e shock'!$B$17,$E$36&gt;'1 - Titoli e shock'!$B$17),$D$36*(1+J$6/2*(1-'1 - Titoli e shock'!$B$8)*$H$36),0)</f>
        <v>20316.747735951907</v>
      </c>
      <c r="K61" s="20">
        <f>IF(AND($B$36&lt;='1 - Titoli e shock'!$B$17,$E$36&gt;'1 - Titoli e shock'!$B$17),$D$36*(1+K$6/2*(1-'1 - Titoli e shock'!$B$8)*$H$36),0)</f>
        <v>20318.889557396531</v>
      </c>
      <c r="L61" s="20">
        <f>IF(AND($B$36&lt;='1 - Titoli e shock'!$B$17,$E$36&gt;'1 - Titoli e shock'!$B$17),$D$36*(1+L$6/2*(1-'1 - Titoli e shock'!$B$8)*$H$36),0)</f>
        <v>20319.745571866562</v>
      </c>
      <c r="M61" s="20">
        <f>IF(AND($B$36&lt;='1 - Titoli e shock'!$B$17,$E$36&gt;'1 - Titoli e shock'!$B$17),$D$36*(1+M$6/2*(1-'1 - Titoli e shock'!$B$8)*$H$36),0)</f>
        <v>20320.601179148616</v>
      </c>
      <c r="N61" s="20">
        <f>IF(AND($B$36&lt;='1 - Titoli e shock'!$B$17,$E$36&gt;'1 - Titoli e shock'!$B$17),$D$36*(1+N$6/2*(1-'1 - Titoli e shock'!$B$8)*$H$36),0)</f>
        <v>20321.456379823216</v>
      </c>
      <c r="O61" s="20">
        <f>IF(AND($B$36&lt;='1 - Titoli e shock'!$B$17,$E$36&gt;'1 - Titoli e shock'!$B$17),$D$36*(1+O$6/2*(1-'1 - Titoli e shock'!$B$8)*$H$36),0)</f>
        <v>20322.311174469502</v>
      </c>
      <c r="P61" s="20">
        <f>IF(AND($B$36&lt;='1 - Titoli e shock'!$B$17,$E$36&gt;'1 - Titoli e shock'!$B$17),$D$36*(1+P$6/2*(1-'1 - Titoli e shock'!$B$8)*$H$36),0)</f>
        <v>20324.019547986838</v>
      </c>
      <c r="Q61" s="20">
        <f>IF(AND($B$36&lt;='1 - Titoli e shock'!$B$17,$E$36&gt;'1 - Titoli e shock'!$B$17),$D$36*(1+Q$6/2*(1-'1 - Titoli e shock'!$B$8)*$H$36),0)</f>
        <v>20324.87312800932</v>
      </c>
      <c r="R61" s="20">
        <f>IF(AND($B$36&lt;='1 - Titoli e shock'!$B$17,$E$36&gt;'1 - Titoli e shock'!$B$17),$D$36*(1+R$6/2*(1-'1 - Titoli e shock'!$B$8)*$H$36),0)</f>
        <v>20325.726304306365</v>
      </c>
      <c r="S61" s="20">
        <f>IF(AND($B$36&lt;='1 - Titoli e shock'!$B$17,$E$36&gt;'1 - Titoli e shock'!$B$17),$D$36*(1+S$6/2*(1-'1 - Titoli e shock'!$B$8)*$H$36),0)</f>
        <v>20326.579077450293</v>
      </c>
      <c r="T61" s="20">
        <f>IF(AND($B$36&lt;='1 - Titoli e shock'!$B$17,$E$36&gt;'1 - Titoli e shock'!$B$17),$D$36*(1+T$6/2*(1-'1 - Titoli e shock'!$B$8)*$H$36),0)</f>
        <v>20327.431448012074</v>
      </c>
      <c r="U61" s="20">
        <f>IF(AND($B$36&lt;='1 - Titoli e shock'!$B$17,$E$36&gt;'1 - Titoli e shock'!$B$17),$D$36*(1+U$6/2*(1-'1 - Titoli e shock'!$B$8)*$H$36),0)</f>
        <v>20340.169080757325</v>
      </c>
    </row>
    <row r="62" spans="1:21">
      <c r="A62" s="22" t="str">
        <f t="shared" si="15"/>
        <v>BTP 2,70% ott 2030</v>
      </c>
      <c r="F62" s="20">
        <f>IF(AND($B$37&lt;='1 - Titoli e shock'!$B$17,$E$37&gt;'1 - Titoli e shock'!$B$17),$D$37*(1+F$6/2*(1-'1 - Titoli e shock'!$B$8)*$H$37),0)</f>
        <v>20723.76897568089</v>
      </c>
      <c r="G62" s="20">
        <f>IF(AND($B$37&lt;='1 - Titoli e shock'!$B$17,$E$37&gt;'1 - Titoli e shock'!$B$17),$D$37*(1+G$6/2*(1-'1 - Titoli e shock'!$B$8)*$H$37),0)</f>
        <v>20732.54925471107</v>
      </c>
      <c r="H62" s="20">
        <f>IF(AND($B$37&lt;='1 - Titoli e shock'!$B$17,$E$37&gt;'1 - Titoli e shock'!$B$17),$D$37*(1+H$6/2*(1-'1 - Titoli e shock'!$B$8)*$H$37),0)</f>
        <v>20741.287617562968</v>
      </c>
      <c r="I62" s="20">
        <f>IF(AND($B$37&lt;='1 - Titoli e shock'!$B$17,$E$37&gt;'1 - Titoli e shock'!$B$17),$D$37*(1+I$6/2*(1-'1 - Titoli e shock'!$B$8)*$H$37),0)</f>
        <v>20749.984658876776</v>
      </c>
      <c r="J62" s="20">
        <f>IF(AND($B$37&lt;='1 - Titoli e shock'!$B$17,$E$37&gt;'1 - Titoli e shock'!$B$17),$D$37*(1+J$6/2*(1-'1 - Titoli e shock'!$B$8)*$H$37),0)</f>
        <v>20734.737751595228</v>
      </c>
      <c r="K62" s="20">
        <f>IF(AND($B$37&lt;='1 - Titoli e shock'!$B$17,$E$37&gt;'1 - Titoli e shock'!$B$17),$D$37*(1+K$6/2*(1-'1 - Titoli e shock'!$B$8)*$H$37),0)</f>
        <v>20736.923638162418</v>
      </c>
      <c r="L62" s="20">
        <f>IF(AND($B$37&lt;='1 - Titoli e shock'!$B$17,$E$37&gt;'1 - Titoli e shock'!$B$17),$D$37*(1+L$6/2*(1-'1 - Titoli e shock'!$B$8)*$H$37),0)</f>
        <v>20737.797263989662</v>
      </c>
      <c r="M62" s="20">
        <f>IF(AND($B$37&lt;='1 - Titoli e shock'!$B$17,$E$37&gt;'1 - Titoli e shock'!$B$17),$D$37*(1+M$6/2*(1-'1 - Titoli e shock'!$B$8)*$H$37),0)</f>
        <v>20738.670474251572</v>
      </c>
      <c r="N62" s="20">
        <f>IF(AND($B$37&lt;='1 - Titoli e shock'!$B$17,$E$37&gt;'1 - Titoli e shock'!$B$17),$D$37*(1+N$6/2*(1-'1 - Titoli e shock'!$B$8)*$H$37),0)</f>
        <v>20739.543269540623</v>
      </c>
      <c r="O62" s="20">
        <f>IF(AND($B$37&lt;='1 - Titoli e shock'!$B$17,$E$37&gt;'1 - Titoli e shock'!$B$17),$D$37*(1+O$6/2*(1-'1 - Titoli e shock'!$B$8)*$H$37),0)</f>
        <v>20740.415650447874</v>
      </c>
      <c r="P62" s="20">
        <f>IF(AND($B$37&lt;='1 - Titoli e shock'!$B$17,$E$37&gt;'1 - Titoli e shock'!$B$17),$D$37*(1+P$6/2*(1-'1 - Titoli e shock'!$B$8)*$H$37),0)</f>
        <v>20742.159171474173</v>
      </c>
      <c r="Q62" s="20">
        <f>IF(AND($B$37&lt;='1 - Titoli e shock'!$B$17,$E$37&gt;'1 - Titoli e shock'!$B$17),$D$37*(1+Q$6/2*(1-'1 - Titoli e shock'!$B$8)*$H$37),0)</f>
        <v>20743.030312768351</v>
      </c>
      <c r="R62" s="20">
        <f>IF(AND($B$37&lt;='1 - Titoli e shock'!$B$17,$E$37&gt;'1 - Titoli e shock'!$B$17),$D$37*(1+R$6/2*(1-'1 - Titoli e shock'!$B$8)*$H$37),0)</f>
        <v>20743.901042030979</v>
      </c>
      <c r="S62" s="20">
        <f>IF(AND($B$37&lt;='1 - Titoli e shock'!$B$17,$E$37&gt;'1 - Titoli e shock'!$B$17),$D$37*(1+S$6/2*(1-'1 - Titoli e shock'!$B$8)*$H$37),0)</f>
        <v>20744.771359846152</v>
      </c>
      <c r="T62" s="20">
        <f>IF(AND($B$37&lt;='1 - Titoli e shock'!$B$17,$E$37&gt;'1 - Titoli e shock'!$B$17),$D$37*(1+T$6/2*(1-'1 - Titoli e shock'!$B$8)*$H$37),0)</f>
        <v>20745.641266796589</v>
      </c>
      <c r="U62" s="20">
        <f>IF(AND($B$37&lt;='1 - Titoli e shock'!$B$17,$E$37&gt;'1 - Titoli e shock'!$B$17),$D$37*(1+U$6/2*(1-'1 - Titoli e shock'!$B$8)*$H$37),0)</f>
        <v>20758.640959364584</v>
      </c>
    </row>
    <row r="63" spans="1:21">
      <c r="A63" s="22" t="str">
        <f t="shared" si="15"/>
        <v>BTP 3,15% nov 2031</v>
      </c>
      <c r="F63" s="20">
        <f>IF(AND($B$38&lt;='1 - Titoli e shock'!$B$17,$E$38&gt;'1 - Titoli e shock'!$B$17),$D$38*(1+F$6/2*(1-'1 - Titoli e shock'!$B$8)*$H$38),0)</f>
        <v>20602.930512668616</v>
      </c>
      <c r="G63" s="20">
        <f>IF(AND($B$38&lt;='1 - Titoli e shock'!$B$17,$E$38&gt;'1 - Titoli e shock'!$B$17),$D$38*(1+G$6/2*(1-'1 - Titoli e shock'!$B$8)*$H$38),0)</f>
        <v>20677.391398630418</v>
      </c>
      <c r="H63" s="20">
        <f>IF(AND($B$38&lt;='1 - Titoli e shock'!$B$17,$E$38&gt;'1 - Titoli e shock'!$B$17),$D$38*(1+H$6/2*(1-'1 - Titoli e shock'!$B$8)*$H$38),0)</f>
        <v>20751.49681573292</v>
      </c>
      <c r="I63" s="20">
        <f>IF(AND($B$38&lt;='1 - Titoli e shock'!$B$17,$E$38&gt;'1 - Titoli e shock'!$B$17),$D$38*(1+I$6/2*(1-'1 - Titoli e shock'!$B$8)*$H$38),0)</f>
        <v>20825.251806803994</v>
      </c>
      <c r="J63" s="20">
        <f>IF(AND($B$38&lt;='1 - Titoli e shock'!$B$17,$E$38&gt;'1 - Titoli e shock'!$B$17),$D$38*(1+J$6/2*(1-'1 - Titoli e shock'!$B$8)*$H$38),0)</f>
        <v>20695.950879070504</v>
      </c>
      <c r="K63" s="20">
        <f>IF(AND($B$38&lt;='1 - Titoli e shock'!$B$17,$E$38&gt;'1 - Titoli e shock'!$B$17),$D$38*(1+K$6/2*(1-'1 - Titoli e shock'!$B$8)*$H$38),0)</f>
        <v>20714.488222797881</v>
      </c>
      <c r="L63" s="20">
        <f>IF(AND($B$38&lt;='1 - Titoli e shock'!$B$17,$E$38&gt;'1 - Titoli e shock'!$B$17),$D$38*(1+L$6/2*(1-'1 - Titoli e shock'!$B$8)*$H$38),0)</f>
        <v>20721.896979725971</v>
      </c>
      <c r="M63" s="20">
        <f>IF(AND($B$38&lt;='1 - Titoli e shock'!$B$17,$E$38&gt;'1 - Titoli e shock'!$B$17),$D$38*(1+M$6/2*(1-'1 - Titoli e shock'!$B$8)*$H$38),0)</f>
        <v>20729.302212465114</v>
      </c>
      <c r="N63" s="20">
        <f>IF(AND($B$38&lt;='1 - Titoli e shock'!$B$17,$E$38&gt;'1 - Titoli e shock'!$B$17),$D$38*(1+N$6/2*(1-'1 - Titoli e shock'!$B$8)*$H$38),0)</f>
        <v>20736.703926039674</v>
      </c>
      <c r="O63" s="20">
        <f>IF(AND($B$38&lt;='1 - Titoli e shock'!$B$17,$E$38&gt;'1 - Titoli e shock'!$B$17),$D$38*(1+O$6/2*(1-'1 - Titoli e shock'!$B$8)*$H$38),0)</f>
        <v>20744.102125462086</v>
      </c>
      <c r="P63" s="20">
        <f>IF(AND($B$38&lt;='1 - Titoli e shock'!$B$17,$E$38&gt;'1 - Titoli e shock'!$B$17),$D$38*(1+P$6/2*(1-'1 - Titoli e shock'!$B$8)*$H$38),0)</f>
        <v>20758.888001840856</v>
      </c>
      <c r="Q63" s="20">
        <f>IF(AND($B$38&lt;='1 - Titoli e shock'!$B$17,$E$38&gt;'1 - Titoli e shock'!$B$17),$D$38*(1+Q$6/2*(1-'1 - Titoli e shock'!$B$8)*$H$38),0)</f>
        <v>20766.275688762809</v>
      </c>
      <c r="R63" s="20">
        <f>IF(AND($B$38&lt;='1 - Titoli e shock'!$B$17,$E$38&gt;'1 - Titoli e shock'!$B$17),$D$38*(1+R$6/2*(1-'1 - Titoli e shock'!$B$8)*$H$38),0)</f>
        <v>20773.659881463893</v>
      </c>
      <c r="S63" s="20">
        <f>IF(AND($B$38&lt;='1 - Titoli e shock'!$B$17,$E$38&gt;'1 - Titoli e shock'!$B$17),$D$38*(1+S$6/2*(1-'1 - Titoli e shock'!$B$8)*$H$38),0)</f>
        <v>20781.040584897506</v>
      </c>
      <c r="T63" s="20">
        <f>IF(AND($B$38&lt;='1 - Titoli e shock'!$B$17,$E$38&gt;'1 - Titoli e shock'!$B$17),$D$38*(1+T$6/2*(1-'1 - Titoli e shock'!$B$8)*$H$38),0)</f>
        <v>20788.417804005352</v>
      </c>
      <c r="U63" s="20">
        <f>IF(AND($B$38&lt;='1 - Titoli e shock'!$B$17,$E$38&gt;'1 - Titoli e shock'!$B$17),$D$38*(1+U$6/2*(1-'1 - Titoli e shock'!$B$8)*$H$38),0)</f>
        <v>20898.661296554594</v>
      </c>
    </row>
    <row r="64" spans="1:21">
      <c r="A64" s="22" t="str">
        <f t="shared" si="15"/>
        <v>BTP 3,25% nov 2032</v>
      </c>
      <c r="F64" s="20">
        <f>IF(AND($B$39&lt;='1 - Titoli e shock'!$B$17,$E$39&gt;'1 - Titoli e shock'!$B$17),$D$39*(1+F$6/2*(1-'1 - Titoli e shock'!$B$8)*$H$39),0)</f>
        <v>20716.488355066733</v>
      </c>
      <c r="G64" s="20">
        <f>IF(AND($B$39&lt;='1 - Titoli e shock'!$B$17,$E$39&gt;'1 - Titoli e shock'!$B$17),$D$39*(1+G$6/2*(1-'1 - Titoli e shock'!$B$8)*$H$39),0)</f>
        <v>20791.359649516184</v>
      </c>
      <c r="H64" s="20">
        <f>IF(AND($B$39&lt;='1 - Titoli e shock'!$B$17,$E$39&gt;'1 - Titoli e shock'!$B$17),$D$39*(1+H$6/2*(1-'1 - Titoli e shock'!$B$8)*$H$39),0)</f>
        <v>20865.87351585706</v>
      </c>
      <c r="I64" s="20">
        <f>IF(AND($B$39&lt;='1 - Titoli e shock'!$B$17,$E$39&gt;'1 - Titoli e shock'!$B$17),$D$39*(1+I$6/2*(1-'1 - Titoli e shock'!$B$8)*$H$39),0)</f>
        <v>20940.03502471195</v>
      </c>
      <c r="J64" s="20">
        <f>IF(AND($B$39&lt;='1 - Titoli e shock'!$B$17,$E$39&gt;'1 - Titoli e shock'!$B$17),$D$39*(1+J$6/2*(1-'1 - Titoli e shock'!$B$8)*$H$39),0)</f>
        <v>20810.021424848423</v>
      </c>
      <c r="K64" s="20">
        <f>IF(AND($B$39&lt;='1 - Titoli e shock'!$B$17,$E$39&gt;'1 - Titoli e shock'!$B$17),$D$39*(1+K$6/2*(1-'1 - Titoli e shock'!$B$8)*$H$39),0)</f>
        <v>20828.660941456314</v>
      </c>
      <c r="L64" s="20">
        <f>IF(AND($B$39&lt;='1 - Titoli e shock'!$B$17,$E$39&gt;'1 - Titoli e shock'!$B$17),$D$39*(1+L$6/2*(1-'1 - Titoli e shock'!$B$8)*$H$39),0)</f>
        <v>20836.110533470997</v>
      </c>
      <c r="M64" s="20">
        <f>IF(AND($B$39&lt;='1 - Titoli e shock'!$B$17,$E$39&gt;'1 - Titoli e shock'!$B$17),$D$39*(1+M$6/2*(1-'1 - Titoli e shock'!$B$8)*$H$39),0)</f>
        <v>20843.556581872348</v>
      </c>
      <c r="N64" s="20">
        <f>IF(AND($B$39&lt;='1 - Titoli e shock'!$B$17,$E$39&gt;'1 - Titoli e shock'!$B$17),$D$39*(1+N$6/2*(1-'1 - Titoli e shock'!$B$8)*$H$39),0)</f>
        <v>20850.999091712423</v>
      </c>
      <c r="O64" s="20">
        <f>IF(AND($B$39&lt;='1 - Titoli e shock'!$B$17,$E$39&gt;'1 - Titoli e shock'!$B$17),$D$39*(1+O$6/2*(1-'1 - Titoli e shock'!$B$8)*$H$39),0)</f>
        <v>20858.438068031286</v>
      </c>
      <c r="P64" s="20">
        <f>IF(AND($B$39&lt;='1 - Titoli e shock'!$B$17,$E$39&gt;'1 - Titoli e shock'!$B$17),$D$39*(1+P$6/2*(1-'1 - Titoli e shock'!$B$8)*$H$39),0)</f>
        <v>20873.305440205932</v>
      </c>
      <c r="Q64" s="20">
        <f>IF(AND($B$39&lt;='1 - Titoli e shock'!$B$17,$E$39&gt;'1 - Titoli e shock'!$B$17),$D$39*(1+Q$6/2*(1-'1 - Titoli e shock'!$B$8)*$H$39),0)</f>
        <v>20880.733846082243</v>
      </c>
      <c r="R64" s="20">
        <f>IF(AND($B$39&lt;='1 - Titoli e shock'!$B$17,$E$39&gt;'1 - Titoli e shock'!$B$17),$D$39*(1+R$6/2*(1-'1 - Titoli e shock'!$B$8)*$H$39),0)</f>
        <v>20888.158738478473</v>
      </c>
      <c r="S64" s="20">
        <f>IF(AND($B$39&lt;='1 - Titoli e shock'!$B$17,$E$39&gt;'1 - Titoli e shock'!$B$17),$D$39*(1+S$6/2*(1-'1 - Titoli e shock'!$B$8)*$H$39),0)</f>
        <v>20895.580122375322</v>
      </c>
      <c r="T64" s="20">
        <f>IF(AND($B$39&lt;='1 - Titoli e shock'!$B$17,$E$39&gt;'1 - Titoli e shock'!$B$17),$D$39*(1+T$6/2*(1-'1 - Titoli e shock'!$B$8)*$H$39),0)</f>
        <v>20902.998002741733</v>
      </c>
      <c r="U64" s="20">
        <f>IF(AND($B$39&lt;='1 - Titoli e shock'!$B$17,$E$39&gt;'1 - Titoli e shock'!$B$17),$D$39*(1+U$6/2*(1-'1 - Titoli e shock'!$B$8)*$H$39),0)</f>
        <v>21013.8491279355</v>
      </c>
    </row>
    <row r="65" spans="1:21">
      <c r="A65" s="22" t="str">
        <f t="shared" si="15"/>
        <v>BTP 4,35% nov 2033</v>
      </c>
      <c r="F65" s="20">
        <f>IF(AND($B$40&lt;='1 - Titoli e shock'!$B$17,$E$40&gt;'1 - Titoli e shock'!$B$17),$D$40*(1+F$6/2*(1-'1 - Titoli e shock'!$B$8)*$H$40),0)</f>
        <v>19644.460069220637</v>
      </c>
      <c r="G65" s="20">
        <f>IF(AND($B$40&lt;='1 - Titoli e shock'!$B$17,$E$40&gt;'1 - Titoli e shock'!$B$17),$D$40*(1+G$6/2*(1-'1 - Titoli e shock'!$B$8)*$H$40),0)</f>
        <v>19721.700107911682</v>
      </c>
      <c r="H65" s="20">
        <f>IF(AND($B$40&lt;='1 - Titoli e shock'!$B$17,$E$40&gt;'1 - Titoli e shock'!$B$17),$D$40*(1+H$6/2*(1-'1 - Titoli e shock'!$B$8)*$H$40),0)</f>
        <v>19798.571410344877</v>
      </c>
      <c r="I65" s="20">
        <f>IF(AND($B$40&lt;='1 - Titoli e shock'!$B$17,$E$40&gt;'1 - Titoli e shock'!$B$17),$D$40*(1+I$6/2*(1-'1 - Titoli e shock'!$B$8)*$H$40),0)</f>
        <v>19875.079207564879</v>
      </c>
      <c r="J65" s="20">
        <f>IF(AND($B$40&lt;='1 - Titoli e shock'!$B$17,$E$40&gt;'1 - Titoli e shock'!$B$17),$D$40*(1+J$6/2*(1-'1 - Titoli e shock'!$B$8)*$H$40),0)</f>
        <v>19740.952296074109</v>
      </c>
      <c r="K65" s="20">
        <f>IF(AND($B$40&lt;='1 - Titoli e shock'!$B$17,$E$40&gt;'1 - Titoli e shock'!$B$17),$D$40*(1+K$6/2*(1-'1 - Titoli e shock'!$B$8)*$H$40),0)</f>
        <v>19760.181521300714</v>
      </c>
      <c r="L65" s="20">
        <f>IF(AND($B$40&lt;='1 - Titoli e shock'!$B$17,$E$40&gt;'1 - Titoli e shock'!$B$17),$D$40*(1+L$6/2*(1-'1 - Titoli e shock'!$B$8)*$H$40),0)</f>
        <v>19767.866800147276</v>
      </c>
      <c r="M65" s="20">
        <f>IF(AND($B$40&lt;='1 - Titoli e shock'!$B$17,$E$40&gt;'1 - Titoli e shock'!$B$17),$D$40*(1+M$6/2*(1-'1 - Titoli e shock'!$B$8)*$H$40),0)</f>
        <v>19775.548423269254</v>
      </c>
      <c r="N65" s="20">
        <f>IF(AND($B$40&lt;='1 - Titoli e shock'!$B$17,$E$40&gt;'1 - Titoli e shock'!$B$17),$D$40*(1+N$6/2*(1-'1 - Titoli e shock'!$B$8)*$H$40),0)</f>
        <v>19783.226395878559</v>
      </c>
      <c r="O65" s="20">
        <f>IF(AND($B$40&lt;='1 - Titoli e shock'!$B$17,$E$40&gt;'1 - Titoli e shock'!$B$17),$D$40*(1+O$6/2*(1-'1 - Titoli e shock'!$B$8)*$H$40),0)</f>
        <v>19790.900723174698</v>
      </c>
      <c r="P65" s="20">
        <f>IF(AND($B$40&lt;='1 - Titoli e shock'!$B$17,$E$40&gt;'1 - Titoli e shock'!$B$17),$D$40*(1+P$6/2*(1-'1 - Titoli e shock'!$B$8)*$H$40),0)</f>
        <v>19806.238462563982</v>
      </c>
      <c r="Q65" s="20">
        <f>IF(AND($B$40&lt;='1 - Titoli e shock'!$B$17,$E$40&gt;'1 - Titoli e shock'!$B$17),$D$40*(1+Q$6/2*(1-'1 - Titoli e shock'!$B$8)*$H$40),0)</f>
        <v>19813.90188499467</v>
      </c>
      <c r="R65" s="20">
        <f>IF(AND($B$40&lt;='1 - Titoli e shock'!$B$17,$E$40&gt;'1 - Titoli e shock'!$B$17),$D$40*(1+R$6/2*(1-'1 - Titoli e shock'!$B$8)*$H$40),0)</f>
        <v>19821.561682787386</v>
      </c>
      <c r="S65" s="20">
        <f>IF(AND($B$40&lt;='1 - Titoli e shock'!$B$17,$E$40&gt;'1 - Titoli e shock'!$B$17),$D$40*(1+S$6/2*(1-'1 - Titoli e shock'!$B$8)*$H$40),0)</f>
        <v>19829.2178610804</v>
      </c>
      <c r="T65" s="20">
        <f>IF(AND($B$40&lt;='1 - Titoli e shock'!$B$17,$E$40&gt;'1 - Titoli e shock'!$B$17),$D$40*(1+T$6/2*(1-'1 - Titoli e shock'!$B$8)*$H$40),0)</f>
        <v>19836.870424999859</v>
      </c>
      <c r="U65" s="20">
        <f>IF(AND($B$40&lt;='1 - Titoli e shock'!$B$17,$E$40&gt;'1 - Titoli e shock'!$B$17),$D$40*(1+U$6/2*(1-'1 - Titoli e shock'!$B$8)*$H$40),0)</f>
        <v>19951.228608090882</v>
      </c>
    </row>
    <row r="66" spans="1:21">
      <c r="A66" s="22" t="str">
        <f t="shared" si="15"/>
        <v>BTP 3,85% feb 2035</v>
      </c>
      <c r="F66" s="20">
        <f>IF(AND($B$41&lt;='1 - Titoli e shock'!$B$17,$E$41&gt;'1 - Titoli e shock'!$B$17),$D$41*(1+F$6/2*(1-'1 - Titoli e shock'!$B$8)*$H$41),0)</f>
        <v>20516.553623204301</v>
      </c>
      <c r="G66" s="20">
        <f>IF(AND($B$41&lt;='1 - Titoli e shock'!$B$17,$E$41&gt;'1 - Titoli e shock'!$B$17),$D$41*(1+G$6/2*(1-'1 - Titoli e shock'!$B$8)*$H$41),0)</f>
        <v>20554.101863777316</v>
      </c>
      <c r="H66" s="20">
        <f>IF(AND($B$41&lt;='1 - Titoli e shock'!$B$17,$E$41&gt;'1 - Titoli e shock'!$B$17),$D$41*(1+H$6/2*(1-'1 - Titoli e shock'!$B$8)*$H$41),0)</f>
        <v>20591.470852786606</v>
      </c>
      <c r="I66" s="20">
        <f>IF(AND($B$41&lt;='1 - Titoli e shock'!$B$17,$E$41&gt;'1 - Titoli e shock'!$B$17),$D$41*(1+I$6/2*(1-'1 - Titoli e shock'!$B$8)*$H$41),0)</f>
        <v>20628.663133168793</v>
      </c>
      <c r="J66" s="20">
        <f>IF(AND($B$41&lt;='1 - Titoli e shock'!$B$17,$E$41&gt;'1 - Titoli e shock'!$B$17),$D$41*(1+J$6/2*(1-'1 - Titoli e shock'!$B$8)*$H$41),0)</f>
        <v>20563.460815493687</v>
      </c>
      <c r="K66" s="20">
        <f>IF(AND($B$41&lt;='1 - Titoli e shock'!$B$17,$E$41&gt;'1 - Titoli e shock'!$B$17),$D$41*(1+K$6/2*(1-'1 - Titoli e shock'!$B$8)*$H$41),0)</f>
        <v>20572.808604374648</v>
      </c>
      <c r="L66" s="20">
        <f>IF(AND($B$41&lt;='1 - Titoli e shock'!$B$17,$E$41&gt;'1 - Titoli e shock'!$B$17),$D$41*(1+L$6/2*(1-'1 - Titoli e shock'!$B$8)*$H$41),0)</f>
        <v>20576.544603267084</v>
      </c>
      <c r="M66" s="20">
        <f>IF(AND($B$41&lt;='1 - Titoli e shock'!$B$17,$E$41&gt;'1 - Titoli e shock'!$B$17),$D$41*(1+M$6/2*(1-'1 - Titoli e shock'!$B$8)*$H$41),0)</f>
        <v>20580.278825023874</v>
      </c>
      <c r="N66" s="20">
        <f>IF(AND($B$41&lt;='1 - Titoli e shock'!$B$17,$E$41&gt;'1 - Titoli e shock'!$B$17),$D$41*(1+N$6/2*(1-'1 - Titoli e shock'!$B$8)*$H$41),0)</f>
        <v>20584.01127217865</v>
      </c>
      <c r="O66" s="20">
        <f>IF(AND($B$41&lt;='1 - Titoli e shock'!$B$17,$E$41&gt;'1 - Titoli e shock'!$B$17),$D$41*(1+O$6/2*(1-'1 - Titoli e shock'!$B$8)*$H$41),0)</f>
        <v>20587.741947259019</v>
      </c>
      <c r="P66" s="20">
        <f>IF(AND($B$41&lt;='1 - Titoli e shock'!$B$17,$E$41&gt;'1 - Titoli e shock'!$B$17),$D$41*(1+P$6/2*(1-'1 - Titoli e shock'!$B$8)*$H$41),0)</f>
        <v>20595.197991277048</v>
      </c>
      <c r="Q66" s="20">
        <f>IF(AND($B$41&lt;='1 - Titoli e shock'!$B$17,$E$41&gt;'1 - Titoli e shock'!$B$17),$D$41*(1+Q$6/2*(1-'1 - Titoli e shock'!$B$8)*$H$41),0)</f>
        <v>20598.923365240043</v>
      </c>
      <c r="R66" s="20">
        <f>IF(AND($B$41&lt;='1 - Titoli e shock'!$B$17,$E$41&gt;'1 - Titoli e shock'!$B$17),$D$41*(1+R$6/2*(1-'1 - Titoli e shock'!$B$8)*$H$41),0)</f>
        <v>20602.646977179342</v>
      </c>
      <c r="S66" s="20">
        <f>IF(AND($B$41&lt;='1 - Titoli e shock'!$B$17,$E$41&gt;'1 - Titoli e shock'!$B$17),$D$41*(1+S$6/2*(1-'1 - Titoli e shock'!$B$8)*$H$41),0)</f>
        <v>20606.368829592771</v>
      </c>
      <c r="T66" s="20">
        <f>IF(AND($B$41&lt;='1 - Titoli e shock'!$B$17,$E$41&gt;'1 - Titoli e shock'!$B$17),$D$41*(1+T$6/2*(1-'1 - Titoli e shock'!$B$8)*$H$41),0)</f>
        <v>20610.088924972293</v>
      </c>
      <c r="U66" s="20">
        <f>IF(AND($B$41&lt;='1 - Titoli e shock'!$B$17,$E$41&gt;'1 - Titoli e shock'!$B$17),$D$41*(1+U$6/2*(1-'1 - Titoli e shock'!$B$8)*$H$41),0)</f>
        <v>20665.681188297927</v>
      </c>
    </row>
    <row r="67" spans="1:21">
      <c r="A67" s="22" t="str">
        <f t="shared" si="15"/>
        <v>BTP 3,60% ott 2035</v>
      </c>
      <c r="F67" s="20">
        <f>IF(AND($B$42&lt;='1 - Titoli e shock'!$B$17,$E$42&gt;'1 - Titoli e shock'!$B$17),$D$42*(1+F$6/2*(1-'1 - Titoli e shock'!$B$8)*$H$42),0)</f>
        <v>21010.387996758735</v>
      </c>
      <c r="G67" s="20">
        <f>IF(AND($B$42&lt;='1 - Titoli e shock'!$B$17,$E$42&gt;'1 - Titoli e shock'!$B$17),$D$42*(1+G$6/2*(1-'1 - Titoli e shock'!$B$8)*$H$42),0)</f>
        <v>21019.289710986504</v>
      </c>
      <c r="H67" s="20">
        <f>IF(AND($B$42&lt;='1 - Titoli e shock'!$B$17,$E$42&gt;'1 - Titoli e shock'!$B$17),$D$42*(1+H$6/2*(1-'1 - Titoli e shock'!$B$8)*$H$42),0)</f>
        <v>21028.148929316449</v>
      </c>
      <c r="I67" s="20">
        <f>IF(AND($B$42&lt;='1 - Titoli e shock'!$B$17,$E$42&gt;'1 - Titoli e shock'!$B$17),$D$42*(1+I$6/2*(1-'1 - Titoli e shock'!$B$8)*$H$42),0)</f>
        <v>21036.966254612893</v>
      </c>
      <c r="J67" s="20">
        <f>IF(AND($B$42&lt;='1 - Titoli e shock'!$B$17,$E$42&gt;'1 - Titoli e shock'!$B$17),$D$42*(1+J$6/2*(1-'1 - Titoli e shock'!$B$8)*$H$42),0)</f>
        <v>21021.508475764276</v>
      </c>
      <c r="K67" s="20">
        <f>IF(AND($B$42&lt;='1 - Titoli e shock'!$B$17,$E$42&gt;'1 - Titoli e shock'!$B$17),$D$42*(1+K$6/2*(1-'1 - Titoli e shock'!$B$8)*$H$42),0)</f>
        <v>21023.724594123221</v>
      </c>
      <c r="L67" s="20">
        <f>IF(AND($B$42&lt;='1 - Titoli e shock'!$B$17,$E$42&gt;'1 - Titoli e shock'!$B$17),$D$42*(1+L$6/2*(1-'1 - Titoli e shock'!$B$8)*$H$42),0)</f>
        <v>21024.610302587538</v>
      </c>
      <c r="M67" s="20">
        <f>IF(AND($B$42&lt;='1 - Titoli e shock'!$B$17,$E$42&gt;'1 - Titoli e shock'!$B$17),$D$42*(1+M$6/2*(1-'1 - Titoli e shock'!$B$8)*$H$42),0)</f>
        <v>21025.495589739072</v>
      </c>
      <c r="N67" s="20">
        <f>IF(AND($B$42&lt;='1 - Titoli e shock'!$B$17,$E$42&gt;'1 - Titoli e shock'!$B$17),$D$42*(1+N$6/2*(1-'1 - Titoli e shock'!$B$8)*$H$42),0)</f>
        <v>21026.380456178485</v>
      </c>
      <c r="O67" s="20">
        <f>IF(AND($B$42&lt;='1 - Titoli e shock'!$B$17,$E$42&gt;'1 - Titoli e shock'!$B$17),$D$42*(1+O$6/2*(1-'1 - Titoli e shock'!$B$8)*$H$42),0)</f>
        <v>21027.264902505009</v>
      </c>
      <c r="P67" s="20">
        <f>IF(AND($B$42&lt;='1 - Titoli e shock'!$B$17,$E$42&gt;'1 - Titoli e shock'!$B$17),$D$42*(1+P$6/2*(1-'1 - Titoli e shock'!$B$8)*$H$42),0)</f>
        <v>21029.032537209205</v>
      </c>
      <c r="Q67" s="20">
        <f>IF(AND($B$42&lt;='1 - Titoli e shock'!$B$17,$E$42&gt;'1 - Titoli e shock'!$B$17),$D$42*(1+Q$6/2*(1-'1 - Titoli e shock'!$B$8)*$H$42),0)</f>
        <v>21029.91572677825</v>
      </c>
      <c r="R67" s="20">
        <f>IF(AND($B$42&lt;='1 - Titoli e shock'!$B$17,$E$42&gt;'1 - Titoli e shock'!$B$17),$D$42*(1+R$6/2*(1-'1 - Titoli e shock'!$B$8)*$H$42),0)</f>
        <v>21030.798498617165</v>
      </c>
      <c r="S67" s="20">
        <f>IF(AND($B$42&lt;='1 - Titoli e shock'!$B$17,$E$42&gt;'1 - Titoli e shock'!$B$17),$D$42*(1+S$6/2*(1-'1 - Titoli e shock'!$B$8)*$H$42),0)</f>
        <v>21031.680853318125</v>
      </c>
      <c r="T67" s="20">
        <f>IF(AND($B$42&lt;='1 - Titoli e shock'!$B$17,$E$42&gt;'1 - Titoli e shock'!$B$17),$D$42*(1+T$6/2*(1-'1 - Titoli e shock'!$B$8)*$H$42),0)</f>
        <v>21032.562791471901</v>
      </c>
      <c r="U67" s="20">
        <f>IF(AND($B$42&lt;='1 - Titoli e shock'!$B$17,$E$42&gt;'1 - Titoli e shock'!$B$17),$D$42*(1+U$6/2*(1-'1 - Titoli e shock'!$B$8)*$H$42),0)</f>
        <v>21045.742275619439</v>
      </c>
    </row>
    <row r="68" spans="1:21">
      <c r="A68" s="22" t="str">
        <f t="shared" si="15"/>
        <v>BTP 4,00% ott 2036</v>
      </c>
      <c r="F68" s="20">
        <f>IF(AND($B$43&lt;='1 - Titoli e shock'!$B$17,$E$43&gt;'1 - Titoli e shock'!$B$17),$D$43*(1+F$6/2*(1-'1 - Titoli e shock'!$B$8)*$H$43),0)</f>
        <v>20623.31730994592</v>
      </c>
      <c r="G68" s="20">
        <f>IF(AND($B$43&lt;='1 - Titoli e shock'!$B$17,$E$43&gt;'1 - Titoli e shock'!$B$17),$D$43*(1+G$6/2*(1-'1 - Titoli e shock'!$B$8)*$H$43),0)</f>
        <v>20632.055029456387</v>
      </c>
      <c r="H68" s="20">
        <f>IF(AND($B$43&lt;='1 - Titoli e shock'!$B$17,$E$43&gt;'1 - Titoli e shock'!$B$17),$D$43*(1+H$6/2*(1-'1 - Titoli e shock'!$B$8)*$H$43),0)</f>
        <v>20640.751035963487</v>
      </c>
      <c r="I68" s="20">
        <f>IF(AND($B$43&lt;='1 - Titoli e shock'!$B$17,$E$43&gt;'1 - Titoli e shock'!$B$17),$D$43*(1+I$6/2*(1-'1 - Titoli e shock'!$B$8)*$H$43),0)</f>
        <v>20649.405921225087</v>
      </c>
      <c r="J68" s="20">
        <f>IF(AND($B$43&lt;='1 - Titoli e shock'!$B$17,$E$43&gt;'1 - Titoli e shock'!$B$17),$D$43*(1+J$6/2*(1-'1 - Titoli e shock'!$B$8)*$H$43),0)</f>
        <v>20634.232918320464</v>
      </c>
      <c r="K68" s="20">
        <f>IF(AND($B$43&lt;='1 - Titoli e shock'!$B$17,$E$43&gt;'1 - Titoli e shock'!$B$17),$D$43*(1+K$6/2*(1-'1 - Titoli e shock'!$B$8)*$H$43),0)</f>
        <v>20636.408209520225</v>
      </c>
      <c r="L68" s="20">
        <f>IF(AND($B$43&lt;='1 - Titoli e shock'!$B$17,$E$43&gt;'1 - Titoli e shock'!$B$17),$D$43*(1+L$6/2*(1-'1 - Titoli e shock'!$B$8)*$H$43),0)</f>
        <v>20637.277600733116</v>
      </c>
      <c r="M68" s="20">
        <f>IF(AND($B$43&lt;='1 - Titoli e shock'!$B$17,$E$43&gt;'1 - Titoli e shock'!$B$17),$D$43*(1+M$6/2*(1-'1 - Titoli e shock'!$B$8)*$H$43),0)</f>
        <v>20638.14657839499</v>
      </c>
      <c r="N68" s="20">
        <f>IF(AND($B$43&lt;='1 - Titoli e shock'!$B$17,$E$43&gt;'1 - Titoli e shock'!$B$17),$D$43*(1+N$6/2*(1-'1 - Titoli e shock'!$B$8)*$H$43),0)</f>
        <v>20639.015143095447</v>
      </c>
      <c r="O68" s="20">
        <f>IF(AND($B$43&lt;='1 - Titoli e shock'!$B$17,$E$43&gt;'1 - Titoli e shock'!$B$17),$D$43*(1+O$6/2*(1-'1 - Titoli e shock'!$B$8)*$H$43),0)</f>
        <v>20639.883295422682</v>
      </c>
      <c r="P68" s="20">
        <f>IF(AND($B$43&lt;='1 - Titoli e shock'!$B$17,$E$43&gt;'1 - Titoli e shock'!$B$17),$D$43*(1+P$6/2*(1-'1 - Titoli e shock'!$B$8)*$H$43),0)</f>
        <v>20641.618365303271</v>
      </c>
      <c r="Q68" s="20">
        <f>IF(AND($B$43&lt;='1 - Titoli e shock'!$B$17,$E$43&gt;'1 - Titoli e shock'!$B$17),$D$43*(1+Q$6/2*(1-'1 - Titoli e shock'!$B$8)*$H$43),0)</f>
        <v>20642.485284026054</v>
      </c>
      <c r="R68" s="20">
        <f>IF(AND($B$43&lt;='1 - Titoli e shock'!$B$17,$E$43&gt;'1 - Titoli e shock'!$B$17),$D$43*(1+R$6/2*(1-'1 - Titoli e shock'!$B$8)*$H$43),0)</f>
        <v>20643.351792714471</v>
      </c>
      <c r="S68" s="20">
        <f>IF(AND($B$43&lt;='1 - Titoli e shock'!$B$17,$E$43&gt;'1 - Titoli e shock'!$B$17),$D$43*(1+S$6/2*(1-'1 - Titoli e shock'!$B$8)*$H$43),0)</f>
        <v>20644.217891949793</v>
      </c>
      <c r="T68" s="20">
        <f>IF(AND($B$43&lt;='1 - Titoli e shock'!$B$17,$E$43&gt;'1 - Titoli e shock'!$B$17),$D$43*(1+T$6/2*(1-'1 - Titoli e shock'!$B$8)*$H$43),0)</f>
        <v>20645.083582311909</v>
      </c>
      <c r="U68" s="20">
        <f>IF(AND($B$43&lt;='1 - Titoli e shock'!$B$17,$E$43&gt;'1 - Titoli e shock'!$B$17),$D$43*(1+U$6/2*(1-'1 - Titoli e shock'!$B$8)*$H$43),0)</f>
        <v>20658.02026313846</v>
      </c>
    </row>
    <row r="69" spans="1:21">
      <c r="A69" s="5" t="s">
        <v>246</v>
      </c>
      <c r="F69" s="20">
        <f t="shared" ref="F69:U69" si="16">SUM(F48:F57)+SUM(F59:F68)</f>
        <v>204449.86570099342</v>
      </c>
      <c r="G69" s="20">
        <f t="shared" si="16"/>
        <v>204816.53192006442</v>
      </c>
      <c r="H69" s="20">
        <f t="shared" si="16"/>
        <v>205181.44771109585</v>
      </c>
      <c r="I69" s="20">
        <f t="shared" si="16"/>
        <v>205544.63790638198</v>
      </c>
      <c r="J69" s="20">
        <f t="shared" si="16"/>
        <v>204907.92399031692</v>
      </c>
      <c r="K69" s="20">
        <f t="shared" si="16"/>
        <v>204999.2070532075</v>
      </c>
      <c r="L69" s="20">
        <f t="shared" si="16"/>
        <v>205035.68984354433</v>
      </c>
      <c r="M69" s="20">
        <f t="shared" si="16"/>
        <v>205072.1552797895</v>
      </c>
      <c r="N69" s="20">
        <f t="shared" si="16"/>
        <v>205108.6033866845</v>
      </c>
      <c r="O69" s="20">
        <f t="shared" si="16"/>
        <v>205145.0341889119</v>
      </c>
      <c r="P69" s="20">
        <f t="shared" si="16"/>
        <v>205217.84397780208</v>
      </c>
      <c r="Q69" s="20">
        <f t="shared" si="16"/>
        <v>205254.22301353823</v>
      </c>
      <c r="R69" s="20">
        <f t="shared" si="16"/>
        <v>205290.584842754</v>
      </c>
      <c r="S69" s="20">
        <f t="shared" si="16"/>
        <v>205326.92948984131</v>
      </c>
      <c r="T69" s="20">
        <f t="shared" si="16"/>
        <v>205363.25697913437</v>
      </c>
      <c r="U69" s="20">
        <f t="shared" si="16"/>
        <v>205906.12675657633</v>
      </c>
    </row>
    <row r="70" spans="1:21">
      <c r="A70" s="5" t="s">
        <v>247</v>
      </c>
      <c r="F70" s="20">
        <f>(PRICE('1 - Titoli e shock'!$B$17,$B$44,'1 - Titoli e shock'!$C$33,2*((1+$G$44+F$5/100)^0.5-1),100,2,1)+$I$44-'1 - Titoli e shock'!$B$8*(MAX(0,PRICE('1 - Titoli e shock'!$B$17,$B$44,'1 - Titoli e shock'!$C$33,2*((1+$G$44+F$5/100)^0.5-1),100,2,1)-'1 - Titoli e shock'!$E$33)+$I$44))*$C$44</f>
        <v>229132.95607125692</v>
      </c>
      <c r="G70" s="20">
        <f>(PRICE('1 - Titoli e shock'!$B$17,$B$44,'1 - Titoli e shock'!$C$33,2*((1+$G$44+G$5/100)^0.5-1),100,2,1)+$I$44-'1 - Titoli e shock'!$B$8*(MAX(0,PRICE('1 - Titoli e shock'!$B$17,$B$44,'1 - Titoli e shock'!$C$33,2*((1+$G$44+G$5/100)^0.5-1),100,2,1)-'1 - Titoli e shock'!$E$33)+$I$44))*$C$44</f>
        <v>206816.26500109362</v>
      </c>
      <c r="H70" s="20">
        <f>(PRICE('1 - Titoli e shock'!$B$17,$B$44,'1 - Titoli e shock'!$C$33,2*((1+$G$44+H$5/100)^0.5-1),100,2,1)+$I$44-'1 - Titoli e shock'!$B$8*(MAX(0,PRICE('1 - Titoli e shock'!$B$17,$B$44,'1 - Titoli e shock'!$C$33,2*((1+$G$44+H$5/100)^0.5-1),100,2,1)-'1 - Titoli e shock'!$E$33)+$I$44))*$C$44</f>
        <v>185862.28468905302</v>
      </c>
      <c r="I70" s="20">
        <f>(PRICE('1 - Titoli e shock'!$B$17,$B$44,'1 - Titoli e shock'!$C$33,2*((1+$G$44+I$5/100)^0.5-1),100,2,1)+$I$44-'1 - Titoli e shock'!$B$8*(MAX(0,PRICE('1 - Titoli e shock'!$B$17,$B$44,'1 - Titoli e shock'!$C$33,2*((1+$G$44+I$5/100)^0.5-1),100,2,1)-'1 - Titoli e shock'!$E$33)+$I$44))*$C$44</f>
        <v>166941.99756490107</v>
      </c>
      <c r="J70" s="20">
        <f>(PRICE('1 - Titoli e shock'!$B$17,$B$44,'1 - Titoli e shock'!$C$33,2*((1+$G$44+J$5/100)^0.5-1),100,2,1)+$I$44-'1 - Titoli e shock'!$B$8*(MAX(0,PRICE('1 - Titoli e shock'!$B$17,$B$44,'1 - Titoli e shock'!$C$33,2*((1+$G$44+J$5/100)^0.5-1),100,2,1)-'1 - Titoli e shock'!$E$33)+$I$44))*$C$44</f>
        <v>201745.38044963847</v>
      </c>
      <c r="K70" s="20">
        <f>(PRICE('1 - Titoli e shock'!$B$17,$B$44,'1 - Titoli e shock'!$C$33,2*((1+$G$44+K$5/100)^0.5-1),100,2,1)+$I$44-'1 - Titoli e shock'!$B$8*(MAX(0,PRICE('1 - Titoli e shock'!$B$17,$B$44,'1 - Titoli e shock'!$C$33,2*((1+$G$44+K$5/100)^0.5-1),100,2,1)-'1 - Titoli e shock'!$E$33)+$I$44))*$C$44</f>
        <v>196421.23314839136</v>
      </c>
      <c r="L70" s="20">
        <f>(PRICE('1 - Titoli e shock'!$B$17,$B$44,'1 - Titoli e shock'!$C$33,2*((1+$G$44+L$5/100)^0.5-1),100,2,1)+$I$44-'1 - Titoli e shock'!$B$8*(MAX(0,PRICE('1 - Titoli e shock'!$B$17,$B$44,'1 - Titoli e shock'!$C$33,2*((1+$G$44+L$5/100)^0.5-1),100,2,1)-'1 - Titoli e shock'!$E$33)+$I$44))*$C$44</f>
        <v>194246.166454661</v>
      </c>
      <c r="M70" s="20">
        <f>(PRICE('1 - Titoli e shock'!$B$17,$B$44,'1 - Titoli e shock'!$C$33,2*((1+$G$44+M$5/100)^0.5-1),100,2,1)+$I$44-'1 - Titoli e shock'!$B$8*(MAX(0,PRICE('1 - Titoli e shock'!$B$17,$B$44,'1 - Titoli e shock'!$C$33,2*((1+$G$44+M$5/100)^0.5-1),100,2,1)-'1 - Titoli e shock'!$E$33)+$I$44))*$C$44</f>
        <v>192103.2688388667</v>
      </c>
      <c r="N70" s="20">
        <f>(PRICE('1 - Titoli e shock'!$B$17,$B$44,'1 - Titoli e shock'!$C$33,2*((1+$G$44+N$5/100)^0.5-1),100,2,1)+$I$44-'1 - Titoli e shock'!$B$8*(MAX(0,PRICE('1 - Titoli e shock'!$B$17,$B$44,'1 - Titoli e shock'!$C$33,2*((1+$G$44+N$5/100)^0.5-1),100,2,1)-'1 - Titoli e shock'!$E$33)+$I$44))*$C$44</f>
        <v>189992.00492898139</v>
      </c>
      <c r="O70" s="20">
        <f>(PRICE('1 - Titoli e shock'!$B$17,$B$44,'1 - Titoli e shock'!$C$33,2*((1+$G$44+O$5/100)^0.5-1),100,2,1)+$I$44-'1 - Titoli e shock'!$B$8*(MAX(0,PRICE('1 - Titoli e shock'!$B$17,$B$44,'1 - Titoli e shock'!$C$33,2*((1+$G$44+O$5/100)^0.5-1),100,2,1)-'1 - Titoli e shock'!$E$33)+$I$44))*$C$44</f>
        <v>187911.84897984372</v>
      </c>
      <c r="P70" s="20">
        <f>(PRICE('1 - Titoli e shock'!$B$17,$B$44,'1 - Titoli e shock'!$C$33,2*((1+$G$44+P$5/100)^0.5-1),100,2,1)+$I$44-'1 - Titoli e shock'!$B$8*(MAX(0,PRICE('1 - Titoli e shock'!$B$17,$B$44,'1 - Titoli e shock'!$C$33,2*((1+$G$44+P$5/100)^0.5-1),100,2,1)-'1 - Titoli e shock'!$E$33)+$I$44))*$C$44</f>
        <v>183842.80501659098</v>
      </c>
      <c r="Q70" s="20">
        <f>(PRICE('1 - Titoli e shock'!$B$17,$B$44,'1 - Titoli e shock'!$C$33,2*((1+$G$44+Q$5/100)^0.5-1),100,2,1)+$I$44-'1 - Titoli e shock'!$B$8*(MAX(0,PRICE('1 - Titoli e shock'!$B$17,$B$44,'1 - Titoli e shock'!$C$33,2*((1+$G$44+Q$5/100)^0.5-1),100,2,1)-'1 - Titoli e shock'!$E$33)+$I$44))*$C$44</f>
        <v>181852.91200806462</v>
      </c>
      <c r="R70" s="20">
        <f>(PRICE('1 - Titoli e shock'!$B$17,$B$44,'1 - Titoli e shock'!$C$33,2*((1+$G$44+R$5/100)^0.5-1),100,2,1)+$I$44-'1 - Titoli e shock'!$B$8*(MAX(0,PRICE('1 - Titoli e shock'!$B$17,$B$44,'1 - Titoli e shock'!$C$33,2*((1+$G$44+R$5/100)^0.5-1),100,2,1)-'1 - Titoli e shock'!$E$33)+$I$44))*$C$44</f>
        <v>179892.1166215181</v>
      </c>
      <c r="S70" s="20">
        <f>(PRICE('1 - Titoli e shock'!$B$17,$B$44,'1 - Titoli e shock'!$C$33,2*((1+$G$44+S$5/100)^0.5-1),100,2,1)+$I$44-'1 - Titoli e shock'!$B$8*(MAX(0,PRICE('1 - Titoli e shock'!$B$17,$B$44,'1 - Titoli e shock'!$C$33,2*((1+$G$44+S$5/100)^0.5-1),100,2,1)-'1 - Titoli e shock'!$E$33)+$I$44))*$C$44</f>
        <v>177959.93855772165</v>
      </c>
      <c r="T70" s="20">
        <f>(PRICE('1 - Titoli e shock'!$B$17,$B$44,'1 - Titoli e shock'!$C$33,2*((1+$G$44+T$5/100)^0.5-1),100,2,1)+$I$44-'1 - Titoli e shock'!$B$8*(MAX(0,PRICE('1 - Titoli e shock'!$B$17,$B$44,'1 - Titoli e shock'!$C$33,2*((1+$G$44+T$5/100)^0.5-1),100,2,1)-'1 - Titoli e shock'!$E$33)+$I$44))*$C$44</f>
        <v>176055.90609387791</v>
      </c>
      <c r="U70" s="20">
        <f>(PRICE('1 - Titoli e shock'!$B$17,$B$44,'1 - Titoli e shock'!$C$33,2*((1+$G$44+U$5/100)^0.5-1),100,2,1)+$I$44-'1 - Titoli e shock'!$B$8*(MAX(0,PRICE('1 - Titoli e shock'!$B$17,$B$44,'1 - Titoli e shock'!$C$33,2*((1+$G$44+U$5/100)^0.5-1),100,2,1)-'1 - Titoli e shock'!$E$33)+$I$44))*$C$44</f>
        <v>150576.55388687638</v>
      </c>
    </row>
    <row r="73" spans="1:21">
      <c r="A73" s="36" t="s">
        <v>248</v>
      </c>
      <c r="B73" s="33"/>
      <c r="C73" s="33"/>
      <c r="D73" s="33"/>
      <c r="E73" s="33"/>
      <c r="F73" s="33"/>
      <c r="G73" s="33"/>
      <c r="H73" s="33"/>
      <c r="I73" s="33"/>
      <c r="J73" s="33"/>
    </row>
    <row r="74" spans="1:21">
      <c r="A74" s="5" t="s">
        <v>249</v>
      </c>
      <c r="F74" s="13">
        <f>EDATE('1 - Titoli e shock'!$B$6,12*0)</f>
        <v>46314</v>
      </c>
      <c r="G74" s="13">
        <f>EDATE('1 - Titoli e shock'!$B$6,12*1)</f>
        <v>46679</v>
      </c>
      <c r="H74" s="13">
        <f>EDATE('1 - Titoli e shock'!$B$6,12*2)</f>
        <v>47045</v>
      </c>
      <c r="I74" s="13">
        <f>EDATE('1 - Titoli e shock'!$B$6,12*3)</f>
        <v>47410</v>
      </c>
      <c r="J74" s="13">
        <f>EDATE('1 - Titoli e shock'!$B$6,12*4)</f>
        <v>47775</v>
      </c>
      <c r="K74" s="13">
        <f>EDATE('1 - Titoli e shock'!$B$6,12*5)</f>
        <v>48140</v>
      </c>
      <c r="L74" s="13">
        <f>EDATE('1 - Titoli e shock'!$B$6,12*6)</f>
        <v>48506</v>
      </c>
      <c r="M74" s="13">
        <f>EDATE('1 - Titoli e shock'!$B$6,12*7)</f>
        <v>48871</v>
      </c>
      <c r="N74" s="13">
        <f>EDATE('1 - Titoli e shock'!$B$6,12*8)</f>
        <v>49236</v>
      </c>
      <c r="O74" s="13">
        <f>EDATE('1 - Titoli e shock'!$B$6,12*9)</f>
        <v>49601</v>
      </c>
      <c r="P74" s="13">
        <f>EDATE('1 - Titoli e shock'!$B$6,12*10)</f>
        <v>49967</v>
      </c>
      <c r="Q74" s="13">
        <f>EDATE('1 - Titoli e shock'!$B$6,12*11)</f>
        <v>50332</v>
      </c>
      <c r="R74" s="13">
        <f>EDATE('1 - Titoli e shock'!$B$6,12*12)</f>
        <v>50697</v>
      </c>
      <c r="S74" s="13">
        <f>EDATE('1 - Titoli e shock'!$B$6,12*13)</f>
        <v>51062</v>
      </c>
      <c r="T74" s="13">
        <f>EDATE('1 - Titoli e shock'!$B$6,12*14)</f>
        <v>51428</v>
      </c>
      <c r="U74" s="13">
        <f>EDATE('1 - Titoli e shock'!$B$6,12*15)</f>
        <v>51793</v>
      </c>
    </row>
    <row r="75" spans="1:21">
      <c r="A75" s="5" t="s">
        <v>250</v>
      </c>
      <c r="F75" s="11">
        <v>0</v>
      </c>
      <c r="G75" s="11">
        <v>1</v>
      </c>
      <c r="H75" s="11">
        <v>2</v>
      </c>
      <c r="I75" s="11">
        <v>3</v>
      </c>
      <c r="J75" s="11">
        <v>4</v>
      </c>
      <c r="K75" s="11">
        <v>5</v>
      </c>
      <c r="L75" s="11">
        <v>6</v>
      </c>
      <c r="M75" s="11">
        <v>7</v>
      </c>
      <c r="N75" s="11">
        <v>8</v>
      </c>
      <c r="O75" s="11">
        <v>9</v>
      </c>
      <c r="P75" s="11">
        <v>10</v>
      </c>
      <c r="Q75" s="11">
        <v>11</v>
      </c>
      <c r="R75" s="11">
        <v>12</v>
      </c>
      <c r="S75" s="11">
        <v>13</v>
      </c>
      <c r="T75" s="11">
        <v>14</v>
      </c>
      <c r="U75" s="11">
        <v>15</v>
      </c>
    </row>
    <row r="76" spans="1:21">
      <c r="A76" s="36" t="s">
        <v>251</v>
      </c>
      <c r="B76" s="33"/>
      <c r="C76" s="33"/>
      <c r="D76" s="33"/>
      <c r="E76" s="33"/>
      <c r="F76" s="33"/>
      <c r="G76" s="33"/>
      <c r="H76" s="33"/>
      <c r="I76" s="33"/>
      <c r="J76" s="33"/>
    </row>
    <row r="77" spans="1:21">
      <c r="A77" s="22" t="str">
        <f t="shared" ref="A77:A87" si="17">A34</f>
        <v>BTP 2,70% ott 2027</v>
      </c>
      <c r="F77" s="19">
        <f t="shared" ref="F77:U77" si="18">($B$34-F$74)/365.25</f>
        <v>0.9883641341546886</v>
      </c>
      <c r="G77" s="19">
        <f t="shared" si="18"/>
        <v>-1.0951403148528405E-2</v>
      </c>
      <c r="H77" s="19">
        <f t="shared" si="18"/>
        <v>-1.0130047912388775</v>
      </c>
      <c r="I77" s="19">
        <f t="shared" si="18"/>
        <v>-2.0123203285420943</v>
      </c>
      <c r="J77" s="19">
        <f t="shared" si="18"/>
        <v>-3.0116358658453115</v>
      </c>
      <c r="K77" s="19">
        <f t="shared" si="18"/>
        <v>-4.0109514031485283</v>
      </c>
      <c r="L77" s="19">
        <f t="shared" si="18"/>
        <v>-5.0130047912388775</v>
      </c>
      <c r="M77" s="19">
        <f t="shared" si="18"/>
        <v>-6.0123203285420947</v>
      </c>
      <c r="N77" s="19">
        <f t="shared" si="18"/>
        <v>-7.0116358658453111</v>
      </c>
      <c r="O77" s="19">
        <f t="shared" si="18"/>
        <v>-8.0109514031485283</v>
      </c>
      <c r="P77" s="19">
        <f t="shared" si="18"/>
        <v>-9.0130047912388775</v>
      </c>
      <c r="Q77" s="19">
        <f t="shared" si="18"/>
        <v>-10.012320328542094</v>
      </c>
      <c r="R77" s="19">
        <f t="shared" si="18"/>
        <v>-11.011635865845312</v>
      </c>
      <c r="S77" s="19">
        <f t="shared" si="18"/>
        <v>-12.010951403148528</v>
      </c>
      <c r="T77" s="19">
        <f t="shared" si="18"/>
        <v>-13.013004791238878</v>
      </c>
      <c r="U77" s="19">
        <f t="shared" si="18"/>
        <v>-14.012320328542094</v>
      </c>
    </row>
    <row r="78" spans="1:21">
      <c r="A78" s="22" t="str">
        <f t="shared" si="17"/>
        <v>BTP 2,80% dic 2028</v>
      </c>
      <c r="F78" s="19">
        <f t="shared" ref="F78:U78" si="19">($B$35-F$74)/365.25</f>
        <v>2.1190965092402463</v>
      </c>
      <c r="G78" s="19">
        <f t="shared" si="19"/>
        <v>1.1197809719370295</v>
      </c>
      <c r="H78" s="19">
        <f t="shared" si="19"/>
        <v>0.11772758384668036</v>
      </c>
      <c r="I78" s="19">
        <f t="shared" si="19"/>
        <v>-0.88158795345653662</v>
      </c>
      <c r="J78" s="19">
        <f t="shared" si="19"/>
        <v>-1.8809034907597535</v>
      </c>
      <c r="K78" s="19">
        <f t="shared" si="19"/>
        <v>-2.8802190280629705</v>
      </c>
      <c r="L78" s="19">
        <f t="shared" si="19"/>
        <v>-3.8822724161533197</v>
      </c>
      <c r="M78" s="19">
        <f t="shared" si="19"/>
        <v>-4.8815879534565365</v>
      </c>
      <c r="N78" s="19">
        <f t="shared" si="19"/>
        <v>-5.8809034907597537</v>
      </c>
      <c r="O78" s="19">
        <f t="shared" si="19"/>
        <v>-6.8802190280629709</v>
      </c>
      <c r="P78" s="19">
        <f t="shared" si="19"/>
        <v>-7.8822724161533193</v>
      </c>
      <c r="Q78" s="19">
        <f t="shared" si="19"/>
        <v>-8.8815879534565365</v>
      </c>
      <c r="R78" s="19">
        <f t="shared" si="19"/>
        <v>-9.8809034907597528</v>
      </c>
      <c r="S78" s="19">
        <f t="shared" si="19"/>
        <v>-10.880219028062971</v>
      </c>
      <c r="T78" s="19">
        <f t="shared" si="19"/>
        <v>-11.88227241615332</v>
      </c>
      <c r="U78" s="19">
        <f t="shared" si="19"/>
        <v>-12.881587953456537</v>
      </c>
    </row>
    <row r="79" spans="1:21">
      <c r="A79" s="22" t="str">
        <f t="shared" si="17"/>
        <v>BTP 3,00% ott 2029</v>
      </c>
      <c r="F79" s="19">
        <f t="shared" ref="F79:U79" si="20">($B$36-F$74)/365.25</f>
        <v>2.9514031485284051</v>
      </c>
      <c r="G79" s="19">
        <f t="shared" si="20"/>
        <v>1.9520876112251881</v>
      </c>
      <c r="H79" s="19">
        <f t="shared" si="20"/>
        <v>0.95003422313483921</v>
      </c>
      <c r="I79" s="19">
        <f t="shared" si="20"/>
        <v>-4.9281314168377825E-2</v>
      </c>
      <c r="J79" s="19">
        <f t="shared" si="20"/>
        <v>-1.0485968514715949</v>
      </c>
      <c r="K79" s="19">
        <f t="shared" si="20"/>
        <v>-2.0479123887748116</v>
      </c>
      <c r="L79" s="19">
        <f t="shared" si="20"/>
        <v>-3.0499657768651609</v>
      </c>
      <c r="M79" s="19">
        <f t="shared" si="20"/>
        <v>-4.0492813141683781</v>
      </c>
      <c r="N79" s="19">
        <f t="shared" si="20"/>
        <v>-5.0485968514715944</v>
      </c>
      <c r="O79" s="19">
        <f t="shared" si="20"/>
        <v>-6.0479123887748116</v>
      </c>
      <c r="P79" s="19">
        <f t="shared" si="20"/>
        <v>-7.0499657768651609</v>
      </c>
      <c r="Q79" s="19">
        <f t="shared" si="20"/>
        <v>-8.0492813141683772</v>
      </c>
      <c r="R79" s="19">
        <f t="shared" si="20"/>
        <v>-9.0485968514715953</v>
      </c>
      <c r="S79" s="19">
        <f t="shared" si="20"/>
        <v>-10.047912388774812</v>
      </c>
      <c r="T79" s="19">
        <f t="shared" si="20"/>
        <v>-11.049965776865161</v>
      </c>
      <c r="U79" s="19">
        <f t="shared" si="20"/>
        <v>-12.049281314168377</v>
      </c>
    </row>
    <row r="80" spans="1:21">
      <c r="A80" s="22" t="str">
        <f t="shared" si="17"/>
        <v>BTP 2,70% ott 2030</v>
      </c>
      <c r="F80" s="19">
        <f t="shared" ref="F80:U80" si="21">($B$37-F$74)/365.25</f>
        <v>3.9507186858316223</v>
      </c>
      <c r="G80" s="19">
        <f t="shared" si="21"/>
        <v>2.9514031485284051</v>
      </c>
      <c r="H80" s="19">
        <f t="shared" si="21"/>
        <v>1.9493497604380561</v>
      </c>
      <c r="I80" s="19">
        <f t="shared" si="21"/>
        <v>0.95003422313483921</v>
      </c>
      <c r="J80" s="19">
        <f t="shared" si="21"/>
        <v>-4.9281314168377825E-2</v>
      </c>
      <c r="K80" s="19">
        <f t="shared" si="21"/>
        <v>-1.0485968514715949</v>
      </c>
      <c r="L80" s="19">
        <f t="shared" si="21"/>
        <v>-2.0506502395619437</v>
      </c>
      <c r="M80" s="19">
        <f t="shared" si="21"/>
        <v>-3.0499657768651609</v>
      </c>
      <c r="N80" s="19">
        <f t="shared" si="21"/>
        <v>-4.0492813141683781</v>
      </c>
      <c r="O80" s="19">
        <f t="shared" si="21"/>
        <v>-5.0485968514715944</v>
      </c>
      <c r="P80" s="19">
        <f t="shared" si="21"/>
        <v>-6.0506502395619437</v>
      </c>
      <c r="Q80" s="19">
        <f t="shared" si="21"/>
        <v>-7.0499657768651609</v>
      </c>
      <c r="R80" s="19">
        <f t="shared" si="21"/>
        <v>-8.0492813141683772</v>
      </c>
      <c r="S80" s="19">
        <f t="shared" si="21"/>
        <v>-9.0485968514715953</v>
      </c>
      <c r="T80" s="19">
        <f t="shared" si="21"/>
        <v>-10.050650239561945</v>
      </c>
      <c r="U80" s="19">
        <f t="shared" si="21"/>
        <v>-11.049965776865161</v>
      </c>
    </row>
    <row r="81" spans="1:21">
      <c r="A81" s="22" t="str">
        <f t="shared" si="17"/>
        <v>BTP 3,15% nov 2031</v>
      </c>
      <c r="F81" s="19">
        <f t="shared" ref="F81:U81" si="22">($B$38-F$74)/365.25</f>
        <v>5.0732375085557839</v>
      </c>
      <c r="G81" s="19">
        <f t="shared" si="22"/>
        <v>4.0739219712525667</v>
      </c>
      <c r="H81" s="19">
        <f t="shared" si="22"/>
        <v>3.0718685831622174</v>
      </c>
      <c r="I81" s="19">
        <f t="shared" si="22"/>
        <v>2.0725530458590007</v>
      </c>
      <c r="J81" s="19">
        <f t="shared" si="22"/>
        <v>1.0732375085557837</v>
      </c>
      <c r="K81" s="19">
        <f t="shared" si="22"/>
        <v>7.3921971252566734E-2</v>
      </c>
      <c r="L81" s="19">
        <f t="shared" si="22"/>
        <v>-0.92813141683778233</v>
      </c>
      <c r="M81" s="19">
        <f t="shared" si="22"/>
        <v>-1.9274469541409993</v>
      </c>
      <c r="N81" s="19">
        <f t="shared" si="22"/>
        <v>-2.9267624914442161</v>
      </c>
      <c r="O81" s="19">
        <f t="shared" si="22"/>
        <v>-3.9260780287474333</v>
      </c>
      <c r="P81" s="19">
        <f t="shared" si="22"/>
        <v>-4.9281314168377826</v>
      </c>
      <c r="Q81" s="19">
        <f t="shared" si="22"/>
        <v>-5.9274469541409998</v>
      </c>
      <c r="R81" s="19">
        <f t="shared" si="22"/>
        <v>-6.9267624914442161</v>
      </c>
      <c r="S81" s="19">
        <f t="shared" si="22"/>
        <v>-7.9260780287474333</v>
      </c>
      <c r="T81" s="19">
        <f t="shared" si="22"/>
        <v>-8.9281314168377826</v>
      </c>
      <c r="U81" s="19">
        <f t="shared" si="22"/>
        <v>-9.9274469541409989</v>
      </c>
    </row>
    <row r="82" spans="1:21">
      <c r="A82" s="22" t="str">
        <f t="shared" si="17"/>
        <v>BTP 3,25% nov 2032</v>
      </c>
      <c r="F82" s="19">
        <f t="shared" ref="F82:U82" si="23">($B$39-F$74)/365.25</f>
        <v>6.0752908966461332</v>
      </c>
      <c r="G82" s="19">
        <f t="shared" si="23"/>
        <v>5.075975359342916</v>
      </c>
      <c r="H82" s="19">
        <f t="shared" si="23"/>
        <v>4.0739219712525667</v>
      </c>
      <c r="I82" s="19">
        <f t="shared" si="23"/>
        <v>3.07460643394935</v>
      </c>
      <c r="J82" s="19">
        <f t="shared" si="23"/>
        <v>2.0752908966461328</v>
      </c>
      <c r="K82" s="19">
        <f t="shared" si="23"/>
        <v>1.0759753593429158</v>
      </c>
      <c r="L82" s="19">
        <f t="shared" si="23"/>
        <v>7.3921971252566734E-2</v>
      </c>
      <c r="M82" s="19">
        <f t="shared" si="23"/>
        <v>-0.92539356605065026</v>
      </c>
      <c r="N82" s="19">
        <f t="shared" si="23"/>
        <v>-1.9247091033538672</v>
      </c>
      <c r="O82" s="19">
        <f t="shared" si="23"/>
        <v>-2.924024640657084</v>
      </c>
      <c r="P82" s="19">
        <f t="shared" si="23"/>
        <v>-3.9260780287474333</v>
      </c>
      <c r="Q82" s="19">
        <f t="shared" si="23"/>
        <v>-4.9253935660506505</v>
      </c>
      <c r="R82" s="19">
        <f t="shared" si="23"/>
        <v>-5.9247091033538668</v>
      </c>
      <c r="S82" s="19">
        <f t="shared" si="23"/>
        <v>-6.924024640657084</v>
      </c>
      <c r="T82" s="19">
        <f t="shared" si="23"/>
        <v>-7.9260780287474333</v>
      </c>
      <c r="U82" s="19">
        <f t="shared" si="23"/>
        <v>-8.9253935660506496</v>
      </c>
    </row>
    <row r="83" spans="1:21">
      <c r="A83" s="22" t="str">
        <f t="shared" si="17"/>
        <v>BTP 4,35% nov 2033</v>
      </c>
      <c r="F83" s="19">
        <f t="shared" ref="F83:U83" si="24">($B$40-F$74)/365.25</f>
        <v>7.0362765229295006</v>
      </c>
      <c r="G83" s="19">
        <f t="shared" si="24"/>
        <v>6.0369609856262834</v>
      </c>
      <c r="H83" s="19">
        <f t="shared" si="24"/>
        <v>5.0349075975359341</v>
      </c>
      <c r="I83" s="19">
        <f t="shared" si="24"/>
        <v>4.0355920602327169</v>
      </c>
      <c r="J83" s="19">
        <f t="shared" si="24"/>
        <v>3.0362765229295001</v>
      </c>
      <c r="K83" s="19">
        <f t="shared" si="24"/>
        <v>2.0369609856262834</v>
      </c>
      <c r="L83" s="19">
        <f t="shared" si="24"/>
        <v>1.0349075975359343</v>
      </c>
      <c r="M83" s="19">
        <f t="shared" si="24"/>
        <v>3.5592060232717319E-2</v>
      </c>
      <c r="N83" s="19">
        <f t="shared" si="24"/>
        <v>-0.96372347707049966</v>
      </c>
      <c r="O83" s="19">
        <f t="shared" si="24"/>
        <v>-1.9630390143737166</v>
      </c>
      <c r="P83" s="19">
        <f t="shared" si="24"/>
        <v>-2.9650924024640659</v>
      </c>
      <c r="Q83" s="19">
        <f t="shared" si="24"/>
        <v>-3.9644079397672827</v>
      </c>
      <c r="R83" s="19">
        <f t="shared" si="24"/>
        <v>-4.9637234770704994</v>
      </c>
      <c r="S83" s="19">
        <f t="shared" si="24"/>
        <v>-5.9630390143737166</v>
      </c>
      <c r="T83" s="19">
        <f t="shared" si="24"/>
        <v>-6.9650924024640659</v>
      </c>
      <c r="U83" s="19">
        <f t="shared" si="24"/>
        <v>-7.9644079397672831</v>
      </c>
    </row>
    <row r="84" spans="1:21">
      <c r="A84" s="22" t="str">
        <f t="shared" si="17"/>
        <v>BTP 3,85% feb 2035</v>
      </c>
      <c r="F84" s="19">
        <f t="shared" ref="F84:U84" si="25">($B$41-F$74)/365.25</f>
        <v>8.2874743326488698</v>
      </c>
      <c r="G84" s="19">
        <f t="shared" si="25"/>
        <v>7.2881587953456535</v>
      </c>
      <c r="H84" s="19">
        <f t="shared" si="25"/>
        <v>6.2861054072553042</v>
      </c>
      <c r="I84" s="19">
        <f t="shared" si="25"/>
        <v>5.2867898699520879</v>
      </c>
      <c r="J84" s="19">
        <f t="shared" si="25"/>
        <v>4.2874743326488707</v>
      </c>
      <c r="K84" s="19">
        <f t="shared" si="25"/>
        <v>3.2881587953456535</v>
      </c>
      <c r="L84" s="19">
        <f t="shared" si="25"/>
        <v>2.2861054072553046</v>
      </c>
      <c r="M84" s="19">
        <f t="shared" si="25"/>
        <v>1.2867898699520877</v>
      </c>
      <c r="N84" s="19">
        <f t="shared" si="25"/>
        <v>0.28747433264887062</v>
      </c>
      <c r="O84" s="19">
        <f t="shared" si="25"/>
        <v>-0.7118412046543463</v>
      </c>
      <c r="P84" s="19">
        <f t="shared" si="25"/>
        <v>-1.7138945927446954</v>
      </c>
      <c r="Q84" s="19">
        <f t="shared" si="25"/>
        <v>-2.7132101300479126</v>
      </c>
      <c r="R84" s="19">
        <f t="shared" si="25"/>
        <v>-3.7125256673511293</v>
      </c>
      <c r="S84" s="19">
        <f t="shared" si="25"/>
        <v>-4.7118412046543465</v>
      </c>
      <c r="T84" s="19">
        <f t="shared" si="25"/>
        <v>-5.7138945927446958</v>
      </c>
      <c r="U84" s="19">
        <f t="shared" si="25"/>
        <v>-6.7132101300479121</v>
      </c>
    </row>
    <row r="85" spans="1:21">
      <c r="A85" s="22" t="str">
        <f t="shared" si="17"/>
        <v>BTP 3,60% ott 2035</v>
      </c>
      <c r="F85" s="19">
        <f t="shared" ref="F85:U85" si="26">($B$42-F$74)/365.25</f>
        <v>8.9500342231348391</v>
      </c>
      <c r="G85" s="19">
        <f t="shared" si="26"/>
        <v>7.9507186858316219</v>
      </c>
      <c r="H85" s="19">
        <f t="shared" si="26"/>
        <v>6.9486652977412735</v>
      </c>
      <c r="I85" s="19">
        <f t="shared" si="26"/>
        <v>5.9493497604380563</v>
      </c>
      <c r="J85" s="19">
        <f t="shared" si="26"/>
        <v>4.9500342231348391</v>
      </c>
      <c r="K85" s="19">
        <f t="shared" si="26"/>
        <v>3.9507186858316223</v>
      </c>
      <c r="L85" s="19">
        <f t="shared" si="26"/>
        <v>2.9486652977412731</v>
      </c>
      <c r="M85" s="19">
        <f t="shared" si="26"/>
        <v>1.9493497604380561</v>
      </c>
      <c r="N85" s="19">
        <f t="shared" si="26"/>
        <v>0.95003422313483921</v>
      </c>
      <c r="O85" s="19">
        <f t="shared" si="26"/>
        <v>-4.9281314168377825E-2</v>
      </c>
      <c r="P85" s="19">
        <f t="shared" si="26"/>
        <v>-1.0513347022587269</v>
      </c>
      <c r="Q85" s="19">
        <f t="shared" si="26"/>
        <v>-2.0506502395619437</v>
      </c>
      <c r="R85" s="19">
        <f t="shared" si="26"/>
        <v>-3.0499657768651609</v>
      </c>
      <c r="S85" s="19">
        <f t="shared" si="26"/>
        <v>-4.0492813141683781</v>
      </c>
      <c r="T85" s="19">
        <f t="shared" si="26"/>
        <v>-5.0513347022587265</v>
      </c>
      <c r="U85" s="19">
        <f t="shared" si="26"/>
        <v>-6.0506502395619437</v>
      </c>
    </row>
    <row r="86" spans="1:21">
      <c r="A86" s="22" t="str">
        <f t="shared" si="17"/>
        <v>BTP 4,00% ott 2036</v>
      </c>
      <c r="F86" s="19">
        <f t="shared" ref="F86:U86" si="27">($B$43-F$74)/365.25</f>
        <v>9.9520876112251884</v>
      </c>
      <c r="G86" s="19">
        <f t="shared" si="27"/>
        <v>8.9527720739219721</v>
      </c>
      <c r="H86" s="19">
        <f t="shared" si="27"/>
        <v>7.9507186858316219</v>
      </c>
      <c r="I86" s="19">
        <f t="shared" si="27"/>
        <v>6.9514031485284056</v>
      </c>
      <c r="J86" s="19">
        <f t="shared" si="27"/>
        <v>5.9520876112251884</v>
      </c>
      <c r="K86" s="19">
        <f t="shared" si="27"/>
        <v>4.9527720739219712</v>
      </c>
      <c r="L86" s="19">
        <f t="shared" si="27"/>
        <v>3.9507186858316223</v>
      </c>
      <c r="M86" s="19">
        <f t="shared" si="27"/>
        <v>2.9514031485284051</v>
      </c>
      <c r="N86" s="19">
        <f t="shared" si="27"/>
        <v>1.9520876112251881</v>
      </c>
      <c r="O86" s="19">
        <f t="shared" si="27"/>
        <v>0.95277207392197127</v>
      </c>
      <c r="P86" s="19">
        <f t="shared" si="27"/>
        <v>-4.9281314168377825E-2</v>
      </c>
      <c r="Q86" s="19">
        <f t="shared" si="27"/>
        <v>-1.0485968514715949</v>
      </c>
      <c r="R86" s="19">
        <f t="shared" si="27"/>
        <v>-2.0479123887748116</v>
      </c>
      <c r="S86" s="19">
        <f t="shared" si="27"/>
        <v>-3.0472279260780288</v>
      </c>
      <c r="T86" s="19">
        <f t="shared" si="27"/>
        <v>-4.0492813141683781</v>
      </c>
      <c r="U86" s="19">
        <f t="shared" si="27"/>
        <v>-5.0485968514715944</v>
      </c>
    </row>
    <row r="87" spans="1:21">
      <c r="A87" s="22" t="str">
        <f t="shared" si="17"/>
        <v>BTP 4,50% ott 2053</v>
      </c>
      <c r="F87" s="19">
        <f t="shared" ref="F87:U87" si="28">($B$44-F$74)/365.25</f>
        <v>26.951403148528406</v>
      </c>
      <c r="G87" s="19">
        <f t="shared" si="28"/>
        <v>25.952087611225188</v>
      </c>
      <c r="H87" s="19">
        <f t="shared" si="28"/>
        <v>24.950034223134839</v>
      </c>
      <c r="I87" s="19">
        <f t="shared" si="28"/>
        <v>23.950718685831621</v>
      </c>
      <c r="J87" s="19">
        <f t="shared" si="28"/>
        <v>22.951403148528406</v>
      </c>
      <c r="K87" s="19">
        <f t="shared" si="28"/>
        <v>21.952087611225188</v>
      </c>
      <c r="L87" s="19">
        <f t="shared" si="28"/>
        <v>20.950034223134839</v>
      </c>
      <c r="M87" s="19">
        <f t="shared" si="28"/>
        <v>19.950718685831621</v>
      </c>
      <c r="N87" s="19">
        <f t="shared" si="28"/>
        <v>18.951403148528406</v>
      </c>
      <c r="O87" s="19">
        <f t="shared" si="28"/>
        <v>17.952087611225188</v>
      </c>
      <c r="P87" s="19">
        <f t="shared" si="28"/>
        <v>16.950034223134839</v>
      </c>
      <c r="Q87" s="19">
        <f t="shared" si="28"/>
        <v>15.950718685831623</v>
      </c>
      <c r="R87" s="19">
        <f t="shared" si="28"/>
        <v>14.951403148528405</v>
      </c>
      <c r="S87" s="19">
        <f t="shared" si="28"/>
        <v>13.952087611225188</v>
      </c>
      <c r="T87" s="19">
        <f t="shared" si="28"/>
        <v>12.950034223134839</v>
      </c>
      <c r="U87" s="19">
        <f t="shared" si="28"/>
        <v>11.950718685831623</v>
      </c>
    </row>
    <row r="89" spans="1:21">
      <c r="A89" s="36" t="s">
        <v>252</v>
      </c>
      <c r="B89" s="33"/>
      <c r="C89" s="33"/>
      <c r="D89" s="33"/>
      <c r="E89" s="33"/>
      <c r="F89" s="33"/>
      <c r="G89" s="33"/>
      <c r="H89" s="33"/>
      <c r="I89" s="33"/>
      <c r="J89" s="33"/>
    </row>
    <row r="90" spans="1:21">
      <c r="A90" s="22" t="str">
        <f t="shared" ref="A90:A100" si="29">A34</f>
        <v>BTP 2,70% ott 2027</v>
      </c>
      <c r="F90" s="12">
        <f>IF(F77&lt;='1 - Titoli e shock'!$P$21,'1 - Titoli e shock'!$K$21,IF(F77&gt;='1 - Titoli e shock'!$P$35,'1 - Titoli e shock'!$K$35,INDEX('1 - Titoli e shock'!$K$21:$K$35,MATCH(F77,'1 - Titoli e shock'!$P$21:$P$35,1))+(INDEX('1 - Titoli e shock'!$K$21:$K$35,MATCH(F77,'1 - Titoli e shock'!$P$21:$P$35,1)+1)-INDEX('1 - Titoli e shock'!$K$21:$K$35,MATCH(F77,'1 - Titoli e shock'!$P$21:$P$35,1)))*(F77-INDEX('1 - Titoli e shock'!$P$21:$P$35,MATCH(F77,'1 - Titoli e shock'!$P$21:$P$35,1)))/(INDEX('1 - Titoli e shock'!$P$21:$P$35,MATCH(F77,'1 - Titoli e shock'!$P$21:$P$35,1)+1)-INDEX('1 - Titoli e shock'!$P$21:$P$35,MATCH(F77,'1 - Titoli e shock'!$P$21:$P$35,1)))))</f>
        <v>3.1842376340284639E-2</v>
      </c>
      <c r="G90" s="12">
        <f>IF(G77&lt;='1 - Titoli e shock'!$P$21,'1 - Titoli e shock'!$K$21,IF(G77&gt;='1 - Titoli e shock'!$P$35,'1 - Titoli e shock'!$K$35,INDEX('1 - Titoli e shock'!$K$21:$K$35,MATCH(G77,'1 - Titoli e shock'!$P$21:$P$35,1))+(INDEX('1 - Titoli e shock'!$K$21:$K$35,MATCH(G77,'1 - Titoli e shock'!$P$21:$P$35,1)+1)-INDEX('1 - Titoli e shock'!$K$21:$K$35,MATCH(G77,'1 - Titoli e shock'!$P$21:$P$35,1)))*(G77-INDEX('1 - Titoli e shock'!$P$21:$P$35,MATCH(G77,'1 - Titoli e shock'!$P$21:$P$35,1)))/(INDEX('1 - Titoli e shock'!$P$21:$P$35,MATCH(G77,'1 - Titoli e shock'!$P$21:$P$35,1)+1)-INDEX('1 - Titoli e shock'!$P$21:$P$35,MATCH(G77,'1 - Titoli e shock'!$P$21:$P$35,1)))))</f>
        <v>3.1842376340284639E-2</v>
      </c>
      <c r="H90" s="12">
        <f>IF(H77&lt;='1 - Titoli e shock'!$P$21,'1 - Titoli e shock'!$K$21,IF(H77&gt;='1 - Titoli e shock'!$P$35,'1 - Titoli e shock'!$K$35,INDEX('1 - Titoli e shock'!$K$21:$K$35,MATCH(H77,'1 - Titoli e shock'!$P$21:$P$35,1))+(INDEX('1 - Titoli e shock'!$K$21:$K$35,MATCH(H77,'1 - Titoli e shock'!$P$21:$P$35,1)+1)-INDEX('1 - Titoli e shock'!$K$21:$K$35,MATCH(H77,'1 - Titoli e shock'!$P$21:$P$35,1)))*(H77-INDEX('1 - Titoli e shock'!$P$21:$P$35,MATCH(H77,'1 - Titoli e shock'!$P$21:$P$35,1)))/(INDEX('1 - Titoli e shock'!$P$21:$P$35,MATCH(H77,'1 - Titoli e shock'!$P$21:$P$35,1)+1)-INDEX('1 - Titoli e shock'!$P$21:$P$35,MATCH(H77,'1 - Titoli e shock'!$P$21:$P$35,1)))))</f>
        <v>3.1842376340284639E-2</v>
      </c>
      <c r="I90" s="12">
        <f>IF(I77&lt;='1 - Titoli e shock'!$P$21,'1 - Titoli e shock'!$K$21,IF(I77&gt;='1 - Titoli e shock'!$P$35,'1 - Titoli e shock'!$K$35,INDEX('1 - Titoli e shock'!$K$21:$K$35,MATCH(I77,'1 - Titoli e shock'!$P$21:$P$35,1))+(INDEX('1 - Titoli e shock'!$K$21:$K$35,MATCH(I77,'1 - Titoli e shock'!$P$21:$P$35,1)+1)-INDEX('1 - Titoli e shock'!$K$21:$K$35,MATCH(I77,'1 - Titoli e shock'!$P$21:$P$35,1)))*(I77-INDEX('1 - Titoli e shock'!$P$21:$P$35,MATCH(I77,'1 - Titoli e shock'!$P$21:$P$35,1)))/(INDEX('1 - Titoli e shock'!$P$21:$P$35,MATCH(I77,'1 - Titoli e shock'!$P$21:$P$35,1)+1)-INDEX('1 - Titoli e shock'!$P$21:$P$35,MATCH(I77,'1 - Titoli e shock'!$P$21:$P$35,1)))))</f>
        <v>3.1842376340284639E-2</v>
      </c>
      <c r="J90" s="12">
        <f>IF(J77&lt;='1 - Titoli e shock'!$P$21,'1 - Titoli e shock'!$K$21,IF(J77&gt;='1 - Titoli e shock'!$P$35,'1 - Titoli e shock'!$K$35,INDEX('1 - Titoli e shock'!$K$21:$K$35,MATCH(J77,'1 - Titoli e shock'!$P$21:$P$35,1))+(INDEX('1 - Titoli e shock'!$K$21:$K$35,MATCH(J77,'1 - Titoli e shock'!$P$21:$P$35,1)+1)-INDEX('1 - Titoli e shock'!$K$21:$K$35,MATCH(J77,'1 - Titoli e shock'!$P$21:$P$35,1)))*(J77-INDEX('1 - Titoli e shock'!$P$21:$P$35,MATCH(J77,'1 - Titoli e shock'!$P$21:$P$35,1)))/(INDEX('1 - Titoli e shock'!$P$21:$P$35,MATCH(J77,'1 - Titoli e shock'!$P$21:$P$35,1)+1)-INDEX('1 - Titoli e shock'!$P$21:$P$35,MATCH(J77,'1 - Titoli e shock'!$P$21:$P$35,1)))))</f>
        <v>3.1842376340284639E-2</v>
      </c>
      <c r="K90" s="12">
        <f>IF(K77&lt;='1 - Titoli e shock'!$P$21,'1 - Titoli e shock'!$K$21,IF(K77&gt;='1 - Titoli e shock'!$P$35,'1 - Titoli e shock'!$K$35,INDEX('1 - Titoli e shock'!$K$21:$K$35,MATCH(K77,'1 - Titoli e shock'!$P$21:$P$35,1))+(INDEX('1 - Titoli e shock'!$K$21:$K$35,MATCH(K77,'1 - Titoli e shock'!$P$21:$P$35,1)+1)-INDEX('1 - Titoli e shock'!$K$21:$K$35,MATCH(K77,'1 - Titoli e shock'!$P$21:$P$35,1)))*(K77-INDEX('1 - Titoli e shock'!$P$21:$P$35,MATCH(K77,'1 - Titoli e shock'!$P$21:$P$35,1)))/(INDEX('1 - Titoli e shock'!$P$21:$P$35,MATCH(K77,'1 - Titoli e shock'!$P$21:$P$35,1)+1)-INDEX('1 - Titoli e shock'!$P$21:$P$35,MATCH(K77,'1 - Titoli e shock'!$P$21:$P$35,1)))))</f>
        <v>3.1842376340284639E-2</v>
      </c>
      <c r="L90" s="12">
        <f>IF(L77&lt;='1 - Titoli e shock'!$P$21,'1 - Titoli e shock'!$K$21,IF(L77&gt;='1 - Titoli e shock'!$P$35,'1 - Titoli e shock'!$K$35,INDEX('1 - Titoli e shock'!$K$21:$K$35,MATCH(L77,'1 - Titoli e shock'!$P$21:$P$35,1))+(INDEX('1 - Titoli e shock'!$K$21:$K$35,MATCH(L77,'1 - Titoli e shock'!$P$21:$P$35,1)+1)-INDEX('1 - Titoli e shock'!$K$21:$K$35,MATCH(L77,'1 - Titoli e shock'!$P$21:$P$35,1)))*(L77-INDEX('1 - Titoli e shock'!$P$21:$P$35,MATCH(L77,'1 - Titoli e shock'!$P$21:$P$35,1)))/(INDEX('1 - Titoli e shock'!$P$21:$P$35,MATCH(L77,'1 - Titoli e shock'!$P$21:$P$35,1)+1)-INDEX('1 - Titoli e shock'!$P$21:$P$35,MATCH(L77,'1 - Titoli e shock'!$P$21:$P$35,1)))))</f>
        <v>3.1842376340284639E-2</v>
      </c>
      <c r="M90" s="12">
        <f>IF(M77&lt;='1 - Titoli e shock'!$P$21,'1 - Titoli e shock'!$K$21,IF(M77&gt;='1 - Titoli e shock'!$P$35,'1 - Titoli e shock'!$K$35,INDEX('1 - Titoli e shock'!$K$21:$K$35,MATCH(M77,'1 - Titoli e shock'!$P$21:$P$35,1))+(INDEX('1 - Titoli e shock'!$K$21:$K$35,MATCH(M77,'1 - Titoli e shock'!$P$21:$P$35,1)+1)-INDEX('1 - Titoli e shock'!$K$21:$K$35,MATCH(M77,'1 - Titoli e shock'!$P$21:$P$35,1)))*(M77-INDEX('1 - Titoli e shock'!$P$21:$P$35,MATCH(M77,'1 - Titoli e shock'!$P$21:$P$35,1)))/(INDEX('1 - Titoli e shock'!$P$21:$P$35,MATCH(M77,'1 - Titoli e shock'!$P$21:$P$35,1)+1)-INDEX('1 - Titoli e shock'!$P$21:$P$35,MATCH(M77,'1 - Titoli e shock'!$P$21:$P$35,1)))))</f>
        <v>3.1842376340284639E-2</v>
      </c>
      <c r="N90" s="12">
        <f>IF(N77&lt;='1 - Titoli e shock'!$P$21,'1 - Titoli e shock'!$K$21,IF(N77&gt;='1 - Titoli e shock'!$P$35,'1 - Titoli e shock'!$K$35,INDEX('1 - Titoli e shock'!$K$21:$K$35,MATCH(N77,'1 - Titoli e shock'!$P$21:$P$35,1))+(INDEX('1 - Titoli e shock'!$K$21:$K$35,MATCH(N77,'1 - Titoli e shock'!$P$21:$P$35,1)+1)-INDEX('1 - Titoli e shock'!$K$21:$K$35,MATCH(N77,'1 - Titoli e shock'!$P$21:$P$35,1)))*(N77-INDEX('1 - Titoli e shock'!$P$21:$P$35,MATCH(N77,'1 - Titoli e shock'!$P$21:$P$35,1)))/(INDEX('1 - Titoli e shock'!$P$21:$P$35,MATCH(N77,'1 - Titoli e shock'!$P$21:$P$35,1)+1)-INDEX('1 - Titoli e shock'!$P$21:$P$35,MATCH(N77,'1 - Titoli e shock'!$P$21:$P$35,1)))))</f>
        <v>3.1842376340284639E-2</v>
      </c>
      <c r="O90" s="12">
        <f>IF(O77&lt;='1 - Titoli e shock'!$P$21,'1 - Titoli e shock'!$K$21,IF(O77&gt;='1 - Titoli e shock'!$P$35,'1 - Titoli e shock'!$K$35,INDEX('1 - Titoli e shock'!$K$21:$K$35,MATCH(O77,'1 - Titoli e shock'!$P$21:$P$35,1))+(INDEX('1 - Titoli e shock'!$K$21:$K$35,MATCH(O77,'1 - Titoli e shock'!$P$21:$P$35,1)+1)-INDEX('1 - Titoli e shock'!$K$21:$K$35,MATCH(O77,'1 - Titoli e shock'!$P$21:$P$35,1)))*(O77-INDEX('1 - Titoli e shock'!$P$21:$P$35,MATCH(O77,'1 - Titoli e shock'!$P$21:$P$35,1)))/(INDEX('1 - Titoli e shock'!$P$21:$P$35,MATCH(O77,'1 - Titoli e shock'!$P$21:$P$35,1)+1)-INDEX('1 - Titoli e shock'!$P$21:$P$35,MATCH(O77,'1 - Titoli e shock'!$P$21:$P$35,1)))))</f>
        <v>3.1842376340284639E-2</v>
      </c>
      <c r="P90" s="12">
        <f>IF(P77&lt;='1 - Titoli e shock'!$P$21,'1 - Titoli e shock'!$K$21,IF(P77&gt;='1 - Titoli e shock'!$P$35,'1 - Titoli e shock'!$K$35,INDEX('1 - Titoli e shock'!$K$21:$K$35,MATCH(P77,'1 - Titoli e shock'!$P$21:$P$35,1))+(INDEX('1 - Titoli e shock'!$K$21:$K$35,MATCH(P77,'1 - Titoli e shock'!$P$21:$P$35,1)+1)-INDEX('1 - Titoli e shock'!$K$21:$K$35,MATCH(P77,'1 - Titoli e shock'!$P$21:$P$35,1)))*(P77-INDEX('1 - Titoli e shock'!$P$21:$P$35,MATCH(P77,'1 - Titoli e shock'!$P$21:$P$35,1)))/(INDEX('1 - Titoli e shock'!$P$21:$P$35,MATCH(P77,'1 - Titoli e shock'!$P$21:$P$35,1)+1)-INDEX('1 - Titoli e shock'!$P$21:$P$35,MATCH(P77,'1 - Titoli e shock'!$P$21:$P$35,1)))))</f>
        <v>3.1842376340284639E-2</v>
      </c>
      <c r="Q90" s="12">
        <f>IF(Q77&lt;='1 - Titoli e shock'!$P$21,'1 - Titoli e shock'!$K$21,IF(Q77&gt;='1 - Titoli e shock'!$P$35,'1 - Titoli e shock'!$K$35,INDEX('1 - Titoli e shock'!$K$21:$K$35,MATCH(Q77,'1 - Titoli e shock'!$P$21:$P$35,1))+(INDEX('1 - Titoli e shock'!$K$21:$K$35,MATCH(Q77,'1 - Titoli e shock'!$P$21:$P$35,1)+1)-INDEX('1 - Titoli e shock'!$K$21:$K$35,MATCH(Q77,'1 - Titoli e shock'!$P$21:$P$35,1)))*(Q77-INDEX('1 - Titoli e shock'!$P$21:$P$35,MATCH(Q77,'1 - Titoli e shock'!$P$21:$P$35,1)))/(INDEX('1 - Titoli e shock'!$P$21:$P$35,MATCH(Q77,'1 - Titoli e shock'!$P$21:$P$35,1)+1)-INDEX('1 - Titoli e shock'!$P$21:$P$35,MATCH(Q77,'1 - Titoli e shock'!$P$21:$P$35,1)))))</f>
        <v>3.1842376340284639E-2</v>
      </c>
      <c r="R90" s="12">
        <f>IF(R77&lt;='1 - Titoli e shock'!$P$21,'1 - Titoli e shock'!$K$21,IF(R77&gt;='1 - Titoli e shock'!$P$35,'1 - Titoli e shock'!$K$35,INDEX('1 - Titoli e shock'!$K$21:$K$35,MATCH(R77,'1 - Titoli e shock'!$P$21:$P$35,1))+(INDEX('1 - Titoli e shock'!$K$21:$K$35,MATCH(R77,'1 - Titoli e shock'!$P$21:$P$35,1)+1)-INDEX('1 - Titoli e shock'!$K$21:$K$35,MATCH(R77,'1 - Titoli e shock'!$P$21:$P$35,1)))*(R77-INDEX('1 - Titoli e shock'!$P$21:$P$35,MATCH(R77,'1 - Titoli e shock'!$P$21:$P$35,1)))/(INDEX('1 - Titoli e shock'!$P$21:$P$35,MATCH(R77,'1 - Titoli e shock'!$P$21:$P$35,1)+1)-INDEX('1 - Titoli e shock'!$P$21:$P$35,MATCH(R77,'1 - Titoli e shock'!$P$21:$P$35,1)))))</f>
        <v>3.1842376340284639E-2</v>
      </c>
      <c r="S90" s="12">
        <f>IF(S77&lt;='1 - Titoli e shock'!$P$21,'1 - Titoli e shock'!$K$21,IF(S77&gt;='1 - Titoli e shock'!$P$35,'1 - Titoli e shock'!$K$35,INDEX('1 - Titoli e shock'!$K$21:$K$35,MATCH(S77,'1 - Titoli e shock'!$P$21:$P$35,1))+(INDEX('1 - Titoli e shock'!$K$21:$K$35,MATCH(S77,'1 - Titoli e shock'!$P$21:$P$35,1)+1)-INDEX('1 - Titoli e shock'!$K$21:$K$35,MATCH(S77,'1 - Titoli e shock'!$P$21:$P$35,1)))*(S77-INDEX('1 - Titoli e shock'!$P$21:$P$35,MATCH(S77,'1 - Titoli e shock'!$P$21:$P$35,1)))/(INDEX('1 - Titoli e shock'!$P$21:$P$35,MATCH(S77,'1 - Titoli e shock'!$P$21:$P$35,1)+1)-INDEX('1 - Titoli e shock'!$P$21:$P$35,MATCH(S77,'1 - Titoli e shock'!$P$21:$P$35,1)))))</f>
        <v>3.1842376340284639E-2</v>
      </c>
      <c r="T90" s="12">
        <f>IF(T77&lt;='1 - Titoli e shock'!$P$21,'1 - Titoli e shock'!$K$21,IF(T77&gt;='1 - Titoli e shock'!$P$35,'1 - Titoli e shock'!$K$35,INDEX('1 - Titoli e shock'!$K$21:$K$35,MATCH(T77,'1 - Titoli e shock'!$P$21:$P$35,1))+(INDEX('1 - Titoli e shock'!$K$21:$K$35,MATCH(T77,'1 - Titoli e shock'!$P$21:$P$35,1)+1)-INDEX('1 - Titoli e shock'!$K$21:$K$35,MATCH(T77,'1 - Titoli e shock'!$P$21:$P$35,1)))*(T77-INDEX('1 - Titoli e shock'!$P$21:$P$35,MATCH(T77,'1 - Titoli e shock'!$P$21:$P$35,1)))/(INDEX('1 - Titoli e shock'!$P$21:$P$35,MATCH(T77,'1 - Titoli e shock'!$P$21:$P$35,1)+1)-INDEX('1 - Titoli e shock'!$P$21:$P$35,MATCH(T77,'1 - Titoli e shock'!$P$21:$P$35,1)))))</f>
        <v>3.1842376340284639E-2</v>
      </c>
      <c r="U90" s="12">
        <f>IF(U77&lt;='1 - Titoli e shock'!$P$21,'1 - Titoli e shock'!$K$21,IF(U77&gt;='1 - Titoli e shock'!$P$35,'1 - Titoli e shock'!$K$35,INDEX('1 - Titoli e shock'!$K$21:$K$35,MATCH(U77,'1 - Titoli e shock'!$P$21:$P$35,1))+(INDEX('1 - Titoli e shock'!$K$21:$K$35,MATCH(U77,'1 - Titoli e shock'!$P$21:$P$35,1)+1)-INDEX('1 - Titoli e shock'!$K$21:$K$35,MATCH(U77,'1 - Titoli e shock'!$P$21:$P$35,1)))*(U77-INDEX('1 - Titoli e shock'!$P$21:$P$35,MATCH(U77,'1 - Titoli e shock'!$P$21:$P$35,1)))/(INDEX('1 - Titoli e shock'!$P$21:$P$35,MATCH(U77,'1 - Titoli e shock'!$P$21:$P$35,1)+1)-INDEX('1 - Titoli e shock'!$P$21:$P$35,MATCH(U77,'1 - Titoli e shock'!$P$21:$P$35,1)))))</f>
        <v>3.1842376340284639E-2</v>
      </c>
    </row>
    <row r="91" spans="1:21">
      <c r="A91" s="22" t="str">
        <f t="shared" si="29"/>
        <v>BTP 2,80% dic 2028</v>
      </c>
      <c r="F91" s="12">
        <f>IF(F78&lt;='1 - Titoli e shock'!$P$21,'1 - Titoli e shock'!$K$21,IF(F78&gt;='1 - Titoli e shock'!$P$35,'1 - Titoli e shock'!$K$35,INDEX('1 - Titoli e shock'!$K$21:$K$35,MATCH(F78,'1 - Titoli e shock'!$P$21:$P$35,1))+(INDEX('1 - Titoli e shock'!$K$21:$K$35,MATCH(F78,'1 - Titoli e shock'!$P$21:$P$35,1)+1)-INDEX('1 - Titoli e shock'!$K$21:$K$35,MATCH(F78,'1 - Titoli e shock'!$P$21:$P$35,1)))*(F78-INDEX('1 - Titoli e shock'!$P$21:$P$35,MATCH(F78,'1 - Titoli e shock'!$P$21:$P$35,1)))/(INDEX('1 - Titoli e shock'!$P$21:$P$35,MATCH(F78,'1 - Titoli e shock'!$P$21:$P$35,1)+1)-INDEX('1 - Titoli e shock'!$P$21:$P$35,MATCH(F78,'1 - Titoli e shock'!$P$21:$P$35,1)))))</f>
        <v>3.4197907534164296E-2</v>
      </c>
      <c r="G91" s="12">
        <f>IF(G78&lt;='1 - Titoli e shock'!$P$21,'1 - Titoli e shock'!$K$21,IF(G78&gt;='1 - Titoli e shock'!$P$35,'1 - Titoli e shock'!$K$35,INDEX('1 - Titoli e shock'!$K$21:$K$35,MATCH(G78,'1 - Titoli e shock'!$P$21:$P$35,1))+(INDEX('1 - Titoli e shock'!$K$21:$K$35,MATCH(G78,'1 - Titoli e shock'!$P$21:$P$35,1)+1)-INDEX('1 - Titoli e shock'!$K$21:$K$35,MATCH(G78,'1 - Titoli e shock'!$P$21:$P$35,1)))*(G78-INDEX('1 - Titoli e shock'!$P$21:$P$35,MATCH(G78,'1 - Titoli e shock'!$P$21:$P$35,1)))/(INDEX('1 - Titoli e shock'!$P$21:$P$35,MATCH(G78,'1 - Titoli e shock'!$P$21:$P$35,1)+1)-INDEX('1 - Titoli e shock'!$P$21:$P$35,MATCH(G78,'1 - Titoli e shock'!$P$21:$P$35,1)))))</f>
        <v>3.2116142677587847E-2</v>
      </c>
      <c r="H91" s="12">
        <f>IF(H78&lt;='1 - Titoli e shock'!$P$21,'1 - Titoli e shock'!$K$21,IF(H78&gt;='1 - Titoli e shock'!$P$35,'1 - Titoli e shock'!$K$35,INDEX('1 - Titoli e shock'!$K$21:$K$35,MATCH(H78,'1 - Titoli e shock'!$P$21:$P$35,1))+(INDEX('1 - Titoli e shock'!$K$21:$K$35,MATCH(H78,'1 - Titoli e shock'!$P$21:$P$35,1)+1)-INDEX('1 - Titoli e shock'!$K$21:$K$35,MATCH(H78,'1 - Titoli e shock'!$P$21:$P$35,1)))*(H78-INDEX('1 - Titoli e shock'!$P$21:$P$35,MATCH(H78,'1 - Titoli e shock'!$P$21:$P$35,1)))/(INDEX('1 - Titoli e shock'!$P$21:$P$35,MATCH(H78,'1 - Titoli e shock'!$P$21:$P$35,1)+1)-INDEX('1 - Titoli e shock'!$P$21:$P$35,MATCH(H78,'1 - Titoli e shock'!$P$21:$P$35,1)))))</f>
        <v>3.1842376340284639E-2</v>
      </c>
      <c r="I91" s="12">
        <f>IF(I78&lt;='1 - Titoli e shock'!$P$21,'1 - Titoli e shock'!$K$21,IF(I78&gt;='1 - Titoli e shock'!$P$35,'1 - Titoli e shock'!$K$35,INDEX('1 - Titoli e shock'!$K$21:$K$35,MATCH(I78,'1 - Titoli e shock'!$P$21:$P$35,1))+(INDEX('1 - Titoli e shock'!$K$21:$K$35,MATCH(I78,'1 - Titoli e shock'!$P$21:$P$35,1)+1)-INDEX('1 - Titoli e shock'!$K$21:$K$35,MATCH(I78,'1 - Titoli e shock'!$P$21:$P$35,1)))*(I78-INDEX('1 - Titoli e shock'!$P$21:$P$35,MATCH(I78,'1 - Titoli e shock'!$P$21:$P$35,1)))/(INDEX('1 - Titoli e shock'!$P$21:$P$35,MATCH(I78,'1 - Titoli e shock'!$P$21:$P$35,1)+1)-INDEX('1 - Titoli e shock'!$P$21:$P$35,MATCH(I78,'1 - Titoli e shock'!$P$21:$P$35,1)))))</f>
        <v>3.1842376340284639E-2</v>
      </c>
      <c r="J91" s="12">
        <f>IF(J78&lt;='1 - Titoli e shock'!$P$21,'1 - Titoli e shock'!$K$21,IF(J78&gt;='1 - Titoli e shock'!$P$35,'1 - Titoli e shock'!$K$35,INDEX('1 - Titoli e shock'!$K$21:$K$35,MATCH(J78,'1 - Titoli e shock'!$P$21:$P$35,1))+(INDEX('1 - Titoli e shock'!$K$21:$K$35,MATCH(J78,'1 - Titoli e shock'!$P$21:$P$35,1)+1)-INDEX('1 - Titoli e shock'!$K$21:$K$35,MATCH(J78,'1 - Titoli e shock'!$P$21:$P$35,1)))*(J78-INDEX('1 - Titoli e shock'!$P$21:$P$35,MATCH(J78,'1 - Titoli e shock'!$P$21:$P$35,1)))/(INDEX('1 - Titoli e shock'!$P$21:$P$35,MATCH(J78,'1 - Titoli e shock'!$P$21:$P$35,1)+1)-INDEX('1 - Titoli e shock'!$P$21:$P$35,MATCH(J78,'1 - Titoli e shock'!$P$21:$P$35,1)))))</f>
        <v>3.1842376340284639E-2</v>
      </c>
      <c r="K91" s="12">
        <f>IF(K78&lt;='1 - Titoli e shock'!$P$21,'1 - Titoli e shock'!$K$21,IF(K78&gt;='1 - Titoli e shock'!$P$35,'1 - Titoli e shock'!$K$35,INDEX('1 - Titoli e shock'!$K$21:$K$35,MATCH(K78,'1 - Titoli e shock'!$P$21:$P$35,1))+(INDEX('1 - Titoli e shock'!$K$21:$K$35,MATCH(K78,'1 - Titoli e shock'!$P$21:$P$35,1)+1)-INDEX('1 - Titoli e shock'!$K$21:$K$35,MATCH(K78,'1 - Titoli e shock'!$P$21:$P$35,1)))*(K78-INDEX('1 - Titoli e shock'!$P$21:$P$35,MATCH(K78,'1 - Titoli e shock'!$P$21:$P$35,1)))/(INDEX('1 - Titoli e shock'!$P$21:$P$35,MATCH(K78,'1 - Titoli e shock'!$P$21:$P$35,1)+1)-INDEX('1 - Titoli e shock'!$P$21:$P$35,MATCH(K78,'1 - Titoli e shock'!$P$21:$P$35,1)))))</f>
        <v>3.1842376340284639E-2</v>
      </c>
      <c r="L91" s="12">
        <f>IF(L78&lt;='1 - Titoli e shock'!$P$21,'1 - Titoli e shock'!$K$21,IF(L78&gt;='1 - Titoli e shock'!$P$35,'1 - Titoli e shock'!$K$35,INDEX('1 - Titoli e shock'!$K$21:$K$35,MATCH(L78,'1 - Titoli e shock'!$P$21:$P$35,1))+(INDEX('1 - Titoli e shock'!$K$21:$K$35,MATCH(L78,'1 - Titoli e shock'!$P$21:$P$35,1)+1)-INDEX('1 - Titoli e shock'!$K$21:$K$35,MATCH(L78,'1 - Titoli e shock'!$P$21:$P$35,1)))*(L78-INDEX('1 - Titoli e shock'!$P$21:$P$35,MATCH(L78,'1 - Titoli e shock'!$P$21:$P$35,1)))/(INDEX('1 - Titoli e shock'!$P$21:$P$35,MATCH(L78,'1 - Titoli e shock'!$P$21:$P$35,1)+1)-INDEX('1 - Titoli e shock'!$P$21:$P$35,MATCH(L78,'1 - Titoli e shock'!$P$21:$P$35,1)))))</f>
        <v>3.1842376340284639E-2</v>
      </c>
      <c r="M91" s="12">
        <f>IF(M78&lt;='1 - Titoli e shock'!$P$21,'1 - Titoli e shock'!$K$21,IF(M78&gt;='1 - Titoli e shock'!$P$35,'1 - Titoli e shock'!$K$35,INDEX('1 - Titoli e shock'!$K$21:$K$35,MATCH(M78,'1 - Titoli e shock'!$P$21:$P$35,1))+(INDEX('1 - Titoli e shock'!$K$21:$K$35,MATCH(M78,'1 - Titoli e shock'!$P$21:$P$35,1)+1)-INDEX('1 - Titoli e shock'!$K$21:$K$35,MATCH(M78,'1 - Titoli e shock'!$P$21:$P$35,1)))*(M78-INDEX('1 - Titoli e shock'!$P$21:$P$35,MATCH(M78,'1 - Titoli e shock'!$P$21:$P$35,1)))/(INDEX('1 - Titoli e shock'!$P$21:$P$35,MATCH(M78,'1 - Titoli e shock'!$P$21:$P$35,1)+1)-INDEX('1 - Titoli e shock'!$P$21:$P$35,MATCH(M78,'1 - Titoli e shock'!$P$21:$P$35,1)))))</f>
        <v>3.1842376340284639E-2</v>
      </c>
      <c r="N91" s="12">
        <f>IF(N78&lt;='1 - Titoli e shock'!$P$21,'1 - Titoli e shock'!$K$21,IF(N78&gt;='1 - Titoli e shock'!$P$35,'1 - Titoli e shock'!$K$35,INDEX('1 - Titoli e shock'!$K$21:$K$35,MATCH(N78,'1 - Titoli e shock'!$P$21:$P$35,1))+(INDEX('1 - Titoli e shock'!$K$21:$K$35,MATCH(N78,'1 - Titoli e shock'!$P$21:$P$35,1)+1)-INDEX('1 - Titoli e shock'!$K$21:$K$35,MATCH(N78,'1 - Titoli e shock'!$P$21:$P$35,1)))*(N78-INDEX('1 - Titoli e shock'!$P$21:$P$35,MATCH(N78,'1 - Titoli e shock'!$P$21:$P$35,1)))/(INDEX('1 - Titoli e shock'!$P$21:$P$35,MATCH(N78,'1 - Titoli e shock'!$P$21:$P$35,1)+1)-INDEX('1 - Titoli e shock'!$P$21:$P$35,MATCH(N78,'1 - Titoli e shock'!$P$21:$P$35,1)))))</f>
        <v>3.1842376340284639E-2</v>
      </c>
      <c r="O91" s="12">
        <f>IF(O78&lt;='1 - Titoli e shock'!$P$21,'1 - Titoli e shock'!$K$21,IF(O78&gt;='1 - Titoli e shock'!$P$35,'1 - Titoli e shock'!$K$35,INDEX('1 - Titoli e shock'!$K$21:$K$35,MATCH(O78,'1 - Titoli e shock'!$P$21:$P$35,1))+(INDEX('1 - Titoli e shock'!$K$21:$K$35,MATCH(O78,'1 - Titoli e shock'!$P$21:$P$35,1)+1)-INDEX('1 - Titoli e shock'!$K$21:$K$35,MATCH(O78,'1 - Titoli e shock'!$P$21:$P$35,1)))*(O78-INDEX('1 - Titoli e shock'!$P$21:$P$35,MATCH(O78,'1 - Titoli e shock'!$P$21:$P$35,1)))/(INDEX('1 - Titoli e shock'!$P$21:$P$35,MATCH(O78,'1 - Titoli e shock'!$P$21:$P$35,1)+1)-INDEX('1 - Titoli e shock'!$P$21:$P$35,MATCH(O78,'1 - Titoli e shock'!$P$21:$P$35,1)))))</f>
        <v>3.1842376340284639E-2</v>
      </c>
      <c r="P91" s="12">
        <f>IF(P78&lt;='1 - Titoli e shock'!$P$21,'1 - Titoli e shock'!$K$21,IF(P78&gt;='1 - Titoli e shock'!$P$35,'1 - Titoli e shock'!$K$35,INDEX('1 - Titoli e shock'!$K$21:$K$35,MATCH(P78,'1 - Titoli e shock'!$P$21:$P$35,1))+(INDEX('1 - Titoli e shock'!$K$21:$K$35,MATCH(P78,'1 - Titoli e shock'!$P$21:$P$35,1)+1)-INDEX('1 - Titoli e shock'!$K$21:$K$35,MATCH(P78,'1 - Titoli e shock'!$P$21:$P$35,1)))*(P78-INDEX('1 - Titoli e shock'!$P$21:$P$35,MATCH(P78,'1 - Titoli e shock'!$P$21:$P$35,1)))/(INDEX('1 - Titoli e shock'!$P$21:$P$35,MATCH(P78,'1 - Titoli e shock'!$P$21:$P$35,1)+1)-INDEX('1 - Titoli e shock'!$P$21:$P$35,MATCH(P78,'1 - Titoli e shock'!$P$21:$P$35,1)))))</f>
        <v>3.1842376340284639E-2</v>
      </c>
      <c r="Q91" s="12">
        <f>IF(Q78&lt;='1 - Titoli e shock'!$P$21,'1 - Titoli e shock'!$K$21,IF(Q78&gt;='1 - Titoli e shock'!$P$35,'1 - Titoli e shock'!$K$35,INDEX('1 - Titoli e shock'!$K$21:$K$35,MATCH(Q78,'1 - Titoli e shock'!$P$21:$P$35,1))+(INDEX('1 - Titoli e shock'!$K$21:$K$35,MATCH(Q78,'1 - Titoli e shock'!$P$21:$P$35,1)+1)-INDEX('1 - Titoli e shock'!$K$21:$K$35,MATCH(Q78,'1 - Titoli e shock'!$P$21:$P$35,1)))*(Q78-INDEX('1 - Titoli e shock'!$P$21:$P$35,MATCH(Q78,'1 - Titoli e shock'!$P$21:$P$35,1)))/(INDEX('1 - Titoli e shock'!$P$21:$P$35,MATCH(Q78,'1 - Titoli e shock'!$P$21:$P$35,1)+1)-INDEX('1 - Titoli e shock'!$P$21:$P$35,MATCH(Q78,'1 - Titoli e shock'!$P$21:$P$35,1)))))</f>
        <v>3.1842376340284639E-2</v>
      </c>
      <c r="R91" s="12">
        <f>IF(R78&lt;='1 - Titoli e shock'!$P$21,'1 - Titoli e shock'!$K$21,IF(R78&gt;='1 - Titoli e shock'!$P$35,'1 - Titoli e shock'!$K$35,INDEX('1 - Titoli e shock'!$K$21:$K$35,MATCH(R78,'1 - Titoli e shock'!$P$21:$P$35,1))+(INDEX('1 - Titoli e shock'!$K$21:$K$35,MATCH(R78,'1 - Titoli e shock'!$P$21:$P$35,1)+1)-INDEX('1 - Titoli e shock'!$K$21:$K$35,MATCH(R78,'1 - Titoli e shock'!$P$21:$P$35,1)))*(R78-INDEX('1 - Titoli e shock'!$P$21:$P$35,MATCH(R78,'1 - Titoli e shock'!$P$21:$P$35,1)))/(INDEX('1 - Titoli e shock'!$P$21:$P$35,MATCH(R78,'1 - Titoli e shock'!$P$21:$P$35,1)+1)-INDEX('1 - Titoli e shock'!$P$21:$P$35,MATCH(R78,'1 - Titoli e shock'!$P$21:$P$35,1)))))</f>
        <v>3.1842376340284639E-2</v>
      </c>
      <c r="S91" s="12">
        <f>IF(S78&lt;='1 - Titoli e shock'!$P$21,'1 - Titoli e shock'!$K$21,IF(S78&gt;='1 - Titoli e shock'!$P$35,'1 - Titoli e shock'!$K$35,INDEX('1 - Titoli e shock'!$K$21:$K$35,MATCH(S78,'1 - Titoli e shock'!$P$21:$P$35,1))+(INDEX('1 - Titoli e shock'!$K$21:$K$35,MATCH(S78,'1 - Titoli e shock'!$P$21:$P$35,1)+1)-INDEX('1 - Titoli e shock'!$K$21:$K$35,MATCH(S78,'1 - Titoli e shock'!$P$21:$P$35,1)))*(S78-INDEX('1 - Titoli e shock'!$P$21:$P$35,MATCH(S78,'1 - Titoli e shock'!$P$21:$P$35,1)))/(INDEX('1 - Titoli e shock'!$P$21:$P$35,MATCH(S78,'1 - Titoli e shock'!$P$21:$P$35,1)+1)-INDEX('1 - Titoli e shock'!$P$21:$P$35,MATCH(S78,'1 - Titoli e shock'!$P$21:$P$35,1)))))</f>
        <v>3.1842376340284639E-2</v>
      </c>
      <c r="T91" s="12">
        <f>IF(T78&lt;='1 - Titoli e shock'!$P$21,'1 - Titoli e shock'!$K$21,IF(T78&gt;='1 - Titoli e shock'!$P$35,'1 - Titoli e shock'!$K$35,INDEX('1 - Titoli e shock'!$K$21:$K$35,MATCH(T78,'1 - Titoli e shock'!$P$21:$P$35,1))+(INDEX('1 - Titoli e shock'!$K$21:$K$35,MATCH(T78,'1 - Titoli e shock'!$P$21:$P$35,1)+1)-INDEX('1 - Titoli e shock'!$K$21:$K$35,MATCH(T78,'1 - Titoli e shock'!$P$21:$P$35,1)))*(T78-INDEX('1 - Titoli e shock'!$P$21:$P$35,MATCH(T78,'1 - Titoli e shock'!$P$21:$P$35,1)))/(INDEX('1 - Titoli e shock'!$P$21:$P$35,MATCH(T78,'1 - Titoli e shock'!$P$21:$P$35,1)+1)-INDEX('1 - Titoli e shock'!$P$21:$P$35,MATCH(T78,'1 - Titoli e shock'!$P$21:$P$35,1)))))</f>
        <v>3.1842376340284639E-2</v>
      </c>
      <c r="U91" s="12">
        <f>IF(U78&lt;='1 - Titoli e shock'!$P$21,'1 - Titoli e shock'!$K$21,IF(U78&gt;='1 - Titoli e shock'!$P$35,'1 - Titoli e shock'!$K$35,INDEX('1 - Titoli e shock'!$K$21:$K$35,MATCH(U78,'1 - Titoli e shock'!$P$21:$P$35,1))+(INDEX('1 - Titoli e shock'!$K$21:$K$35,MATCH(U78,'1 - Titoli e shock'!$P$21:$P$35,1)+1)-INDEX('1 - Titoli e shock'!$K$21:$K$35,MATCH(U78,'1 - Titoli e shock'!$P$21:$P$35,1)))*(U78-INDEX('1 - Titoli e shock'!$P$21:$P$35,MATCH(U78,'1 - Titoli e shock'!$P$21:$P$35,1)))/(INDEX('1 - Titoli e shock'!$P$21:$P$35,MATCH(U78,'1 - Titoli e shock'!$P$21:$P$35,1)+1)-INDEX('1 - Titoli e shock'!$P$21:$P$35,MATCH(U78,'1 - Titoli e shock'!$P$21:$P$35,1)))))</f>
        <v>3.1842376340284639E-2</v>
      </c>
    </row>
    <row r="92" spans="1:21">
      <c r="A92" s="22" t="str">
        <f t="shared" si="29"/>
        <v>BTP 3,00% ott 2029</v>
      </c>
      <c r="F92" s="12">
        <f>IF(F79&lt;='1 - Titoli e shock'!$P$21,'1 - Titoli e shock'!$K$21,IF(F79&gt;='1 - Titoli e shock'!$P$35,'1 - Titoli e shock'!$K$35,INDEX('1 - Titoli e shock'!$K$21:$K$35,MATCH(F79,'1 - Titoli e shock'!$P$21:$P$35,1))+(INDEX('1 - Titoli e shock'!$K$21:$K$35,MATCH(F79,'1 - Titoli e shock'!$P$21:$P$35,1)+1)-INDEX('1 - Titoli e shock'!$K$21:$K$35,MATCH(F79,'1 - Titoli e shock'!$P$21:$P$35,1)))*(F79-INDEX('1 - Titoli e shock'!$P$21:$P$35,MATCH(F79,'1 - Titoli e shock'!$P$21:$P$35,1)))/(INDEX('1 - Titoli e shock'!$P$21:$P$35,MATCH(F79,'1 - Titoli e shock'!$P$21:$P$35,1)+1)-INDEX('1 - Titoli e shock'!$P$21:$P$35,MATCH(F79,'1 - Titoli e shock'!$P$21:$P$35,1)))))</f>
        <v>3.6521975206967205E-2</v>
      </c>
      <c r="G92" s="12">
        <f>IF(G79&lt;='1 - Titoli e shock'!$P$21,'1 - Titoli e shock'!$K$21,IF(G79&gt;='1 - Titoli e shock'!$P$35,'1 - Titoli e shock'!$K$35,INDEX('1 - Titoli e shock'!$K$21:$K$35,MATCH(G79,'1 - Titoli e shock'!$P$21:$P$35,1))+(INDEX('1 - Titoli e shock'!$K$21:$K$35,MATCH(G79,'1 - Titoli e shock'!$P$21:$P$35,1)+1)-INDEX('1 - Titoli e shock'!$K$21:$K$35,MATCH(G79,'1 - Titoli e shock'!$P$21:$P$35,1)))*(G79-INDEX('1 - Titoli e shock'!$P$21:$P$35,MATCH(G79,'1 - Titoli e shock'!$P$21:$P$35,1)))/(INDEX('1 - Titoli e shock'!$P$21:$P$35,MATCH(G79,'1 - Titoli e shock'!$P$21:$P$35,1)+1)-INDEX('1 - Titoli e shock'!$P$21:$P$35,MATCH(G79,'1 - Titoli e shock'!$P$21:$P$35,1)))))</f>
        <v>3.3849996147174807E-2</v>
      </c>
      <c r="H92" s="12">
        <f>IF(H79&lt;='1 - Titoli e shock'!$P$21,'1 - Titoli e shock'!$K$21,IF(H79&gt;='1 - Titoli e shock'!$P$35,'1 - Titoli e shock'!$K$35,INDEX('1 - Titoli e shock'!$K$21:$K$35,MATCH(H79,'1 - Titoli e shock'!$P$21:$P$35,1))+(INDEX('1 - Titoli e shock'!$K$21:$K$35,MATCH(H79,'1 - Titoli e shock'!$P$21:$P$35,1)+1)-INDEX('1 - Titoli e shock'!$K$21:$K$35,MATCH(H79,'1 - Titoli e shock'!$P$21:$P$35,1)))*(H79-INDEX('1 - Titoli e shock'!$P$21:$P$35,MATCH(H79,'1 - Titoli e shock'!$P$21:$P$35,1)))/(INDEX('1 - Titoli e shock'!$P$21:$P$35,MATCH(H79,'1 - Titoli e shock'!$P$21:$P$35,1)+1)-INDEX('1 - Titoli e shock'!$P$21:$P$35,MATCH(H79,'1 - Titoli e shock'!$P$21:$P$35,1)))))</f>
        <v>3.1842376340284639E-2</v>
      </c>
      <c r="I92" s="12">
        <f>IF(I79&lt;='1 - Titoli e shock'!$P$21,'1 - Titoli e shock'!$K$21,IF(I79&gt;='1 - Titoli e shock'!$P$35,'1 - Titoli e shock'!$K$35,INDEX('1 - Titoli e shock'!$K$21:$K$35,MATCH(I79,'1 - Titoli e shock'!$P$21:$P$35,1))+(INDEX('1 - Titoli e shock'!$K$21:$K$35,MATCH(I79,'1 - Titoli e shock'!$P$21:$P$35,1)+1)-INDEX('1 - Titoli e shock'!$K$21:$K$35,MATCH(I79,'1 - Titoli e shock'!$P$21:$P$35,1)))*(I79-INDEX('1 - Titoli e shock'!$P$21:$P$35,MATCH(I79,'1 - Titoli e shock'!$P$21:$P$35,1)))/(INDEX('1 - Titoli e shock'!$P$21:$P$35,MATCH(I79,'1 - Titoli e shock'!$P$21:$P$35,1)+1)-INDEX('1 - Titoli e shock'!$P$21:$P$35,MATCH(I79,'1 - Titoli e shock'!$P$21:$P$35,1)))))</f>
        <v>3.1842376340284639E-2</v>
      </c>
      <c r="J92" s="12">
        <f>IF(J79&lt;='1 - Titoli e shock'!$P$21,'1 - Titoli e shock'!$K$21,IF(J79&gt;='1 - Titoli e shock'!$P$35,'1 - Titoli e shock'!$K$35,INDEX('1 - Titoli e shock'!$K$21:$K$35,MATCH(J79,'1 - Titoli e shock'!$P$21:$P$35,1))+(INDEX('1 - Titoli e shock'!$K$21:$K$35,MATCH(J79,'1 - Titoli e shock'!$P$21:$P$35,1)+1)-INDEX('1 - Titoli e shock'!$K$21:$K$35,MATCH(J79,'1 - Titoli e shock'!$P$21:$P$35,1)))*(J79-INDEX('1 - Titoli e shock'!$P$21:$P$35,MATCH(J79,'1 - Titoli e shock'!$P$21:$P$35,1)))/(INDEX('1 - Titoli e shock'!$P$21:$P$35,MATCH(J79,'1 - Titoli e shock'!$P$21:$P$35,1)+1)-INDEX('1 - Titoli e shock'!$P$21:$P$35,MATCH(J79,'1 - Titoli e shock'!$P$21:$P$35,1)))))</f>
        <v>3.1842376340284639E-2</v>
      </c>
      <c r="K92" s="12">
        <f>IF(K79&lt;='1 - Titoli e shock'!$P$21,'1 - Titoli e shock'!$K$21,IF(K79&gt;='1 - Titoli e shock'!$P$35,'1 - Titoli e shock'!$K$35,INDEX('1 - Titoli e shock'!$K$21:$K$35,MATCH(K79,'1 - Titoli e shock'!$P$21:$P$35,1))+(INDEX('1 - Titoli e shock'!$K$21:$K$35,MATCH(K79,'1 - Titoli e shock'!$P$21:$P$35,1)+1)-INDEX('1 - Titoli e shock'!$K$21:$K$35,MATCH(K79,'1 - Titoli e shock'!$P$21:$P$35,1)))*(K79-INDEX('1 - Titoli e shock'!$P$21:$P$35,MATCH(K79,'1 - Titoli e shock'!$P$21:$P$35,1)))/(INDEX('1 - Titoli e shock'!$P$21:$P$35,MATCH(K79,'1 - Titoli e shock'!$P$21:$P$35,1)+1)-INDEX('1 - Titoli e shock'!$P$21:$P$35,MATCH(K79,'1 - Titoli e shock'!$P$21:$P$35,1)))))</f>
        <v>3.1842376340284639E-2</v>
      </c>
      <c r="L92" s="12">
        <f>IF(L79&lt;='1 - Titoli e shock'!$P$21,'1 - Titoli e shock'!$K$21,IF(L79&gt;='1 - Titoli e shock'!$P$35,'1 - Titoli e shock'!$K$35,INDEX('1 - Titoli e shock'!$K$21:$K$35,MATCH(L79,'1 - Titoli e shock'!$P$21:$P$35,1))+(INDEX('1 - Titoli e shock'!$K$21:$K$35,MATCH(L79,'1 - Titoli e shock'!$P$21:$P$35,1)+1)-INDEX('1 - Titoli e shock'!$K$21:$K$35,MATCH(L79,'1 - Titoli e shock'!$P$21:$P$35,1)))*(L79-INDEX('1 - Titoli e shock'!$P$21:$P$35,MATCH(L79,'1 - Titoli e shock'!$P$21:$P$35,1)))/(INDEX('1 - Titoli e shock'!$P$21:$P$35,MATCH(L79,'1 - Titoli e shock'!$P$21:$P$35,1)+1)-INDEX('1 - Titoli e shock'!$P$21:$P$35,MATCH(L79,'1 - Titoli e shock'!$P$21:$P$35,1)))))</f>
        <v>3.1842376340284639E-2</v>
      </c>
      <c r="M92" s="12">
        <f>IF(M79&lt;='1 - Titoli e shock'!$P$21,'1 - Titoli e shock'!$K$21,IF(M79&gt;='1 - Titoli e shock'!$P$35,'1 - Titoli e shock'!$K$35,INDEX('1 - Titoli e shock'!$K$21:$K$35,MATCH(M79,'1 - Titoli e shock'!$P$21:$P$35,1))+(INDEX('1 - Titoli e shock'!$K$21:$K$35,MATCH(M79,'1 - Titoli e shock'!$P$21:$P$35,1)+1)-INDEX('1 - Titoli e shock'!$K$21:$K$35,MATCH(M79,'1 - Titoli e shock'!$P$21:$P$35,1)))*(M79-INDEX('1 - Titoli e shock'!$P$21:$P$35,MATCH(M79,'1 - Titoli e shock'!$P$21:$P$35,1)))/(INDEX('1 - Titoli e shock'!$P$21:$P$35,MATCH(M79,'1 - Titoli e shock'!$P$21:$P$35,1)+1)-INDEX('1 - Titoli e shock'!$P$21:$P$35,MATCH(M79,'1 - Titoli e shock'!$P$21:$P$35,1)))))</f>
        <v>3.1842376340284639E-2</v>
      </c>
      <c r="N92" s="12">
        <f>IF(N79&lt;='1 - Titoli e shock'!$P$21,'1 - Titoli e shock'!$K$21,IF(N79&gt;='1 - Titoli e shock'!$P$35,'1 - Titoli e shock'!$K$35,INDEX('1 - Titoli e shock'!$K$21:$K$35,MATCH(N79,'1 - Titoli e shock'!$P$21:$P$35,1))+(INDEX('1 - Titoli e shock'!$K$21:$K$35,MATCH(N79,'1 - Titoli e shock'!$P$21:$P$35,1)+1)-INDEX('1 - Titoli e shock'!$K$21:$K$35,MATCH(N79,'1 - Titoli e shock'!$P$21:$P$35,1)))*(N79-INDEX('1 - Titoli e shock'!$P$21:$P$35,MATCH(N79,'1 - Titoli e shock'!$P$21:$P$35,1)))/(INDEX('1 - Titoli e shock'!$P$21:$P$35,MATCH(N79,'1 - Titoli e shock'!$P$21:$P$35,1)+1)-INDEX('1 - Titoli e shock'!$P$21:$P$35,MATCH(N79,'1 - Titoli e shock'!$P$21:$P$35,1)))))</f>
        <v>3.1842376340284639E-2</v>
      </c>
      <c r="O92" s="12">
        <f>IF(O79&lt;='1 - Titoli e shock'!$P$21,'1 - Titoli e shock'!$K$21,IF(O79&gt;='1 - Titoli e shock'!$P$35,'1 - Titoli e shock'!$K$35,INDEX('1 - Titoli e shock'!$K$21:$K$35,MATCH(O79,'1 - Titoli e shock'!$P$21:$P$35,1))+(INDEX('1 - Titoli e shock'!$K$21:$K$35,MATCH(O79,'1 - Titoli e shock'!$P$21:$P$35,1)+1)-INDEX('1 - Titoli e shock'!$K$21:$K$35,MATCH(O79,'1 - Titoli e shock'!$P$21:$P$35,1)))*(O79-INDEX('1 - Titoli e shock'!$P$21:$P$35,MATCH(O79,'1 - Titoli e shock'!$P$21:$P$35,1)))/(INDEX('1 - Titoli e shock'!$P$21:$P$35,MATCH(O79,'1 - Titoli e shock'!$P$21:$P$35,1)+1)-INDEX('1 - Titoli e shock'!$P$21:$P$35,MATCH(O79,'1 - Titoli e shock'!$P$21:$P$35,1)))))</f>
        <v>3.1842376340284639E-2</v>
      </c>
      <c r="P92" s="12">
        <f>IF(P79&lt;='1 - Titoli e shock'!$P$21,'1 - Titoli e shock'!$K$21,IF(P79&gt;='1 - Titoli e shock'!$P$35,'1 - Titoli e shock'!$K$35,INDEX('1 - Titoli e shock'!$K$21:$K$35,MATCH(P79,'1 - Titoli e shock'!$P$21:$P$35,1))+(INDEX('1 - Titoli e shock'!$K$21:$K$35,MATCH(P79,'1 - Titoli e shock'!$P$21:$P$35,1)+1)-INDEX('1 - Titoli e shock'!$K$21:$K$35,MATCH(P79,'1 - Titoli e shock'!$P$21:$P$35,1)))*(P79-INDEX('1 - Titoli e shock'!$P$21:$P$35,MATCH(P79,'1 - Titoli e shock'!$P$21:$P$35,1)))/(INDEX('1 - Titoli e shock'!$P$21:$P$35,MATCH(P79,'1 - Titoli e shock'!$P$21:$P$35,1)+1)-INDEX('1 - Titoli e shock'!$P$21:$P$35,MATCH(P79,'1 - Titoli e shock'!$P$21:$P$35,1)))))</f>
        <v>3.1842376340284639E-2</v>
      </c>
      <c r="Q92" s="12">
        <f>IF(Q79&lt;='1 - Titoli e shock'!$P$21,'1 - Titoli e shock'!$K$21,IF(Q79&gt;='1 - Titoli e shock'!$P$35,'1 - Titoli e shock'!$K$35,INDEX('1 - Titoli e shock'!$K$21:$K$35,MATCH(Q79,'1 - Titoli e shock'!$P$21:$P$35,1))+(INDEX('1 - Titoli e shock'!$K$21:$K$35,MATCH(Q79,'1 - Titoli e shock'!$P$21:$P$35,1)+1)-INDEX('1 - Titoli e shock'!$K$21:$K$35,MATCH(Q79,'1 - Titoli e shock'!$P$21:$P$35,1)))*(Q79-INDEX('1 - Titoli e shock'!$P$21:$P$35,MATCH(Q79,'1 - Titoli e shock'!$P$21:$P$35,1)))/(INDEX('1 - Titoli e shock'!$P$21:$P$35,MATCH(Q79,'1 - Titoli e shock'!$P$21:$P$35,1)+1)-INDEX('1 - Titoli e shock'!$P$21:$P$35,MATCH(Q79,'1 - Titoli e shock'!$P$21:$P$35,1)))))</f>
        <v>3.1842376340284639E-2</v>
      </c>
      <c r="R92" s="12">
        <f>IF(R79&lt;='1 - Titoli e shock'!$P$21,'1 - Titoli e shock'!$K$21,IF(R79&gt;='1 - Titoli e shock'!$P$35,'1 - Titoli e shock'!$K$35,INDEX('1 - Titoli e shock'!$K$21:$K$35,MATCH(R79,'1 - Titoli e shock'!$P$21:$P$35,1))+(INDEX('1 - Titoli e shock'!$K$21:$K$35,MATCH(R79,'1 - Titoli e shock'!$P$21:$P$35,1)+1)-INDEX('1 - Titoli e shock'!$K$21:$K$35,MATCH(R79,'1 - Titoli e shock'!$P$21:$P$35,1)))*(R79-INDEX('1 - Titoli e shock'!$P$21:$P$35,MATCH(R79,'1 - Titoli e shock'!$P$21:$P$35,1)))/(INDEX('1 - Titoli e shock'!$P$21:$P$35,MATCH(R79,'1 - Titoli e shock'!$P$21:$P$35,1)+1)-INDEX('1 - Titoli e shock'!$P$21:$P$35,MATCH(R79,'1 - Titoli e shock'!$P$21:$P$35,1)))))</f>
        <v>3.1842376340284639E-2</v>
      </c>
      <c r="S92" s="12">
        <f>IF(S79&lt;='1 - Titoli e shock'!$P$21,'1 - Titoli e shock'!$K$21,IF(S79&gt;='1 - Titoli e shock'!$P$35,'1 - Titoli e shock'!$K$35,INDEX('1 - Titoli e shock'!$K$21:$K$35,MATCH(S79,'1 - Titoli e shock'!$P$21:$P$35,1))+(INDEX('1 - Titoli e shock'!$K$21:$K$35,MATCH(S79,'1 - Titoli e shock'!$P$21:$P$35,1)+1)-INDEX('1 - Titoli e shock'!$K$21:$K$35,MATCH(S79,'1 - Titoli e shock'!$P$21:$P$35,1)))*(S79-INDEX('1 - Titoli e shock'!$P$21:$P$35,MATCH(S79,'1 - Titoli e shock'!$P$21:$P$35,1)))/(INDEX('1 - Titoli e shock'!$P$21:$P$35,MATCH(S79,'1 - Titoli e shock'!$P$21:$P$35,1)+1)-INDEX('1 - Titoli e shock'!$P$21:$P$35,MATCH(S79,'1 - Titoli e shock'!$P$21:$P$35,1)))))</f>
        <v>3.1842376340284639E-2</v>
      </c>
      <c r="T92" s="12">
        <f>IF(T79&lt;='1 - Titoli e shock'!$P$21,'1 - Titoli e shock'!$K$21,IF(T79&gt;='1 - Titoli e shock'!$P$35,'1 - Titoli e shock'!$K$35,INDEX('1 - Titoli e shock'!$K$21:$K$35,MATCH(T79,'1 - Titoli e shock'!$P$21:$P$35,1))+(INDEX('1 - Titoli e shock'!$K$21:$K$35,MATCH(T79,'1 - Titoli e shock'!$P$21:$P$35,1)+1)-INDEX('1 - Titoli e shock'!$K$21:$K$35,MATCH(T79,'1 - Titoli e shock'!$P$21:$P$35,1)))*(T79-INDEX('1 - Titoli e shock'!$P$21:$P$35,MATCH(T79,'1 - Titoli e shock'!$P$21:$P$35,1)))/(INDEX('1 - Titoli e shock'!$P$21:$P$35,MATCH(T79,'1 - Titoli e shock'!$P$21:$P$35,1)+1)-INDEX('1 - Titoli e shock'!$P$21:$P$35,MATCH(T79,'1 - Titoli e shock'!$P$21:$P$35,1)))))</f>
        <v>3.1842376340284639E-2</v>
      </c>
      <c r="U92" s="12">
        <f>IF(U79&lt;='1 - Titoli e shock'!$P$21,'1 - Titoli e shock'!$K$21,IF(U79&gt;='1 - Titoli e shock'!$P$35,'1 - Titoli e shock'!$K$35,INDEX('1 - Titoli e shock'!$K$21:$K$35,MATCH(U79,'1 - Titoli e shock'!$P$21:$P$35,1))+(INDEX('1 - Titoli e shock'!$K$21:$K$35,MATCH(U79,'1 - Titoli e shock'!$P$21:$P$35,1)+1)-INDEX('1 - Titoli e shock'!$K$21:$K$35,MATCH(U79,'1 - Titoli e shock'!$P$21:$P$35,1)))*(U79-INDEX('1 - Titoli e shock'!$P$21:$P$35,MATCH(U79,'1 - Titoli e shock'!$P$21:$P$35,1)))/(INDEX('1 - Titoli e shock'!$P$21:$P$35,MATCH(U79,'1 - Titoli e shock'!$P$21:$P$35,1)+1)-INDEX('1 - Titoli e shock'!$P$21:$P$35,MATCH(U79,'1 - Titoli e shock'!$P$21:$P$35,1)))))</f>
        <v>3.1842376340284639E-2</v>
      </c>
    </row>
    <row r="93" spans="1:21">
      <c r="A93" s="22" t="str">
        <f t="shared" si="29"/>
        <v>BTP 2,70% ott 2030</v>
      </c>
      <c r="F93" s="12">
        <f>IF(F80&lt;='1 - Titoli e shock'!$P$21,'1 - Titoli e shock'!$K$21,IF(F80&gt;='1 - Titoli e shock'!$P$35,'1 - Titoli e shock'!$K$35,INDEX('1 - Titoli e shock'!$K$21:$K$35,MATCH(F80,'1 - Titoli e shock'!$P$21:$P$35,1))+(INDEX('1 - Titoli e shock'!$K$21:$K$35,MATCH(F80,'1 - Titoli e shock'!$P$21:$P$35,1)+1)-INDEX('1 - Titoli e shock'!$K$21:$K$35,MATCH(F80,'1 - Titoli e shock'!$P$21:$P$35,1)))*(F80-INDEX('1 - Titoli e shock'!$P$21:$P$35,MATCH(F80,'1 - Titoli e shock'!$P$21:$P$35,1)))/(INDEX('1 - Titoli e shock'!$P$21:$P$35,MATCH(F80,'1 - Titoli e shock'!$P$21:$P$35,1)+1)-INDEX('1 - Titoli e shock'!$P$21:$P$35,MATCH(F80,'1 - Titoli e shock'!$P$21:$P$35,1)))))</f>
        <v>3.8242901529698559E-2</v>
      </c>
      <c r="G93" s="12">
        <f>IF(G80&lt;='1 - Titoli e shock'!$P$21,'1 - Titoli e shock'!$K$21,IF(G80&gt;='1 - Titoli e shock'!$P$35,'1 - Titoli e shock'!$K$35,INDEX('1 - Titoli e shock'!$K$21:$K$35,MATCH(G80,'1 - Titoli e shock'!$P$21:$P$35,1))+(INDEX('1 - Titoli e shock'!$K$21:$K$35,MATCH(G80,'1 - Titoli e shock'!$P$21:$P$35,1)+1)-INDEX('1 - Titoli e shock'!$K$21:$K$35,MATCH(G80,'1 - Titoli e shock'!$P$21:$P$35,1)))*(G80-INDEX('1 - Titoli e shock'!$P$21:$P$35,MATCH(G80,'1 - Titoli e shock'!$P$21:$P$35,1)))/(INDEX('1 - Titoli e shock'!$P$21:$P$35,MATCH(G80,'1 - Titoli e shock'!$P$21:$P$35,1)+1)-INDEX('1 - Titoli e shock'!$P$21:$P$35,MATCH(G80,'1 - Titoli e shock'!$P$21:$P$35,1)))))</f>
        <v>3.6521975206967205E-2</v>
      </c>
      <c r="H93" s="12">
        <f>IF(H80&lt;='1 - Titoli e shock'!$P$21,'1 - Titoli e shock'!$K$21,IF(H80&gt;='1 - Titoli e shock'!$P$35,'1 - Titoli e shock'!$K$35,INDEX('1 - Titoli e shock'!$K$21:$K$35,MATCH(H80,'1 - Titoli e shock'!$P$21:$P$35,1))+(INDEX('1 - Titoli e shock'!$K$21:$K$35,MATCH(H80,'1 - Titoli e shock'!$P$21:$P$35,1)+1)-INDEX('1 - Titoli e shock'!$K$21:$K$35,MATCH(H80,'1 - Titoli e shock'!$P$21:$P$35,1)))*(H80-INDEX('1 - Titoli e shock'!$P$21:$P$35,MATCH(H80,'1 - Titoli e shock'!$P$21:$P$35,1)))/(INDEX('1 - Titoli e shock'!$P$21:$P$35,MATCH(H80,'1 - Titoli e shock'!$P$21:$P$35,1)+1)-INDEX('1 - Titoli e shock'!$P$21:$P$35,MATCH(H80,'1 - Titoli e shock'!$P$21:$P$35,1)))))</f>
        <v>3.3844292681814325E-2</v>
      </c>
      <c r="I93" s="12">
        <f>IF(I80&lt;='1 - Titoli e shock'!$P$21,'1 - Titoli e shock'!$K$21,IF(I80&gt;='1 - Titoli e shock'!$P$35,'1 - Titoli e shock'!$K$35,INDEX('1 - Titoli e shock'!$K$21:$K$35,MATCH(I80,'1 - Titoli e shock'!$P$21:$P$35,1))+(INDEX('1 - Titoli e shock'!$K$21:$K$35,MATCH(I80,'1 - Titoli e shock'!$P$21:$P$35,1)+1)-INDEX('1 - Titoli e shock'!$K$21:$K$35,MATCH(I80,'1 - Titoli e shock'!$P$21:$P$35,1)))*(I80-INDEX('1 - Titoli e shock'!$P$21:$P$35,MATCH(I80,'1 - Titoli e shock'!$P$21:$P$35,1)))/(INDEX('1 - Titoli e shock'!$P$21:$P$35,MATCH(I80,'1 - Titoli e shock'!$P$21:$P$35,1)+1)-INDEX('1 - Titoli e shock'!$P$21:$P$35,MATCH(I80,'1 - Titoli e shock'!$P$21:$P$35,1)))))</f>
        <v>3.1842376340284639E-2</v>
      </c>
      <c r="J93" s="12">
        <f>IF(J80&lt;='1 - Titoli e shock'!$P$21,'1 - Titoli e shock'!$K$21,IF(J80&gt;='1 - Titoli e shock'!$P$35,'1 - Titoli e shock'!$K$35,INDEX('1 - Titoli e shock'!$K$21:$K$35,MATCH(J80,'1 - Titoli e shock'!$P$21:$P$35,1))+(INDEX('1 - Titoli e shock'!$K$21:$K$35,MATCH(J80,'1 - Titoli e shock'!$P$21:$P$35,1)+1)-INDEX('1 - Titoli e shock'!$K$21:$K$35,MATCH(J80,'1 - Titoli e shock'!$P$21:$P$35,1)))*(J80-INDEX('1 - Titoli e shock'!$P$21:$P$35,MATCH(J80,'1 - Titoli e shock'!$P$21:$P$35,1)))/(INDEX('1 - Titoli e shock'!$P$21:$P$35,MATCH(J80,'1 - Titoli e shock'!$P$21:$P$35,1)+1)-INDEX('1 - Titoli e shock'!$P$21:$P$35,MATCH(J80,'1 - Titoli e shock'!$P$21:$P$35,1)))))</f>
        <v>3.1842376340284639E-2</v>
      </c>
      <c r="K93" s="12">
        <f>IF(K80&lt;='1 - Titoli e shock'!$P$21,'1 - Titoli e shock'!$K$21,IF(K80&gt;='1 - Titoli e shock'!$P$35,'1 - Titoli e shock'!$K$35,INDEX('1 - Titoli e shock'!$K$21:$K$35,MATCH(K80,'1 - Titoli e shock'!$P$21:$P$35,1))+(INDEX('1 - Titoli e shock'!$K$21:$K$35,MATCH(K80,'1 - Titoli e shock'!$P$21:$P$35,1)+1)-INDEX('1 - Titoli e shock'!$K$21:$K$35,MATCH(K80,'1 - Titoli e shock'!$P$21:$P$35,1)))*(K80-INDEX('1 - Titoli e shock'!$P$21:$P$35,MATCH(K80,'1 - Titoli e shock'!$P$21:$P$35,1)))/(INDEX('1 - Titoli e shock'!$P$21:$P$35,MATCH(K80,'1 - Titoli e shock'!$P$21:$P$35,1)+1)-INDEX('1 - Titoli e shock'!$P$21:$P$35,MATCH(K80,'1 - Titoli e shock'!$P$21:$P$35,1)))))</f>
        <v>3.1842376340284639E-2</v>
      </c>
      <c r="L93" s="12">
        <f>IF(L80&lt;='1 - Titoli e shock'!$P$21,'1 - Titoli e shock'!$K$21,IF(L80&gt;='1 - Titoli e shock'!$P$35,'1 - Titoli e shock'!$K$35,INDEX('1 - Titoli e shock'!$K$21:$K$35,MATCH(L80,'1 - Titoli e shock'!$P$21:$P$35,1))+(INDEX('1 - Titoli e shock'!$K$21:$K$35,MATCH(L80,'1 - Titoli e shock'!$P$21:$P$35,1)+1)-INDEX('1 - Titoli e shock'!$K$21:$K$35,MATCH(L80,'1 - Titoli e shock'!$P$21:$P$35,1)))*(L80-INDEX('1 - Titoli e shock'!$P$21:$P$35,MATCH(L80,'1 - Titoli e shock'!$P$21:$P$35,1)))/(INDEX('1 - Titoli e shock'!$P$21:$P$35,MATCH(L80,'1 - Titoli e shock'!$P$21:$P$35,1)+1)-INDEX('1 - Titoli e shock'!$P$21:$P$35,MATCH(L80,'1 - Titoli e shock'!$P$21:$P$35,1)))))</f>
        <v>3.1842376340284639E-2</v>
      </c>
      <c r="M93" s="12">
        <f>IF(M80&lt;='1 - Titoli e shock'!$P$21,'1 - Titoli e shock'!$K$21,IF(M80&gt;='1 - Titoli e shock'!$P$35,'1 - Titoli e shock'!$K$35,INDEX('1 - Titoli e shock'!$K$21:$K$35,MATCH(M80,'1 - Titoli e shock'!$P$21:$P$35,1))+(INDEX('1 - Titoli e shock'!$K$21:$K$35,MATCH(M80,'1 - Titoli e shock'!$P$21:$P$35,1)+1)-INDEX('1 - Titoli e shock'!$K$21:$K$35,MATCH(M80,'1 - Titoli e shock'!$P$21:$P$35,1)))*(M80-INDEX('1 - Titoli e shock'!$P$21:$P$35,MATCH(M80,'1 - Titoli e shock'!$P$21:$P$35,1)))/(INDEX('1 - Titoli e shock'!$P$21:$P$35,MATCH(M80,'1 - Titoli e shock'!$P$21:$P$35,1)+1)-INDEX('1 - Titoli e shock'!$P$21:$P$35,MATCH(M80,'1 - Titoli e shock'!$P$21:$P$35,1)))))</f>
        <v>3.1842376340284639E-2</v>
      </c>
      <c r="N93" s="12">
        <f>IF(N80&lt;='1 - Titoli e shock'!$P$21,'1 - Titoli e shock'!$K$21,IF(N80&gt;='1 - Titoli e shock'!$P$35,'1 - Titoli e shock'!$K$35,INDEX('1 - Titoli e shock'!$K$21:$K$35,MATCH(N80,'1 - Titoli e shock'!$P$21:$P$35,1))+(INDEX('1 - Titoli e shock'!$K$21:$K$35,MATCH(N80,'1 - Titoli e shock'!$P$21:$P$35,1)+1)-INDEX('1 - Titoli e shock'!$K$21:$K$35,MATCH(N80,'1 - Titoli e shock'!$P$21:$P$35,1)))*(N80-INDEX('1 - Titoli e shock'!$P$21:$P$35,MATCH(N80,'1 - Titoli e shock'!$P$21:$P$35,1)))/(INDEX('1 - Titoli e shock'!$P$21:$P$35,MATCH(N80,'1 - Titoli e shock'!$P$21:$P$35,1)+1)-INDEX('1 - Titoli e shock'!$P$21:$P$35,MATCH(N80,'1 - Titoli e shock'!$P$21:$P$35,1)))))</f>
        <v>3.1842376340284639E-2</v>
      </c>
      <c r="O93" s="12">
        <f>IF(O80&lt;='1 - Titoli e shock'!$P$21,'1 - Titoli e shock'!$K$21,IF(O80&gt;='1 - Titoli e shock'!$P$35,'1 - Titoli e shock'!$K$35,INDEX('1 - Titoli e shock'!$K$21:$K$35,MATCH(O80,'1 - Titoli e shock'!$P$21:$P$35,1))+(INDEX('1 - Titoli e shock'!$K$21:$K$35,MATCH(O80,'1 - Titoli e shock'!$P$21:$P$35,1)+1)-INDEX('1 - Titoli e shock'!$K$21:$K$35,MATCH(O80,'1 - Titoli e shock'!$P$21:$P$35,1)))*(O80-INDEX('1 - Titoli e shock'!$P$21:$P$35,MATCH(O80,'1 - Titoli e shock'!$P$21:$P$35,1)))/(INDEX('1 - Titoli e shock'!$P$21:$P$35,MATCH(O80,'1 - Titoli e shock'!$P$21:$P$35,1)+1)-INDEX('1 - Titoli e shock'!$P$21:$P$35,MATCH(O80,'1 - Titoli e shock'!$P$21:$P$35,1)))))</f>
        <v>3.1842376340284639E-2</v>
      </c>
      <c r="P93" s="12">
        <f>IF(P80&lt;='1 - Titoli e shock'!$P$21,'1 - Titoli e shock'!$K$21,IF(P80&gt;='1 - Titoli e shock'!$P$35,'1 - Titoli e shock'!$K$35,INDEX('1 - Titoli e shock'!$K$21:$K$35,MATCH(P80,'1 - Titoli e shock'!$P$21:$P$35,1))+(INDEX('1 - Titoli e shock'!$K$21:$K$35,MATCH(P80,'1 - Titoli e shock'!$P$21:$P$35,1)+1)-INDEX('1 - Titoli e shock'!$K$21:$K$35,MATCH(P80,'1 - Titoli e shock'!$P$21:$P$35,1)))*(P80-INDEX('1 - Titoli e shock'!$P$21:$P$35,MATCH(P80,'1 - Titoli e shock'!$P$21:$P$35,1)))/(INDEX('1 - Titoli e shock'!$P$21:$P$35,MATCH(P80,'1 - Titoli e shock'!$P$21:$P$35,1)+1)-INDEX('1 - Titoli e shock'!$P$21:$P$35,MATCH(P80,'1 - Titoli e shock'!$P$21:$P$35,1)))))</f>
        <v>3.1842376340284639E-2</v>
      </c>
      <c r="Q93" s="12">
        <f>IF(Q80&lt;='1 - Titoli e shock'!$P$21,'1 - Titoli e shock'!$K$21,IF(Q80&gt;='1 - Titoli e shock'!$P$35,'1 - Titoli e shock'!$K$35,INDEX('1 - Titoli e shock'!$K$21:$K$35,MATCH(Q80,'1 - Titoli e shock'!$P$21:$P$35,1))+(INDEX('1 - Titoli e shock'!$K$21:$K$35,MATCH(Q80,'1 - Titoli e shock'!$P$21:$P$35,1)+1)-INDEX('1 - Titoli e shock'!$K$21:$K$35,MATCH(Q80,'1 - Titoli e shock'!$P$21:$P$35,1)))*(Q80-INDEX('1 - Titoli e shock'!$P$21:$P$35,MATCH(Q80,'1 - Titoli e shock'!$P$21:$P$35,1)))/(INDEX('1 - Titoli e shock'!$P$21:$P$35,MATCH(Q80,'1 - Titoli e shock'!$P$21:$P$35,1)+1)-INDEX('1 - Titoli e shock'!$P$21:$P$35,MATCH(Q80,'1 - Titoli e shock'!$P$21:$P$35,1)))))</f>
        <v>3.1842376340284639E-2</v>
      </c>
      <c r="R93" s="12">
        <f>IF(R80&lt;='1 - Titoli e shock'!$P$21,'1 - Titoli e shock'!$K$21,IF(R80&gt;='1 - Titoli e shock'!$P$35,'1 - Titoli e shock'!$K$35,INDEX('1 - Titoli e shock'!$K$21:$K$35,MATCH(R80,'1 - Titoli e shock'!$P$21:$P$35,1))+(INDEX('1 - Titoli e shock'!$K$21:$K$35,MATCH(R80,'1 - Titoli e shock'!$P$21:$P$35,1)+1)-INDEX('1 - Titoli e shock'!$K$21:$K$35,MATCH(R80,'1 - Titoli e shock'!$P$21:$P$35,1)))*(R80-INDEX('1 - Titoli e shock'!$P$21:$P$35,MATCH(R80,'1 - Titoli e shock'!$P$21:$P$35,1)))/(INDEX('1 - Titoli e shock'!$P$21:$P$35,MATCH(R80,'1 - Titoli e shock'!$P$21:$P$35,1)+1)-INDEX('1 - Titoli e shock'!$P$21:$P$35,MATCH(R80,'1 - Titoli e shock'!$P$21:$P$35,1)))))</f>
        <v>3.1842376340284639E-2</v>
      </c>
      <c r="S93" s="12">
        <f>IF(S80&lt;='1 - Titoli e shock'!$P$21,'1 - Titoli e shock'!$K$21,IF(S80&gt;='1 - Titoli e shock'!$P$35,'1 - Titoli e shock'!$K$35,INDEX('1 - Titoli e shock'!$K$21:$K$35,MATCH(S80,'1 - Titoli e shock'!$P$21:$P$35,1))+(INDEX('1 - Titoli e shock'!$K$21:$K$35,MATCH(S80,'1 - Titoli e shock'!$P$21:$P$35,1)+1)-INDEX('1 - Titoli e shock'!$K$21:$K$35,MATCH(S80,'1 - Titoli e shock'!$P$21:$P$35,1)))*(S80-INDEX('1 - Titoli e shock'!$P$21:$P$35,MATCH(S80,'1 - Titoli e shock'!$P$21:$P$35,1)))/(INDEX('1 - Titoli e shock'!$P$21:$P$35,MATCH(S80,'1 - Titoli e shock'!$P$21:$P$35,1)+1)-INDEX('1 - Titoli e shock'!$P$21:$P$35,MATCH(S80,'1 - Titoli e shock'!$P$21:$P$35,1)))))</f>
        <v>3.1842376340284639E-2</v>
      </c>
      <c r="T93" s="12">
        <f>IF(T80&lt;='1 - Titoli e shock'!$P$21,'1 - Titoli e shock'!$K$21,IF(T80&gt;='1 - Titoli e shock'!$P$35,'1 - Titoli e shock'!$K$35,INDEX('1 - Titoli e shock'!$K$21:$K$35,MATCH(T80,'1 - Titoli e shock'!$P$21:$P$35,1))+(INDEX('1 - Titoli e shock'!$K$21:$K$35,MATCH(T80,'1 - Titoli e shock'!$P$21:$P$35,1)+1)-INDEX('1 - Titoli e shock'!$K$21:$K$35,MATCH(T80,'1 - Titoli e shock'!$P$21:$P$35,1)))*(T80-INDEX('1 - Titoli e shock'!$P$21:$P$35,MATCH(T80,'1 - Titoli e shock'!$P$21:$P$35,1)))/(INDEX('1 - Titoli e shock'!$P$21:$P$35,MATCH(T80,'1 - Titoli e shock'!$P$21:$P$35,1)+1)-INDEX('1 - Titoli e shock'!$P$21:$P$35,MATCH(T80,'1 - Titoli e shock'!$P$21:$P$35,1)))))</f>
        <v>3.1842376340284639E-2</v>
      </c>
      <c r="U93" s="12">
        <f>IF(U80&lt;='1 - Titoli e shock'!$P$21,'1 - Titoli e shock'!$K$21,IF(U80&gt;='1 - Titoli e shock'!$P$35,'1 - Titoli e shock'!$K$35,INDEX('1 - Titoli e shock'!$K$21:$K$35,MATCH(U80,'1 - Titoli e shock'!$P$21:$P$35,1))+(INDEX('1 - Titoli e shock'!$K$21:$K$35,MATCH(U80,'1 - Titoli e shock'!$P$21:$P$35,1)+1)-INDEX('1 - Titoli e shock'!$K$21:$K$35,MATCH(U80,'1 - Titoli e shock'!$P$21:$P$35,1)))*(U80-INDEX('1 - Titoli e shock'!$P$21:$P$35,MATCH(U80,'1 - Titoli e shock'!$P$21:$P$35,1)))/(INDEX('1 - Titoli e shock'!$P$21:$P$35,MATCH(U80,'1 - Titoli e shock'!$P$21:$P$35,1)+1)-INDEX('1 - Titoli e shock'!$P$21:$P$35,MATCH(U80,'1 - Titoli e shock'!$P$21:$P$35,1)))))</f>
        <v>3.1842376340284639E-2</v>
      </c>
    </row>
    <row r="94" spans="1:21">
      <c r="A94" s="22" t="str">
        <f t="shared" si="29"/>
        <v>BTP 3,15% nov 2031</v>
      </c>
      <c r="F94" s="12">
        <f>IF(F81&lt;='1 - Titoli e shock'!$P$21,'1 - Titoli e shock'!$K$21,IF(F81&gt;='1 - Titoli e shock'!$P$35,'1 - Titoli e shock'!$K$35,INDEX('1 - Titoli e shock'!$K$21:$K$35,MATCH(F81,'1 - Titoli e shock'!$P$21:$P$35,1))+(INDEX('1 - Titoli e shock'!$K$21:$K$35,MATCH(F81,'1 - Titoli e shock'!$P$21:$P$35,1)+1)-INDEX('1 - Titoli e shock'!$K$21:$K$35,MATCH(F81,'1 - Titoli e shock'!$P$21:$P$35,1)))*(F81-INDEX('1 - Titoli e shock'!$P$21:$P$35,MATCH(F81,'1 - Titoli e shock'!$P$21:$P$35,1)))/(INDEX('1 - Titoli e shock'!$P$21:$P$35,MATCH(F81,'1 - Titoli e shock'!$P$21:$P$35,1)+1)-INDEX('1 - Titoli e shock'!$P$21:$P$35,MATCH(F81,'1 - Titoli e shock'!$P$21:$P$35,1)))))</f>
        <v>3.9416565047462937E-2</v>
      </c>
      <c r="G94" s="12">
        <f>IF(G81&lt;='1 - Titoli e shock'!$P$21,'1 - Titoli e shock'!$K$21,IF(G81&gt;='1 - Titoli e shock'!$P$35,'1 - Titoli e shock'!$K$35,INDEX('1 - Titoli e shock'!$K$21:$K$35,MATCH(G81,'1 - Titoli e shock'!$P$21:$P$35,1))+(INDEX('1 - Titoli e shock'!$K$21:$K$35,MATCH(G81,'1 - Titoli e shock'!$P$21:$P$35,1)+1)-INDEX('1 - Titoli e shock'!$K$21:$K$35,MATCH(G81,'1 - Titoli e shock'!$P$21:$P$35,1)))*(G81-INDEX('1 - Titoli e shock'!$P$21:$P$35,MATCH(G81,'1 - Titoli e shock'!$P$21:$P$35,1)))/(INDEX('1 - Titoli e shock'!$P$21:$P$35,MATCH(G81,'1 - Titoli e shock'!$P$21:$P$35,1)+1)-INDEX('1 - Titoli e shock'!$P$21:$P$35,MATCH(G81,'1 - Titoli e shock'!$P$21:$P$35,1)))))</f>
        <v>3.8371718257258061E-2</v>
      </c>
      <c r="H94" s="12">
        <f>IF(H81&lt;='1 - Titoli e shock'!$P$21,'1 - Titoli e shock'!$K$21,IF(H81&gt;='1 - Titoli e shock'!$P$35,'1 - Titoli e shock'!$K$35,INDEX('1 - Titoli e shock'!$K$21:$K$35,MATCH(H81,'1 - Titoli e shock'!$P$21:$P$35,1))+(INDEX('1 - Titoli e shock'!$K$21:$K$35,MATCH(H81,'1 - Titoli e shock'!$P$21:$P$35,1)+1)-INDEX('1 - Titoli e shock'!$K$21:$K$35,MATCH(H81,'1 - Titoli e shock'!$P$21:$P$35,1)))*(H81-INDEX('1 - Titoli e shock'!$P$21:$P$35,MATCH(H81,'1 - Titoli e shock'!$P$21:$P$35,1)))/(INDEX('1 - Titoli e shock'!$P$21:$P$35,MATCH(H81,'1 - Titoli e shock'!$P$21:$P$35,1)+1)-INDEX('1 - Titoli e shock'!$P$21:$P$35,MATCH(H81,'1 - Titoli e shock'!$P$21:$P$35,1)))))</f>
        <v>3.6729429339022492E-2</v>
      </c>
      <c r="I94" s="12">
        <f>IF(I81&lt;='1 - Titoli e shock'!$P$21,'1 - Titoli e shock'!$K$21,IF(I81&gt;='1 - Titoli e shock'!$P$35,'1 - Titoli e shock'!$K$35,INDEX('1 - Titoli e shock'!$K$21:$K$35,MATCH(I81,'1 - Titoli e shock'!$P$21:$P$35,1))+(INDEX('1 - Titoli e shock'!$K$21:$K$35,MATCH(I81,'1 - Titoli e shock'!$P$21:$P$35,1)+1)-INDEX('1 - Titoli e shock'!$K$21:$K$35,MATCH(I81,'1 - Titoli e shock'!$P$21:$P$35,1)))*(I81-INDEX('1 - Titoli e shock'!$P$21:$P$35,MATCH(I81,'1 - Titoli e shock'!$P$21:$P$35,1)))/(INDEX('1 - Titoli e shock'!$P$21:$P$35,MATCH(I81,'1 - Titoli e shock'!$P$21:$P$35,1)+1)-INDEX('1 - Titoli e shock'!$P$21:$P$35,MATCH(I81,'1 - Titoli e shock'!$P$21:$P$35,1)))))</f>
        <v>3.410094862303608E-2</v>
      </c>
      <c r="J94" s="12">
        <f>IF(J81&lt;='1 - Titoli e shock'!$P$21,'1 - Titoli e shock'!$K$21,IF(J81&gt;='1 - Titoli e shock'!$P$35,'1 - Titoli e shock'!$K$35,INDEX('1 - Titoli e shock'!$K$21:$K$35,MATCH(J81,'1 - Titoli e shock'!$P$21:$P$35,1))+(INDEX('1 - Titoli e shock'!$K$21:$K$35,MATCH(J81,'1 - Titoli e shock'!$P$21:$P$35,1)+1)-INDEX('1 - Titoli e shock'!$K$21:$K$35,MATCH(J81,'1 - Titoli e shock'!$P$21:$P$35,1)))*(J81-INDEX('1 - Titoli e shock'!$P$21:$P$35,MATCH(J81,'1 - Titoli e shock'!$P$21:$P$35,1)))/(INDEX('1 - Titoli e shock'!$P$21:$P$35,MATCH(J81,'1 - Titoli e shock'!$P$21:$P$35,1)+1)-INDEX('1 - Titoli e shock'!$P$21:$P$35,MATCH(J81,'1 - Titoli e shock'!$P$21:$P$35,1)))))</f>
        <v>3.2019183766459625E-2</v>
      </c>
      <c r="K94" s="12">
        <f>IF(K81&lt;='1 - Titoli e shock'!$P$21,'1 - Titoli e shock'!$K$21,IF(K81&gt;='1 - Titoli e shock'!$P$35,'1 - Titoli e shock'!$K$35,INDEX('1 - Titoli e shock'!$K$21:$K$35,MATCH(K81,'1 - Titoli e shock'!$P$21:$P$35,1))+(INDEX('1 - Titoli e shock'!$K$21:$K$35,MATCH(K81,'1 - Titoli e shock'!$P$21:$P$35,1)+1)-INDEX('1 - Titoli e shock'!$K$21:$K$35,MATCH(K81,'1 - Titoli e shock'!$P$21:$P$35,1)))*(K81-INDEX('1 - Titoli e shock'!$P$21:$P$35,MATCH(K81,'1 - Titoli e shock'!$P$21:$P$35,1)))/(INDEX('1 - Titoli e shock'!$P$21:$P$35,MATCH(K81,'1 - Titoli e shock'!$P$21:$P$35,1)+1)-INDEX('1 - Titoli e shock'!$P$21:$P$35,MATCH(K81,'1 - Titoli e shock'!$P$21:$P$35,1)))))</f>
        <v>3.1842376340284639E-2</v>
      </c>
      <c r="L94" s="12">
        <f>IF(L81&lt;='1 - Titoli e shock'!$P$21,'1 - Titoli e shock'!$K$21,IF(L81&gt;='1 - Titoli e shock'!$P$35,'1 - Titoli e shock'!$K$35,INDEX('1 - Titoli e shock'!$K$21:$K$35,MATCH(L81,'1 - Titoli e shock'!$P$21:$P$35,1))+(INDEX('1 - Titoli e shock'!$K$21:$K$35,MATCH(L81,'1 - Titoli e shock'!$P$21:$P$35,1)+1)-INDEX('1 - Titoli e shock'!$K$21:$K$35,MATCH(L81,'1 - Titoli e shock'!$P$21:$P$35,1)))*(L81-INDEX('1 - Titoli e shock'!$P$21:$P$35,MATCH(L81,'1 - Titoli e shock'!$P$21:$P$35,1)))/(INDEX('1 - Titoli e shock'!$P$21:$P$35,MATCH(L81,'1 - Titoli e shock'!$P$21:$P$35,1)+1)-INDEX('1 - Titoli e shock'!$P$21:$P$35,MATCH(L81,'1 - Titoli e shock'!$P$21:$P$35,1)))))</f>
        <v>3.1842376340284639E-2</v>
      </c>
      <c r="M94" s="12">
        <f>IF(M81&lt;='1 - Titoli e shock'!$P$21,'1 - Titoli e shock'!$K$21,IF(M81&gt;='1 - Titoli e shock'!$P$35,'1 - Titoli e shock'!$K$35,INDEX('1 - Titoli e shock'!$K$21:$K$35,MATCH(M81,'1 - Titoli e shock'!$P$21:$P$35,1))+(INDEX('1 - Titoli e shock'!$K$21:$K$35,MATCH(M81,'1 - Titoli e shock'!$P$21:$P$35,1)+1)-INDEX('1 - Titoli e shock'!$K$21:$K$35,MATCH(M81,'1 - Titoli e shock'!$P$21:$P$35,1)))*(M81-INDEX('1 - Titoli e shock'!$P$21:$P$35,MATCH(M81,'1 - Titoli e shock'!$P$21:$P$35,1)))/(INDEX('1 - Titoli e shock'!$P$21:$P$35,MATCH(M81,'1 - Titoli e shock'!$P$21:$P$35,1)+1)-INDEX('1 - Titoli e shock'!$P$21:$P$35,MATCH(M81,'1 - Titoli e shock'!$P$21:$P$35,1)))))</f>
        <v>3.1842376340284639E-2</v>
      </c>
      <c r="N94" s="12">
        <f>IF(N81&lt;='1 - Titoli e shock'!$P$21,'1 - Titoli e shock'!$K$21,IF(N81&gt;='1 - Titoli e shock'!$P$35,'1 - Titoli e shock'!$K$35,INDEX('1 - Titoli e shock'!$K$21:$K$35,MATCH(N81,'1 - Titoli e shock'!$P$21:$P$35,1))+(INDEX('1 - Titoli e shock'!$K$21:$K$35,MATCH(N81,'1 - Titoli e shock'!$P$21:$P$35,1)+1)-INDEX('1 - Titoli e shock'!$K$21:$K$35,MATCH(N81,'1 - Titoli e shock'!$P$21:$P$35,1)))*(N81-INDEX('1 - Titoli e shock'!$P$21:$P$35,MATCH(N81,'1 - Titoli e shock'!$P$21:$P$35,1)))/(INDEX('1 - Titoli e shock'!$P$21:$P$35,MATCH(N81,'1 - Titoli e shock'!$P$21:$P$35,1)+1)-INDEX('1 - Titoli e shock'!$P$21:$P$35,MATCH(N81,'1 - Titoli e shock'!$P$21:$P$35,1)))))</f>
        <v>3.1842376340284639E-2</v>
      </c>
      <c r="O94" s="12">
        <f>IF(O81&lt;='1 - Titoli e shock'!$P$21,'1 - Titoli e shock'!$K$21,IF(O81&gt;='1 - Titoli e shock'!$P$35,'1 - Titoli e shock'!$K$35,INDEX('1 - Titoli e shock'!$K$21:$K$35,MATCH(O81,'1 - Titoli e shock'!$P$21:$P$35,1))+(INDEX('1 - Titoli e shock'!$K$21:$K$35,MATCH(O81,'1 - Titoli e shock'!$P$21:$P$35,1)+1)-INDEX('1 - Titoli e shock'!$K$21:$K$35,MATCH(O81,'1 - Titoli e shock'!$P$21:$P$35,1)))*(O81-INDEX('1 - Titoli e shock'!$P$21:$P$35,MATCH(O81,'1 - Titoli e shock'!$P$21:$P$35,1)))/(INDEX('1 - Titoli e shock'!$P$21:$P$35,MATCH(O81,'1 - Titoli e shock'!$P$21:$P$35,1)+1)-INDEX('1 - Titoli e shock'!$P$21:$P$35,MATCH(O81,'1 - Titoli e shock'!$P$21:$P$35,1)))))</f>
        <v>3.1842376340284639E-2</v>
      </c>
      <c r="P94" s="12">
        <f>IF(P81&lt;='1 - Titoli e shock'!$P$21,'1 - Titoli e shock'!$K$21,IF(P81&gt;='1 - Titoli e shock'!$P$35,'1 - Titoli e shock'!$K$35,INDEX('1 - Titoli e shock'!$K$21:$K$35,MATCH(P81,'1 - Titoli e shock'!$P$21:$P$35,1))+(INDEX('1 - Titoli e shock'!$K$21:$K$35,MATCH(P81,'1 - Titoli e shock'!$P$21:$P$35,1)+1)-INDEX('1 - Titoli e shock'!$K$21:$K$35,MATCH(P81,'1 - Titoli e shock'!$P$21:$P$35,1)))*(P81-INDEX('1 - Titoli e shock'!$P$21:$P$35,MATCH(P81,'1 - Titoli e shock'!$P$21:$P$35,1)))/(INDEX('1 - Titoli e shock'!$P$21:$P$35,MATCH(P81,'1 - Titoli e shock'!$P$21:$P$35,1)+1)-INDEX('1 - Titoli e shock'!$P$21:$P$35,MATCH(P81,'1 - Titoli e shock'!$P$21:$P$35,1)))))</f>
        <v>3.1842376340284639E-2</v>
      </c>
      <c r="Q94" s="12">
        <f>IF(Q81&lt;='1 - Titoli e shock'!$P$21,'1 - Titoli e shock'!$K$21,IF(Q81&gt;='1 - Titoli e shock'!$P$35,'1 - Titoli e shock'!$K$35,INDEX('1 - Titoli e shock'!$K$21:$K$35,MATCH(Q81,'1 - Titoli e shock'!$P$21:$P$35,1))+(INDEX('1 - Titoli e shock'!$K$21:$K$35,MATCH(Q81,'1 - Titoli e shock'!$P$21:$P$35,1)+1)-INDEX('1 - Titoli e shock'!$K$21:$K$35,MATCH(Q81,'1 - Titoli e shock'!$P$21:$P$35,1)))*(Q81-INDEX('1 - Titoli e shock'!$P$21:$P$35,MATCH(Q81,'1 - Titoli e shock'!$P$21:$P$35,1)))/(INDEX('1 - Titoli e shock'!$P$21:$P$35,MATCH(Q81,'1 - Titoli e shock'!$P$21:$P$35,1)+1)-INDEX('1 - Titoli e shock'!$P$21:$P$35,MATCH(Q81,'1 - Titoli e shock'!$P$21:$P$35,1)))))</f>
        <v>3.1842376340284639E-2</v>
      </c>
      <c r="R94" s="12">
        <f>IF(R81&lt;='1 - Titoli e shock'!$P$21,'1 - Titoli e shock'!$K$21,IF(R81&gt;='1 - Titoli e shock'!$P$35,'1 - Titoli e shock'!$K$35,INDEX('1 - Titoli e shock'!$K$21:$K$35,MATCH(R81,'1 - Titoli e shock'!$P$21:$P$35,1))+(INDEX('1 - Titoli e shock'!$K$21:$K$35,MATCH(R81,'1 - Titoli e shock'!$P$21:$P$35,1)+1)-INDEX('1 - Titoli e shock'!$K$21:$K$35,MATCH(R81,'1 - Titoli e shock'!$P$21:$P$35,1)))*(R81-INDEX('1 - Titoli e shock'!$P$21:$P$35,MATCH(R81,'1 - Titoli e shock'!$P$21:$P$35,1)))/(INDEX('1 - Titoli e shock'!$P$21:$P$35,MATCH(R81,'1 - Titoli e shock'!$P$21:$P$35,1)+1)-INDEX('1 - Titoli e shock'!$P$21:$P$35,MATCH(R81,'1 - Titoli e shock'!$P$21:$P$35,1)))))</f>
        <v>3.1842376340284639E-2</v>
      </c>
      <c r="S94" s="12">
        <f>IF(S81&lt;='1 - Titoli e shock'!$P$21,'1 - Titoli e shock'!$K$21,IF(S81&gt;='1 - Titoli e shock'!$P$35,'1 - Titoli e shock'!$K$35,INDEX('1 - Titoli e shock'!$K$21:$K$35,MATCH(S81,'1 - Titoli e shock'!$P$21:$P$35,1))+(INDEX('1 - Titoli e shock'!$K$21:$K$35,MATCH(S81,'1 - Titoli e shock'!$P$21:$P$35,1)+1)-INDEX('1 - Titoli e shock'!$K$21:$K$35,MATCH(S81,'1 - Titoli e shock'!$P$21:$P$35,1)))*(S81-INDEX('1 - Titoli e shock'!$P$21:$P$35,MATCH(S81,'1 - Titoli e shock'!$P$21:$P$35,1)))/(INDEX('1 - Titoli e shock'!$P$21:$P$35,MATCH(S81,'1 - Titoli e shock'!$P$21:$P$35,1)+1)-INDEX('1 - Titoli e shock'!$P$21:$P$35,MATCH(S81,'1 - Titoli e shock'!$P$21:$P$35,1)))))</f>
        <v>3.1842376340284639E-2</v>
      </c>
      <c r="T94" s="12">
        <f>IF(T81&lt;='1 - Titoli e shock'!$P$21,'1 - Titoli e shock'!$K$21,IF(T81&gt;='1 - Titoli e shock'!$P$35,'1 - Titoli e shock'!$K$35,INDEX('1 - Titoli e shock'!$K$21:$K$35,MATCH(T81,'1 - Titoli e shock'!$P$21:$P$35,1))+(INDEX('1 - Titoli e shock'!$K$21:$K$35,MATCH(T81,'1 - Titoli e shock'!$P$21:$P$35,1)+1)-INDEX('1 - Titoli e shock'!$K$21:$K$35,MATCH(T81,'1 - Titoli e shock'!$P$21:$P$35,1)))*(T81-INDEX('1 - Titoli e shock'!$P$21:$P$35,MATCH(T81,'1 - Titoli e shock'!$P$21:$P$35,1)))/(INDEX('1 - Titoli e shock'!$P$21:$P$35,MATCH(T81,'1 - Titoli e shock'!$P$21:$P$35,1)+1)-INDEX('1 - Titoli e shock'!$P$21:$P$35,MATCH(T81,'1 - Titoli e shock'!$P$21:$P$35,1)))))</f>
        <v>3.1842376340284639E-2</v>
      </c>
      <c r="U94" s="12">
        <f>IF(U81&lt;='1 - Titoli e shock'!$P$21,'1 - Titoli e shock'!$K$21,IF(U81&gt;='1 - Titoli e shock'!$P$35,'1 - Titoli e shock'!$K$35,INDEX('1 - Titoli e shock'!$K$21:$K$35,MATCH(U81,'1 - Titoli e shock'!$P$21:$P$35,1))+(INDEX('1 - Titoli e shock'!$K$21:$K$35,MATCH(U81,'1 - Titoli e shock'!$P$21:$P$35,1)+1)-INDEX('1 - Titoli e shock'!$K$21:$K$35,MATCH(U81,'1 - Titoli e shock'!$P$21:$P$35,1)))*(U81-INDEX('1 - Titoli e shock'!$P$21:$P$35,MATCH(U81,'1 - Titoli e shock'!$P$21:$P$35,1)))/(INDEX('1 - Titoli e shock'!$P$21:$P$35,MATCH(U81,'1 - Titoli e shock'!$P$21:$P$35,1)+1)-INDEX('1 - Titoli e shock'!$P$21:$P$35,MATCH(U81,'1 - Titoli e shock'!$P$21:$P$35,1)))))</f>
        <v>3.1842376340284639E-2</v>
      </c>
    </row>
    <row r="95" spans="1:21">
      <c r="A95" s="22" t="str">
        <f t="shared" si="29"/>
        <v>BTP 3,25% nov 2032</v>
      </c>
      <c r="F95" s="12">
        <f>IF(F82&lt;='1 - Titoli e shock'!$P$21,'1 - Titoli e shock'!$K$21,IF(F82&gt;='1 - Titoli e shock'!$P$35,'1 - Titoli e shock'!$K$35,INDEX('1 - Titoli e shock'!$K$21:$K$35,MATCH(F82,'1 - Titoli e shock'!$P$21:$P$35,1))+(INDEX('1 - Titoli e shock'!$K$21:$K$35,MATCH(F82,'1 - Titoli e shock'!$P$21:$P$35,1)+1)-INDEX('1 - Titoli e shock'!$K$21:$K$35,MATCH(F82,'1 - Titoli e shock'!$P$21:$P$35,1)))*(F82-INDEX('1 - Titoli e shock'!$P$21:$P$35,MATCH(F82,'1 - Titoli e shock'!$P$21:$P$35,1)))/(INDEX('1 - Titoli e shock'!$P$21:$P$35,MATCH(F82,'1 - Titoli e shock'!$P$21:$P$35,1)+1)-INDEX('1 - Titoli e shock'!$P$21:$P$35,MATCH(F82,'1 - Titoli e shock'!$P$21:$P$35,1)))))</f>
        <v>4.0574621472468486E-2</v>
      </c>
      <c r="G95" s="12">
        <f>IF(G82&lt;='1 - Titoli e shock'!$P$21,'1 - Titoli e shock'!$K$21,IF(G82&gt;='1 - Titoli e shock'!$P$35,'1 - Titoli e shock'!$K$35,INDEX('1 - Titoli e shock'!$K$21:$K$35,MATCH(G82,'1 - Titoli e shock'!$P$21:$P$35,1))+(INDEX('1 - Titoli e shock'!$K$21:$K$35,MATCH(G82,'1 - Titoli e shock'!$P$21:$P$35,1)+1)-INDEX('1 - Titoli e shock'!$K$21:$K$35,MATCH(G82,'1 - Titoli e shock'!$P$21:$P$35,1)))*(G82-INDEX('1 - Titoli e shock'!$P$21:$P$35,MATCH(G82,'1 - Titoli e shock'!$P$21:$P$35,1)))/(INDEX('1 - Titoli e shock'!$P$21:$P$35,MATCH(G82,'1 - Titoli e shock'!$P$21:$P$35,1)+1)-INDEX('1 - Titoli e shock'!$P$21:$P$35,MATCH(G82,'1 - Titoli e shock'!$P$21:$P$35,1)))))</f>
        <v>3.9419729136055848E-2</v>
      </c>
      <c r="H95" s="12">
        <f>IF(H82&lt;='1 - Titoli e shock'!$P$21,'1 - Titoli e shock'!$K$21,IF(H82&gt;='1 - Titoli e shock'!$P$35,'1 - Titoli e shock'!$K$35,INDEX('1 - Titoli e shock'!$K$21:$K$35,MATCH(H82,'1 - Titoli e shock'!$P$21:$P$35,1))+(INDEX('1 - Titoli e shock'!$K$21:$K$35,MATCH(H82,'1 - Titoli e shock'!$P$21:$P$35,1)+1)-INDEX('1 - Titoli e shock'!$K$21:$K$35,MATCH(H82,'1 - Titoli e shock'!$P$21:$P$35,1)))*(H82-INDEX('1 - Titoli e shock'!$P$21:$P$35,MATCH(H82,'1 - Titoli e shock'!$P$21:$P$35,1)))/(INDEX('1 - Titoli e shock'!$P$21:$P$35,MATCH(H82,'1 - Titoli e shock'!$P$21:$P$35,1)+1)-INDEX('1 - Titoli e shock'!$P$21:$P$35,MATCH(H82,'1 - Titoli e shock'!$P$21:$P$35,1)))))</f>
        <v>3.8371718257258061E-2</v>
      </c>
      <c r="I95" s="12">
        <f>IF(I82&lt;='1 - Titoli e shock'!$P$21,'1 - Titoli e shock'!$K$21,IF(I82&gt;='1 - Titoli e shock'!$P$35,'1 - Titoli e shock'!$K$35,INDEX('1 - Titoli e shock'!$K$21:$K$35,MATCH(I82,'1 - Titoli e shock'!$P$21:$P$35,1))+(INDEX('1 - Titoli e shock'!$K$21:$K$35,MATCH(I82,'1 - Titoli e shock'!$P$21:$P$35,1)+1)-INDEX('1 - Titoli e shock'!$K$21:$K$35,MATCH(I82,'1 - Titoli e shock'!$P$21:$P$35,1)))*(I82-INDEX('1 - Titoli e shock'!$P$21:$P$35,MATCH(I82,'1 - Titoli e shock'!$P$21:$P$35,1)))/(INDEX('1 - Titoli e shock'!$P$21:$P$35,MATCH(I82,'1 - Titoli e shock'!$P$21:$P$35,1)+1)-INDEX('1 - Titoli e shock'!$P$21:$P$35,MATCH(I82,'1 - Titoli e shock'!$P$21:$P$35,1)))))</f>
        <v>3.673414420566011E-2</v>
      </c>
      <c r="J95" s="12">
        <f>IF(J82&lt;='1 - Titoli e shock'!$P$21,'1 - Titoli e shock'!$K$21,IF(J82&gt;='1 - Titoli e shock'!$P$35,'1 - Titoli e shock'!$K$35,INDEX('1 - Titoli e shock'!$K$21:$K$35,MATCH(J82,'1 - Titoli e shock'!$P$21:$P$35,1))+(INDEX('1 - Titoli e shock'!$K$21:$K$35,MATCH(J82,'1 - Titoli e shock'!$P$21:$P$35,1)+1)-INDEX('1 - Titoli e shock'!$K$21:$K$35,MATCH(J82,'1 - Titoli e shock'!$P$21:$P$35,1)))*(J82-INDEX('1 - Titoli e shock'!$P$21:$P$35,MATCH(J82,'1 - Titoli e shock'!$P$21:$P$35,1)))/(INDEX('1 - Titoli e shock'!$P$21:$P$35,MATCH(J82,'1 - Titoli e shock'!$P$21:$P$35,1)+1)-INDEX('1 - Titoli e shock'!$P$21:$P$35,MATCH(J82,'1 - Titoli e shock'!$P$21:$P$35,1)))))</f>
        <v>3.4106652088396562E-2</v>
      </c>
      <c r="K95" s="12">
        <f>IF(K82&lt;='1 - Titoli e shock'!$P$21,'1 - Titoli e shock'!$K$21,IF(K82&gt;='1 - Titoli e shock'!$P$35,'1 - Titoli e shock'!$K$35,INDEX('1 - Titoli e shock'!$K$21:$K$35,MATCH(K82,'1 - Titoli e shock'!$P$21:$P$35,1))+(INDEX('1 - Titoli e shock'!$K$21:$K$35,MATCH(K82,'1 - Titoli e shock'!$P$21:$P$35,1)+1)-INDEX('1 - Titoli e shock'!$K$21:$K$35,MATCH(K82,'1 - Titoli e shock'!$P$21:$P$35,1)))*(K82-INDEX('1 - Titoli e shock'!$P$21:$P$35,MATCH(K82,'1 - Titoli e shock'!$P$21:$P$35,1)))/(INDEX('1 - Titoli e shock'!$P$21:$P$35,MATCH(K82,'1 - Titoli e shock'!$P$21:$P$35,1)+1)-INDEX('1 - Titoli e shock'!$P$21:$P$35,MATCH(K82,'1 - Titoli e shock'!$P$21:$P$35,1)))))</f>
        <v>3.2024887231820107E-2</v>
      </c>
      <c r="L95" s="12">
        <f>IF(L82&lt;='1 - Titoli e shock'!$P$21,'1 - Titoli e shock'!$K$21,IF(L82&gt;='1 - Titoli e shock'!$P$35,'1 - Titoli e shock'!$K$35,INDEX('1 - Titoli e shock'!$K$21:$K$35,MATCH(L82,'1 - Titoli e shock'!$P$21:$P$35,1))+(INDEX('1 - Titoli e shock'!$K$21:$K$35,MATCH(L82,'1 - Titoli e shock'!$P$21:$P$35,1)+1)-INDEX('1 - Titoli e shock'!$K$21:$K$35,MATCH(L82,'1 - Titoli e shock'!$P$21:$P$35,1)))*(L82-INDEX('1 - Titoli e shock'!$P$21:$P$35,MATCH(L82,'1 - Titoli e shock'!$P$21:$P$35,1)))/(INDEX('1 - Titoli e shock'!$P$21:$P$35,MATCH(L82,'1 - Titoli e shock'!$P$21:$P$35,1)+1)-INDEX('1 - Titoli e shock'!$P$21:$P$35,MATCH(L82,'1 - Titoli e shock'!$P$21:$P$35,1)))))</f>
        <v>3.1842376340284639E-2</v>
      </c>
      <c r="M95" s="12">
        <f>IF(M82&lt;='1 - Titoli e shock'!$P$21,'1 - Titoli e shock'!$K$21,IF(M82&gt;='1 - Titoli e shock'!$P$35,'1 - Titoli e shock'!$K$35,INDEX('1 - Titoli e shock'!$K$21:$K$35,MATCH(M82,'1 - Titoli e shock'!$P$21:$P$35,1))+(INDEX('1 - Titoli e shock'!$K$21:$K$35,MATCH(M82,'1 - Titoli e shock'!$P$21:$P$35,1)+1)-INDEX('1 - Titoli e shock'!$K$21:$K$35,MATCH(M82,'1 - Titoli e shock'!$P$21:$P$35,1)))*(M82-INDEX('1 - Titoli e shock'!$P$21:$P$35,MATCH(M82,'1 - Titoli e shock'!$P$21:$P$35,1)))/(INDEX('1 - Titoli e shock'!$P$21:$P$35,MATCH(M82,'1 - Titoli e shock'!$P$21:$P$35,1)+1)-INDEX('1 - Titoli e shock'!$P$21:$P$35,MATCH(M82,'1 - Titoli e shock'!$P$21:$P$35,1)))))</f>
        <v>3.1842376340284639E-2</v>
      </c>
      <c r="N95" s="12">
        <f>IF(N82&lt;='1 - Titoli e shock'!$P$21,'1 - Titoli e shock'!$K$21,IF(N82&gt;='1 - Titoli e shock'!$P$35,'1 - Titoli e shock'!$K$35,INDEX('1 - Titoli e shock'!$K$21:$K$35,MATCH(N82,'1 - Titoli e shock'!$P$21:$P$35,1))+(INDEX('1 - Titoli e shock'!$K$21:$K$35,MATCH(N82,'1 - Titoli e shock'!$P$21:$P$35,1)+1)-INDEX('1 - Titoli e shock'!$K$21:$K$35,MATCH(N82,'1 - Titoli e shock'!$P$21:$P$35,1)))*(N82-INDEX('1 - Titoli e shock'!$P$21:$P$35,MATCH(N82,'1 - Titoli e shock'!$P$21:$P$35,1)))/(INDEX('1 - Titoli e shock'!$P$21:$P$35,MATCH(N82,'1 - Titoli e shock'!$P$21:$P$35,1)+1)-INDEX('1 - Titoli e shock'!$P$21:$P$35,MATCH(N82,'1 - Titoli e shock'!$P$21:$P$35,1)))))</f>
        <v>3.1842376340284639E-2</v>
      </c>
      <c r="O95" s="12">
        <f>IF(O82&lt;='1 - Titoli e shock'!$P$21,'1 - Titoli e shock'!$K$21,IF(O82&gt;='1 - Titoli e shock'!$P$35,'1 - Titoli e shock'!$K$35,INDEX('1 - Titoli e shock'!$K$21:$K$35,MATCH(O82,'1 - Titoli e shock'!$P$21:$P$35,1))+(INDEX('1 - Titoli e shock'!$K$21:$K$35,MATCH(O82,'1 - Titoli e shock'!$P$21:$P$35,1)+1)-INDEX('1 - Titoli e shock'!$K$21:$K$35,MATCH(O82,'1 - Titoli e shock'!$P$21:$P$35,1)))*(O82-INDEX('1 - Titoli e shock'!$P$21:$P$35,MATCH(O82,'1 - Titoli e shock'!$P$21:$P$35,1)))/(INDEX('1 - Titoli e shock'!$P$21:$P$35,MATCH(O82,'1 - Titoli e shock'!$P$21:$P$35,1)+1)-INDEX('1 - Titoli e shock'!$P$21:$P$35,MATCH(O82,'1 - Titoli e shock'!$P$21:$P$35,1)))))</f>
        <v>3.1842376340284639E-2</v>
      </c>
      <c r="P95" s="12">
        <f>IF(P82&lt;='1 - Titoli e shock'!$P$21,'1 - Titoli e shock'!$K$21,IF(P82&gt;='1 - Titoli e shock'!$P$35,'1 - Titoli e shock'!$K$35,INDEX('1 - Titoli e shock'!$K$21:$K$35,MATCH(P82,'1 - Titoli e shock'!$P$21:$P$35,1))+(INDEX('1 - Titoli e shock'!$K$21:$K$35,MATCH(P82,'1 - Titoli e shock'!$P$21:$P$35,1)+1)-INDEX('1 - Titoli e shock'!$K$21:$K$35,MATCH(P82,'1 - Titoli e shock'!$P$21:$P$35,1)))*(P82-INDEX('1 - Titoli e shock'!$P$21:$P$35,MATCH(P82,'1 - Titoli e shock'!$P$21:$P$35,1)))/(INDEX('1 - Titoli e shock'!$P$21:$P$35,MATCH(P82,'1 - Titoli e shock'!$P$21:$P$35,1)+1)-INDEX('1 - Titoli e shock'!$P$21:$P$35,MATCH(P82,'1 - Titoli e shock'!$P$21:$P$35,1)))))</f>
        <v>3.1842376340284639E-2</v>
      </c>
      <c r="Q95" s="12">
        <f>IF(Q82&lt;='1 - Titoli e shock'!$P$21,'1 - Titoli e shock'!$K$21,IF(Q82&gt;='1 - Titoli e shock'!$P$35,'1 - Titoli e shock'!$K$35,INDEX('1 - Titoli e shock'!$K$21:$K$35,MATCH(Q82,'1 - Titoli e shock'!$P$21:$P$35,1))+(INDEX('1 - Titoli e shock'!$K$21:$K$35,MATCH(Q82,'1 - Titoli e shock'!$P$21:$P$35,1)+1)-INDEX('1 - Titoli e shock'!$K$21:$K$35,MATCH(Q82,'1 - Titoli e shock'!$P$21:$P$35,1)))*(Q82-INDEX('1 - Titoli e shock'!$P$21:$P$35,MATCH(Q82,'1 - Titoli e shock'!$P$21:$P$35,1)))/(INDEX('1 - Titoli e shock'!$P$21:$P$35,MATCH(Q82,'1 - Titoli e shock'!$P$21:$P$35,1)+1)-INDEX('1 - Titoli e shock'!$P$21:$P$35,MATCH(Q82,'1 - Titoli e shock'!$P$21:$P$35,1)))))</f>
        <v>3.1842376340284639E-2</v>
      </c>
      <c r="R95" s="12">
        <f>IF(R82&lt;='1 - Titoli e shock'!$P$21,'1 - Titoli e shock'!$K$21,IF(R82&gt;='1 - Titoli e shock'!$P$35,'1 - Titoli e shock'!$K$35,INDEX('1 - Titoli e shock'!$K$21:$K$35,MATCH(R82,'1 - Titoli e shock'!$P$21:$P$35,1))+(INDEX('1 - Titoli e shock'!$K$21:$K$35,MATCH(R82,'1 - Titoli e shock'!$P$21:$P$35,1)+1)-INDEX('1 - Titoli e shock'!$K$21:$K$35,MATCH(R82,'1 - Titoli e shock'!$P$21:$P$35,1)))*(R82-INDEX('1 - Titoli e shock'!$P$21:$P$35,MATCH(R82,'1 - Titoli e shock'!$P$21:$P$35,1)))/(INDEX('1 - Titoli e shock'!$P$21:$P$35,MATCH(R82,'1 - Titoli e shock'!$P$21:$P$35,1)+1)-INDEX('1 - Titoli e shock'!$P$21:$P$35,MATCH(R82,'1 - Titoli e shock'!$P$21:$P$35,1)))))</f>
        <v>3.1842376340284639E-2</v>
      </c>
      <c r="S95" s="12">
        <f>IF(S82&lt;='1 - Titoli e shock'!$P$21,'1 - Titoli e shock'!$K$21,IF(S82&gt;='1 - Titoli e shock'!$P$35,'1 - Titoli e shock'!$K$35,INDEX('1 - Titoli e shock'!$K$21:$K$35,MATCH(S82,'1 - Titoli e shock'!$P$21:$P$35,1))+(INDEX('1 - Titoli e shock'!$K$21:$K$35,MATCH(S82,'1 - Titoli e shock'!$P$21:$P$35,1)+1)-INDEX('1 - Titoli e shock'!$K$21:$K$35,MATCH(S82,'1 - Titoli e shock'!$P$21:$P$35,1)))*(S82-INDEX('1 - Titoli e shock'!$P$21:$P$35,MATCH(S82,'1 - Titoli e shock'!$P$21:$P$35,1)))/(INDEX('1 - Titoli e shock'!$P$21:$P$35,MATCH(S82,'1 - Titoli e shock'!$P$21:$P$35,1)+1)-INDEX('1 - Titoli e shock'!$P$21:$P$35,MATCH(S82,'1 - Titoli e shock'!$P$21:$P$35,1)))))</f>
        <v>3.1842376340284639E-2</v>
      </c>
      <c r="T95" s="12">
        <f>IF(T82&lt;='1 - Titoli e shock'!$P$21,'1 - Titoli e shock'!$K$21,IF(T82&gt;='1 - Titoli e shock'!$P$35,'1 - Titoli e shock'!$K$35,INDEX('1 - Titoli e shock'!$K$21:$K$35,MATCH(T82,'1 - Titoli e shock'!$P$21:$P$35,1))+(INDEX('1 - Titoli e shock'!$K$21:$K$35,MATCH(T82,'1 - Titoli e shock'!$P$21:$P$35,1)+1)-INDEX('1 - Titoli e shock'!$K$21:$K$35,MATCH(T82,'1 - Titoli e shock'!$P$21:$P$35,1)))*(T82-INDEX('1 - Titoli e shock'!$P$21:$P$35,MATCH(T82,'1 - Titoli e shock'!$P$21:$P$35,1)))/(INDEX('1 - Titoli e shock'!$P$21:$P$35,MATCH(T82,'1 - Titoli e shock'!$P$21:$P$35,1)+1)-INDEX('1 - Titoli e shock'!$P$21:$P$35,MATCH(T82,'1 - Titoli e shock'!$P$21:$P$35,1)))))</f>
        <v>3.1842376340284639E-2</v>
      </c>
      <c r="U95" s="12">
        <f>IF(U82&lt;='1 - Titoli e shock'!$P$21,'1 - Titoli e shock'!$K$21,IF(U82&gt;='1 - Titoli e shock'!$P$35,'1 - Titoli e shock'!$K$35,INDEX('1 - Titoli e shock'!$K$21:$K$35,MATCH(U82,'1 - Titoli e shock'!$P$21:$P$35,1))+(INDEX('1 - Titoli e shock'!$K$21:$K$35,MATCH(U82,'1 - Titoli e shock'!$P$21:$P$35,1)+1)-INDEX('1 - Titoli e shock'!$K$21:$K$35,MATCH(U82,'1 - Titoli e shock'!$P$21:$P$35,1)))*(U82-INDEX('1 - Titoli e shock'!$P$21:$P$35,MATCH(U82,'1 - Titoli e shock'!$P$21:$P$35,1)))/(INDEX('1 - Titoli e shock'!$P$21:$P$35,MATCH(U82,'1 - Titoli e shock'!$P$21:$P$35,1)+1)-INDEX('1 - Titoli e shock'!$P$21:$P$35,MATCH(U82,'1 - Titoli e shock'!$P$21:$P$35,1)))))</f>
        <v>3.1842376340284639E-2</v>
      </c>
    </row>
    <row r="96" spans="1:21">
      <c r="A96" s="22" t="str">
        <f t="shared" si="29"/>
        <v>BTP 4,35% nov 2033</v>
      </c>
      <c r="F96" s="12">
        <f>IF(F83&lt;='1 - Titoli e shock'!$P$21,'1 - Titoli e shock'!$K$21,IF(F83&gt;='1 - Titoli e shock'!$P$35,'1 - Titoli e shock'!$K$35,INDEX('1 - Titoli e shock'!$K$21:$K$35,MATCH(F83,'1 - Titoli e shock'!$P$21:$P$35,1))+(INDEX('1 - Titoli e shock'!$K$21:$K$35,MATCH(F83,'1 - Titoli e shock'!$P$21:$P$35,1)+1)-INDEX('1 - Titoli e shock'!$K$21:$K$35,MATCH(F83,'1 - Titoli e shock'!$P$21:$P$35,1)))*(F83-INDEX('1 - Titoli e shock'!$P$21:$P$35,MATCH(F83,'1 - Titoli e shock'!$P$21:$P$35,1)))/(INDEX('1 - Titoli e shock'!$P$21:$P$35,MATCH(F83,'1 - Titoli e shock'!$P$21:$P$35,1)+1)-INDEX('1 - Titoli e shock'!$P$21:$P$35,MATCH(F83,'1 - Titoli e shock'!$P$21:$P$35,1)))))</f>
        <v>4.1910502689895157E-2</v>
      </c>
      <c r="G96" s="12">
        <f>IF(G83&lt;='1 - Titoli e shock'!$P$21,'1 - Titoli e shock'!$K$21,IF(G83&gt;='1 - Titoli e shock'!$P$35,'1 - Titoli e shock'!$K$35,INDEX('1 - Titoli e shock'!$K$21:$K$35,MATCH(G83,'1 - Titoli e shock'!$P$21:$P$35,1))+(INDEX('1 - Titoli e shock'!$K$21:$K$35,MATCH(G83,'1 - Titoli e shock'!$P$21:$P$35,1)+1)-INDEX('1 - Titoli e shock'!$K$21:$K$35,MATCH(G83,'1 - Titoli e shock'!$P$21:$P$35,1)))*(G83-INDEX('1 - Titoli e shock'!$P$21:$P$35,MATCH(G83,'1 - Titoli e shock'!$P$21:$P$35,1)))/(INDEX('1 - Titoli e shock'!$P$21:$P$35,MATCH(G83,'1 - Titoli e shock'!$P$21:$P$35,1)+1)-INDEX('1 - Titoli e shock'!$P$21:$P$35,MATCH(G83,'1 - Titoli e shock'!$P$21:$P$35,1)))))</f>
        <v>4.0530324232167729E-2</v>
      </c>
      <c r="H96" s="12">
        <f>IF(H83&lt;='1 - Titoli e shock'!$P$21,'1 - Titoli e shock'!$K$21,IF(H83&gt;='1 - Titoli e shock'!$P$35,'1 - Titoli e shock'!$K$35,INDEX('1 - Titoli e shock'!$K$21:$K$35,MATCH(H83,'1 - Titoli e shock'!$P$21:$P$35,1))+(INDEX('1 - Titoli e shock'!$K$21:$K$35,MATCH(H83,'1 - Titoli e shock'!$P$21:$P$35,1)+1)-INDEX('1 - Titoli e shock'!$K$21:$K$35,MATCH(H83,'1 - Titoli e shock'!$P$21:$P$35,1)))*(H83-INDEX('1 - Titoli e shock'!$P$21:$P$35,MATCH(H83,'1 - Titoli e shock'!$P$21:$P$35,1)))/(INDEX('1 - Titoli e shock'!$P$21:$P$35,MATCH(H83,'1 - Titoli e shock'!$P$21:$P$35,1)+1)-INDEX('1 - Titoli e shock'!$P$21:$P$35,MATCH(H83,'1 - Titoli e shock'!$P$21:$P$35,1)))))</f>
        <v>3.9376488732222201E-2</v>
      </c>
      <c r="I96" s="12">
        <f>IF(I83&lt;='1 - Titoli e shock'!$P$21,'1 - Titoli e shock'!$K$21,IF(I83&gt;='1 - Titoli e shock'!$P$35,'1 - Titoli e shock'!$K$35,INDEX('1 - Titoli e shock'!$K$21:$K$35,MATCH(I83,'1 - Titoli e shock'!$P$21:$P$35,1))+(INDEX('1 - Titoli e shock'!$K$21:$K$35,MATCH(I83,'1 - Titoli e shock'!$P$21:$P$35,1)+1)-INDEX('1 - Titoli e shock'!$K$21:$K$35,MATCH(I83,'1 - Titoli e shock'!$P$21:$P$35,1)))*(I83-INDEX('1 - Titoli e shock'!$P$21:$P$35,MATCH(I83,'1 - Titoli e shock'!$P$21:$P$35,1)))/(INDEX('1 - Titoli e shock'!$P$21:$P$35,MATCH(I83,'1 - Titoli e shock'!$P$21:$P$35,1)+1)-INDEX('1 - Titoli e shock'!$P$21:$P$35,MATCH(I83,'1 - Titoli e shock'!$P$21:$P$35,1)))))</f>
        <v>3.8331641942017325E-2</v>
      </c>
      <c r="J96" s="12">
        <f>IF(J83&lt;='1 - Titoli e shock'!$P$21,'1 - Titoli e shock'!$K$21,IF(J83&gt;='1 - Titoli e shock'!$P$35,'1 - Titoli e shock'!$K$35,INDEX('1 - Titoli e shock'!$K$21:$K$35,MATCH(J83,'1 - Titoli e shock'!$P$21:$P$35,1))+(INDEX('1 - Titoli e shock'!$K$21:$K$35,MATCH(J83,'1 - Titoli e shock'!$P$21:$P$35,1)+1)-INDEX('1 - Titoli e shock'!$K$21:$K$35,MATCH(J83,'1 - Titoli e shock'!$P$21:$P$35,1)))*(J83-INDEX('1 - Titoli e shock'!$P$21:$P$35,MATCH(J83,'1 - Titoli e shock'!$P$21:$P$35,1)))/(INDEX('1 - Titoli e shock'!$P$21:$P$35,MATCH(J83,'1 - Titoli e shock'!$P$21:$P$35,1)+1)-INDEX('1 - Titoli e shock'!$P$21:$P$35,MATCH(J83,'1 - Titoli e shock'!$P$21:$P$35,1)))))</f>
        <v>3.6668136072733427E-2</v>
      </c>
      <c r="K96" s="12">
        <f>IF(K83&lt;='1 - Titoli e shock'!$P$21,'1 - Titoli e shock'!$K$21,IF(K83&gt;='1 - Titoli e shock'!$P$35,'1 - Titoli e shock'!$K$35,INDEX('1 - Titoli e shock'!$K$21:$K$35,MATCH(K83,'1 - Titoli e shock'!$P$21:$P$35,1))+(INDEX('1 - Titoli e shock'!$K$21:$K$35,MATCH(K83,'1 - Titoli e shock'!$P$21:$P$35,1)+1)-INDEX('1 - Titoli e shock'!$K$21:$K$35,MATCH(K83,'1 - Titoli e shock'!$P$21:$P$35,1)))*(K83-INDEX('1 - Titoli e shock'!$P$21:$P$35,MATCH(K83,'1 - Titoli e shock'!$P$21:$P$35,1)))/(INDEX('1 - Titoli e shock'!$P$21:$P$35,MATCH(K83,'1 - Titoli e shock'!$P$21:$P$35,1)+1)-INDEX('1 - Titoli e shock'!$P$21:$P$35,MATCH(K83,'1 - Titoli e shock'!$P$21:$P$35,1)))))</f>
        <v>3.4026803573349793E-2</v>
      </c>
      <c r="L96" s="12">
        <f>IF(L83&lt;='1 - Titoli e shock'!$P$21,'1 - Titoli e shock'!$K$21,IF(L83&gt;='1 - Titoli e shock'!$P$35,'1 - Titoli e shock'!$K$35,INDEX('1 - Titoli e shock'!$K$21:$K$35,MATCH(L83,'1 - Titoli e shock'!$P$21:$P$35,1))+(INDEX('1 - Titoli e shock'!$K$21:$K$35,MATCH(L83,'1 - Titoli e shock'!$P$21:$P$35,1)+1)-INDEX('1 - Titoli e shock'!$K$21:$K$35,MATCH(L83,'1 - Titoli e shock'!$P$21:$P$35,1)))*(L83-INDEX('1 - Titoli e shock'!$P$21:$P$35,MATCH(L83,'1 - Titoli e shock'!$P$21:$P$35,1)))/(INDEX('1 - Titoli e shock'!$P$21:$P$35,MATCH(L83,'1 - Titoli e shock'!$P$21:$P$35,1)+1)-INDEX('1 - Titoli e shock'!$P$21:$P$35,MATCH(L83,'1 - Titoli e shock'!$P$21:$P$35,1)))))</f>
        <v>3.1939335251412855E-2</v>
      </c>
      <c r="M96" s="12">
        <f>IF(M83&lt;='1 - Titoli e shock'!$P$21,'1 - Titoli e shock'!$K$21,IF(M83&gt;='1 - Titoli e shock'!$P$35,'1 - Titoli e shock'!$K$35,INDEX('1 - Titoli e shock'!$K$21:$K$35,MATCH(M83,'1 - Titoli e shock'!$P$21:$P$35,1))+(INDEX('1 - Titoli e shock'!$K$21:$K$35,MATCH(M83,'1 - Titoli e shock'!$P$21:$P$35,1)+1)-INDEX('1 - Titoli e shock'!$K$21:$K$35,MATCH(M83,'1 - Titoli e shock'!$P$21:$P$35,1)))*(M83-INDEX('1 - Titoli e shock'!$P$21:$P$35,MATCH(M83,'1 - Titoli e shock'!$P$21:$P$35,1)))/(INDEX('1 - Titoli e shock'!$P$21:$P$35,MATCH(M83,'1 - Titoli e shock'!$P$21:$P$35,1)+1)-INDEX('1 - Titoli e shock'!$P$21:$P$35,MATCH(M83,'1 - Titoli e shock'!$P$21:$P$35,1)))))</f>
        <v>3.1842376340284639E-2</v>
      </c>
      <c r="N96" s="12">
        <f>IF(N83&lt;='1 - Titoli e shock'!$P$21,'1 - Titoli e shock'!$K$21,IF(N83&gt;='1 - Titoli e shock'!$P$35,'1 - Titoli e shock'!$K$35,INDEX('1 - Titoli e shock'!$K$21:$K$35,MATCH(N83,'1 - Titoli e shock'!$P$21:$P$35,1))+(INDEX('1 - Titoli e shock'!$K$21:$K$35,MATCH(N83,'1 - Titoli e shock'!$P$21:$P$35,1)+1)-INDEX('1 - Titoli e shock'!$K$21:$K$35,MATCH(N83,'1 - Titoli e shock'!$P$21:$P$35,1)))*(N83-INDEX('1 - Titoli e shock'!$P$21:$P$35,MATCH(N83,'1 - Titoli e shock'!$P$21:$P$35,1)))/(INDEX('1 - Titoli e shock'!$P$21:$P$35,MATCH(N83,'1 - Titoli e shock'!$P$21:$P$35,1)+1)-INDEX('1 - Titoli e shock'!$P$21:$P$35,MATCH(N83,'1 - Titoli e shock'!$P$21:$P$35,1)))))</f>
        <v>3.1842376340284639E-2</v>
      </c>
      <c r="O96" s="12">
        <f>IF(O83&lt;='1 - Titoli e shock'!$P$21,'1 - Titoli e shock'!$K$21,IF(O83&gt;='1 - Titoli e shock'!$P$35,'1 - Titoli e shock'!$K$35,INDEX('1 - Titoli e shock'!$K$21:$K$35,MATCH(O83,'1 - Titoli e shock'!$P$21:$P$35,1))+(INDEX('1 - Titoli e shock'!$K$21:$K$35,MATCH(O83,'1 - Titoli e shock'!$P$21:$P$35,1)+1)-INDEX('1 - Titoli e shock'!$K$21:$K$35,MATCH(O83,'1 - Titoli e shock'!$P$21:$P$35,1)))*(O83-INDEX('1 - Titoli e shock'!$P$21:$P$35,MATCH(O83,'1 - Titoli e shock'!$P$21:$P$35,1)))/(INDEX('1 - Titoli e shock'!$P$21:$P$35,MATCH(O83,'1 - Titoli e shock'!$P$21:$P$35,1)+1)-INDEX('1 - Titoli e shock'!$P$21:$P$35,MATCH(O83,'1 - Titoli e shock'!$P$21:$P$35,1)))))</f>
        <v>3.1842376340284639E-2</v>
      </c>
      <c r="P96" s="12">
        <f>IF(P83&lt;='1 - Titoli e shock'!$P$21,'1 - Titoli e shock'!$K$21,IF(P83&gt;='1 - Titoli e shock'!$P$35,'1 - Titoli e shock'!$K$35,INDEX('1 - Titoli e shock'!$K$21:$K$35,MATCH(P83,'1 - Titoli e shock'!$P$21:$P$35,1))+(INDEX('1 - Titoli e shock'!$K$21:$K$35,MATCH(P83,'1 - Titoli e shock'!$P$21:$P$35,1)+1)-INDEX('1 - Titoli e shock'!$K$21:$K$35,MATCH(P83,'1 - Titoli e shock'!$P$21:$P$35,1)))*(P83-INDEX('1 - Titoli e shock'!$P$21:$P$35,MATCH(P83,'1 - Titoli e shock'!$P$21:$P$35,1)))/(INDEX('1 - Titoli e shock'!$P$21:$P$35,MATCH(P83,'1 - Titoli e shock'!$P$21:$P$35,1)+1)-INDEX('1 - Titoli e shock'!$P$21:$P$35,MATCH(P83,'1 - Titoli e shock'!$P$21:$P$35,1)))))</f>
        <v>3.1842376340284639E-2</v>
      </c>
      <c r="Q96" s="12">
        <f>IF(Q83&lt;='1 - Titoli e shock'!$P$21,'1 - Titoli e shock'!$K$21,IF(Q83&gt;='1 - Titoli e shock'!$P$35,'1 - Titoli e shock'!$K$35,INDEX('1 - Titoli e shock'!$K$21:$K$35,MATCH(Q83,'1 - Titoli e shock'!$P$21:$P$35,1))+(INDEX('1 - Titoli e shock'!$K$21:$K$35,MATCH(Q83,'1 - Titoli e shock'!$P$21:$P$35,1)+1)-INDEX('1 - Titoli e shock'!$K$21:$K$35,MATCH(Q83,'1 - Titoli e shock'!$P$21:$P$35,1)))*(Q83-INDEX('1 - Titoli e shock'!$P$21:$P$35,MATCH(Q83,'1 - Titoli e shock'!$P$21:$P$35,1)))/(INDEX('1 - Titoli e shock'!$P$21:$P$35,MATCH(Q83,'1 - Titoli e shock'!$P$21:$P$35,1)+1)-INDEX('1 - Titoli e shock'!$P$21:$P$35,MATCH(Q83,'1 - Titoli e shock'!$P$21:$P$35,1)))))</f>
        <v>3.1842376340284639E-2</v>
      </c>
      <c r="R96" s="12">
        <f>IF(R83&lt;='1 - Titoli e shock'!$P$21,'1 - Titoli e shock'!$K$21,IF(R83&gt;='1 - Titoli e shock'!$P$35,'1 - Titoli e shock'!$K$35,INDEX('1 - Titoli e shock'!$K$21:$K$35,MATCH(R83,'1 - Titoli e shock'!$P$21:$P$35,1))+(INDEX('1 - Titoli e shock'!$K$21:$K$35,MATCH(R83,'1 - Titoli e shock'!$P$21:$P$35,1)+1)-INDEX('1 - Titoli e shock'!$K$21:$K$35,MATCH(R83,'1 - Titoli e shock'!$P$21:$P$35,1)))*(R83-INDEX('1 - Titoli e shock'!$P$21:$P$35,MATCH(R83,'1 - Titoli e shock'!$P$21:$P$35,1)))/(INDEX('1 - Titoli e shock'!$P$21:$P$35,MATCH(R83,'1 - Titoli e shock'!$P$21:$P$35,1)+1)-INDEX('1 - Titoli e shock'!$P$21:$P$35,MATCH(R83,'1 - Titoli e shock'!$P$21:$P$35,1)))))</f>
        <v>3.1842376340284639E-2</v>
      </c>
      <c r="S96" s="12">
        <f>IF(S83&lt;='1 - Titoli e shock'!$P$21,'1 - Titoli e shock'!$K$21,IF(S83&gt;='1 - Titoli e shock'!$P$35,'1 - Titoli e shock'!$K$35,INDEX('1 - Titoli e shock'!$K$21:$K$35,MATCH(S83,'1 - Titoli e shock'!$P$21:$P$35,1))+(INDEX('1 - Titoli e shock'!$K$21:$K$35,MATCH(S83,'1 - Titoli e shock'!$P$21:$P$35,1)+1)-INDEX('1 - Titoli e shock'!$K$21:$K$35,MATCH(S83,'1 - Titoli e shock'!$P$21:$P$35,1)))*(S83-INDEX('1 - Titoli e shock'!$P$21:$P$35,MATCH(S83,'1 - Titoli e shock'!$P$21:$P$35,1)))/(INDEX('1 - Titoli e shock'!$P$21:$P$35,MATCH(S83,'1 - Titoli e shock'!$P$21:$P$35,1)+1)-INDEX('1 - Titoli e shock'!$P$21:$P$35,MATCH(S83,'1 - Titoli e shock'!$P$21:$P$35,1)))))</f>
        <v>3.1842376340284639E-2</v>
      </c>
      <c r="T96" s="12">
        <f>IF(T83&lt;='1 - Titoli e shock'!$P$21,'1 - Titoli e shock'!$K$21,IF(T83&gt;='1 - Titoli e shock'!$P$35,'1 - Titoli e shock'!$K$35,INDEX('1 - Titoli e shock'!$K$21:$K$35,MATCH(T83,'1 - Titoli e shock'!$P$21:$P$35,1))+(INDEX('1 - Titoli e shock'!$K$21:$K$35,MATCH(T83,'1 - Titoli e shock'!$P$21:$P$35,1)+1)-INDEX('1 - Titoli e shock'!$K$21:$K$35,MATCH(T83,'1 - Titoli e shock'!$P$21:$P$35,1)))*(T83-INDEX('1 - Titoli e shock'!$P$21:$P$35,MATCH(T83,'1 - Titoli e shock'!$P$21:$P$35,1)))/(INDEX('1 - Titoli e shock'!$P$21:$P$35,MATCH(T83,'1 - Titoli e shock'!$P$21:$P$35,1)+1)-INDEX('1 - Titoli e shock'!$P$21:$P$35,MATCH(T83,'1 - Titoli e shock'!$P$21:$P$35,1)))))</f>
        <v>3.1842376340284639E-2</v>
      </c>
      <c r="U96" s="12">
        <f>IF(U83&lt;='1 - Titoli e shock'!$P$21,'1 - Titoli e shock'!$K$21,IF(U83&gt;='1 - Titoli e shock'!$P$35,'1 - Titoli e shock'!$K$35,INDEX('1 - Titoli e shock'!$K$21:$K$35,MATCH(U83,'1 - Titoli e shock'!$P$21:$P$35,1))+(INDEX('1 - Titoli e shock'!$K$21:$K$35,MATCH(U83,'1 - Titoli e shock'!$P$21:$P$35,1)+1)-INDEX('1 - Titoli e shock'!$K$21:$K$35,MATCH(U83,'1 - Titoli e shock'!$P$21:$P$35,1)))*(U83-INDEX('1 - Titoli e shock'!$P$21:$P$35,MATCH(U83,'1 - Titoli e shock'!$P$21:$P$35,1)))/(INDEX('1 - Titoli e shock'!$P$21:$P$35,MATCH(U83,'1 - Titoli e shock'!$P$21:$P$35,1)+1)-INDEX('1 - Titoli e shock'!$P$21:$P$35,MATCH(U83,'1 - Titoli e shock'!$P$21:$P$35,1)))))</f>
        <v>3.1842376340284639E-2</v>
      </c>
    </row>
    <row r="97" spans="1:21">
      <c r="A97" s="22" t="str">
        <f t="shared" si="29"/>
        <v>BTP 3,85% feb 2035</v>
      </c>
      <c r="F97" s="12">
        <f>IF(F84&lt;='1 - Titoli e shock'!$P$21,'1 - Titoli e shock'!$K$21,IF(F84&gt;='1 - Titoli e shock'!$P$35,'1 - Titoli e shock'!$K$35,INDEX('1 - Titoli e shock'!$K$21:$K$35,MATCH(F84,'1 - Titoli e shock'!$P$21:$P$35,1))+(INDEX('1 - Titoli e shock'!$K$21:$K$35,MATCH(F84,'1 - Titoli e shock'!$P$21:$P$35,1)+1)-INDEX('1 - Titoli e shock'!$K$21:$K$35,MATCH(F84,'1 - Titoli e shock'!$P$21:$P$35,1)))*(F84-INDEX('1 - Titoli e shock'!$P$21:$P$35,MATCH(F84,'1 - Titoli e shock'!$P$21:$P$35,1)))/(INDEX('1 - Titoli e shock'!$P$21:$P$35,MATCH(F84,'1 - Titoli e shock'!$P$21:$P$35,1)+1)-INDEX('1 - Titoli e shock'!$P$21:$P$35,MATCH(F84,'1 - Titoli e shock'!$P$21:$P$35,1)))))</f>
        <v>4.3426339125769653E-2</v>
      </c>
      <c r="G97" s="12">
        <f>IF(G84&lt;='1 - Titoli e shock'!$P$21,'1 - Titoli e shock'!$K$21,IF(G84&gt;='1 - Titoli e shock'!$P$35,'1 - Titoli e shock'!$K$35,INDEX('1 - Titoli e shock'!$K$21:$K$35,MATCH(G84,'1 - Titoli e shock'!$P$21:$P$35,1))+(INDEX('1 - Titoli e shock'!$K$21:$K$35,MATCH(G84,'1 - Titoli e shock'!$P$21:$P$35,1)+1)-INDEX('1 - Titoli e shock'!$K$21:$K$35,MATCH(G84,'1 - Titoli e shock'!$P$21:$P$35,1)))*(G84-INDEX('1 - Titoli e shock'!$P$21:$P$35,MATCH(G84,'1 - Titoli e shock'!$P$21:$P$35,1)))/(INDEX('1 - Titoli e shock'!$P$21:$P$35,MATCH(G84,'1 - Titoli e shock'!$P$21:$P$35,1)+1)-INDEX('1 - Titoli e shock'!$P$21:$P$35,MATCH(G84,'1 - Titoli e shock'!$P$21:$P$35,1)))))</f>
        <v>4.2215660134316282E-2</v>
      </c>
      <c r="H97" s="12">
        <f>IF(H84&lt;='1 - Titoli e shock'!$P$21,'1 - Titoli e shock'!$K$21,IF(H84&gt;='1 - Titoli e shock'!$P$35,'1 - Titoli e shock'!$K$35,INDEX('1 - Titoli e shock'!$K$21:$K$35,MATCH(H84,'1 - Titoli e shock'!$P$21:$P$35,1))+(INDEX('1 - Titoli e shock'!$K$21:$K$35,MATCH(H84,'1 - Titoli e shock'!$P$21:$P$35,1)+1)-INDEX('1 - Titoli e shock'!$K$21:$K$35,MATCH(H84,'1 - Titoli e shock'!$P$21:$P$35,1)))*(H84-INDEX('1 - Titoli e shock'!$P$21:$P$35,MATCH(H84,'1 - Titoli e shock'!$P$21:$P$35,1)))/(INDEX('1 - Titoli e shock'!$P$21:$P$35,MATCH(H84,'1 - Titoli e shock'!$P$21:$P$35,1)+1)-INDEX('1 - Titoli e shock'!$P$21:$P$35,MATCH(H84,'1 - Titoli e shock'!$P$21:$P$35,1)))))</f>
        <v>4.0867678035835589E-2</v>
      </c>
      <c r="I97" s="12">
        <f>IF(I84&lt;='1 - Titoli e shock'!$P$21,'1 - Titoli e shock'!$K$21,IF(I84&gt;='1 - Titoli e shock'!$P$35,'1 - Titoli e shock'!$K$35,INDEX('1 - Titoli e shock'!$K$21:$K$35,MATCH(I84,'1 - Titoli e shock'!$P$21:$P$35,1))+(INDEX('1 - Titoli e shock'!$K$21:$K$35,MATCH(I84,'1 - Titoli e shock'!$P$21:$P$35,1)+1)-INDEX('1 - Titoli e shock'!$K$21:$K$35,MATCH(I84,'1 - Titoli e shock'!$P$21:$P$35,1)))*(I84-INDEX('1 - Titoli e shock'!$P$21:$P$35,MATCH(I84,'1 - Titoli e shock'!$P$21:$P$35,1)))/(INDEX('1 - Titoli e shock'!$P$21:$P$35,MATCH(I84,'1 - Titoli e shock'!$P$21:$P$35,1)+1)-INDEX('1 - Titoli e shock'!$P$21:$P$35,MATCH(I84,'1 - Titoli e shock'!$P$21:$P$35,1)))))</f>
        <v>3.9663363957710022E-2</v>
      </c>
      <c r="J97" s="12">
        <f>IF(J84&lt;='1 - Titoli e shock'!$P$21,'1 - Titoli e shock'!$K$21,IF(J84&gt;='1 - Titoli e shock'!$P$35,'1 - Titoli e shock'!$K$35,INDEX('1 - Titoli e shock'!$K$21:$K$35,MATCH(J84,'1 - Titoli e shock'!$P$21:$P$35,1))+(INDEX('1 - Titoli e shock'!$K$21:$K$35,MATCH(J84,'1 - Titoli e shock'!$P$21:$P$35,1)+1)-INDEX('1 - Titoli e shock'!$K$21:$K$35,MATCH(J84,'1 - Titoli e shock'!$P$21:$P$35,1)))*(J84-INDEX('1 - Titoli e shock'!$P$21:$P$35,MATCH(J84,'1 - Titoli e shock'!$P$21:$P$35,1)))/(INDEX('1 - Titoli e shock'!$P$21:$P$35,MATCH(J84,'1 - Titoli e shock'!$P$21:$P$35,1)+1)-INDEX('1 - Titoli e shock'!$P$21:$P$35,MATCH(J84,'1 - Titoli e shock'!$P$21:$P$35,1)))))</f>
        <v>3.8595000585027871E-2</v>
      </c>
      <c r="K97" s="12">
        <f>IF(K84&lt;='1 - Titoli e shock'!$P$21,'1 - Titoli e shock'!$K$21,IF(K84&gt;='1 - Titoli e shock'!$P$35,'1 - Titoli e shock'!$K$35,INDEX('1 - Titoli e shock'!$K$21:$K$35,MATCH(K84,'1 - Titoli e shock'!$P$21:$P$35,1))+(INDEX('1 - Titoli e shock'!$K$21:$K$35,MATCH(K84,'1 - Titoli e shock'!$P$21:$P$35,1)+1)-INDEX('1 - Titoli e shock'!$K$21:$K$35,MATCH(K84,'1 - Titoli e shock'!$P$21:$P$35,1)))*(K84-INDEX('1 - Titoli e shock'!$P$21:$P$35,MATCH(K84,'1 - Titoli e shock'!$P$21:$P$35,1)))/(INDEX('1 - Titoli e shock'!$P$21:$P$35,MATCH(K84,'1 - Titoli e shock'!$P$21:$P$35,1)+1)-INDEX('1 - Titoli e shock'!$P$21:$P$35,MATCH(K84,'1 - Titoli e shock'!$P$21:$P$35,1)))))</f>
        <v>3.7101903803394481E-2</v>
      </c>
      <c r="L97" s="12">
        <f>IF(L84&lt;='1 - Titoli e shock'!$P$21,'1 - Titoli e shock'!$K$21,IF(L84&gt;='1 - Titoli e shock'!$P$35,'1 - Titoli e shock'!$K$35,INDEX('1 - Titoli e shock'!$K$21:$K$35,MATCH(L84,'1 - Titoli e shock'!$P$21:$P$35,1))+(INDEX('1 - Titoli e shock'!$K$21:$K$35,MATCH(L84,'1 - Titoli e shock'!$P$21:$P$35,1)+1)-INDEX('1 - Titoli e shock'!$K$21:$K$35,MATCH(L84,'1 - Titoli e shock'!$P$21:$P$35,1)))*(L84-INDEX('1 - Titoli e shock'!$P$21:$P$35,MATCH(L84,'1 - Titoli e shock'!$P$21:$P$35,1)))/(INDEX('1 - Titoli e shock'!$P$21:$P$35,MATCH(L84,'1 - Titoli e shock'!$P$21:$P$35,1)+1)-INDEX('1 - Titoli e shock'!$P$21:$P$35,MATCH(L84,'1 - Titoli e shock'!$P$21:$P$35,1)))))</f>
        <v>3.4664250060614882E-2</v>
      </c>
      <c r="M97" s="12">
        <f>IF(M84&lt;='1 - Titoli e shock'!$P$21,'1 - Titoli e shock'!$K$21,IF(M84&gt;='1 - Titoli e shock'!$P$35,'1 - Titoli e shock'!$K$35,INDEX('1 - Titoli e shock'!$K$21:$K$35,MATCH(M84,'1 - Titoli e shock'!$P$21:$P$35,1))+(INDEX('1 - Titoli e shock'!$K$21:$K$35,MATCH(M84,'1 - Titoli e shock'!$P$21:$P$35,1)+1)-INDEX('1 - Titoli e shock'!$K$21:$K$35,MATCH(M84,'1 - Titoli e shock'!$P$21:$P$35,1)))*(M84-INDEX('1 - Titoli e shock'!$P$21:$P$35,MATCH(M84,'1 - Titoli e shock'!$P$21:$P$35,1)))/(INDEX('1 - Titoli e shock'!$P$21:$P$35,MATCH(M84,'1 - Titoli e shock'!$P$21:$P$35,1)+1)-INDEX('1 - Titoli e shock'!$P$21:$P$35,MATCH(M84,'1 - Titoli e shock'!$P$21:$P$35,1)))))</f>
        <v>3.2464054064577336E-2</v>
      </c>
      <c r="N97" s="12">
        <f>IF(N84&lt;='1 - Titoli e shock'!$P$21,'1 - Titoli e shock'!$K$21,IF(N84&gt;='1 - Titoli e shock'!$P$35,'1 - Titoli e shock'!$K$35,INDEX('1 - Titoli e shock'!$K$21:$K$35,MATCH(N84,'1 - Titoli e shock'!$P$21:$P$35,1))+(INDEX('1 - Titoli e shock'!$K$21:$K$35,MATCH(N84,'1 - Titoli e shock'!$P$21:$P$35,1)+1)-INDEX('1 - Titoli e shock'!$K$21:$K$35,MATCH(N84,'1 - Titoli e shock'!$P$21:$P$35,1)))*(N84-INDEX('1 - Titoli e shock'!$P$21:$P$35,MATCH(N84,'1 - Titoli e shock'!$P$21:$P$35,1)))/(INDEX('1 - Titoli e shock'!$P$21:$P$35,MATCH(N84,'1 - Titoli e shock'!$P$21:$P$35,1)+1)-INDEX('1 - Titoli e shock'!$P$21:$P$35,MATCH(N84,'1 - Titoli e shock'!$P$21:$P$35,1)))))</f>
        <v>3.1842376340284639E-2</v>
      </c>
      <c r="O97" s="12">
        <f>IF(O84&lt;='1 - Titoli e shock'!$P$21,'1 - Titoli e shock'!$K$21,IF(O84&gt;='1 - Titoli e shock'!$P$35,'1 - Titoli e shock'!$K$35,INDEX('1 - Titoli e shock'!$K$21:$K$35,MATCH(O84,'1 - Titoli e shock'!$P$21:$P$35,1))+(INDEX('1 - Titoli e shock'!$K$21:$K$35,MATCH(O84,'1 - Titoli e shock'!$P$21:$P$35,1)+1)-INDEX('1 - Titoli e shock'!$K$21:$K$35,MATCH(O84,'1 - Titoli e shock'!$P$21:$P$35,1)))*(O84-INDEX('1 - Titoli e shock'!$P$21:$P$35,MATCH(O84,'1 - Titoli e shock'!$P$21:$P$35,1)))/(INDEX('1 - Titoli e shock'!$P$21:$P$35,MATCH(O84,'1 - Titoli e shock'!$P$21:$P$35,1)+1)-INDEX('1 - Titoli e shock'!$P$21:$P$35,MATCH(O84,'1 - Titoli e shock'!$P$21:$P$35,1)))))</f>
        <v>3.1842376340284639E-2</v>
      </c>
      <c r="P97" s="12">
        <f>IF(P84&lt;='1 - Titoli e shock'!$P$21,'1 - Titoli e shock'!$K$21,IF(P84&gt;='1 - Titoli e shock'!$P$35,'1 - Titoli e shock'!$K$35,INDEX('1 - Titoli e shock'!$K$21:$K$35,MATCH(P84,'1 - Titoli e shock'!$P$21:$P$35,1))+(INDEX('1 - Titoli e shock'!$K$21:$K$35,MATCH(P84,'1 - Titoli e shock'!$P$21:$P$35,1)+1)-INDEX('1 - Titoli e shock'!$K$21:$K$35,MATCH(P84,'1 - Titoli e shock'!$P$21:$P$35,1)))*(P84-INDEX('1 - Titoli e shock'!$P$21:$P$35,MATCH(P84,'1 - Titoli e shock'!$P$21:$P$35,1)))/(INDEX('1 - Titoli e shock'!$P$21:$P$35,MATCH(P84,'1 - Titoli e shock'!$P$21:$P$35,1)+1)-INDEX('1 - Titoli e shock'!$P$21:$P$35,MATCH(P84,'1 - Titoli e shock'!$P$21:$P$35,1)))))</f>
        <v>3.1842376340284639E-2</v>
      </c>
      <c r="Q97" s="12">
        <f>IF(Q84&lt;='1 - Titoli e shock'!$P$21,'1 - Titoli e shock'!$K$21,IF(Q84&gt;='1 - Titoli e shock'!$P$35,'1 - Titoli e shock'!$K$35,INDEX('1 - Titoli e shock'!$K$21:$K$35,MATCH(Q84,'1 - Titoli e shock'!$P$21:$P$35,1))+(INDEX('1 - Titoli e shock'!$K$21:$K$35,MATCH(Q84,'1 - Titoli e shock'!$P$21:$P$35,1)+1)-INDEX('1 - Titoli e shock'!$K$21:$K$35,MATCH(Q84,'1 - Titoli e shock'!$P$21:$P$35,1)))*(Q84-INDEX('1 - Titoli e shock'!$P$21:$P$35,MATCH(Q84,'1 - Titoli e shock'!$P$21:$P$35,1)))/(INDEX('1 - Titoli e shock'!$P$21:$P$35,MATCH(Q84,'1 - Titoli e shock'!$P$21:$P$35,1)+1)-INDEX('1 - Titoli e shock'!$P$21:$P$35,MATCH(Q84,'1 - Titoli e shock'!$P$21:$P$35,1)))))</f>
        <v>3.1842376340284639E-2</v>
      </c>
      <c r="R97" s="12">
        <f>IF(R84&lt;='1 - Titoli e shock'!$P$21,'1 - Titoli e shock'!$K$21,IF(R84&gt;='1 - Titoli e shock'!$P$35,'1 - Titoli e shock'!$K$35,INDEX('1 - Titoli e shock'!$K$21:$K$35,MATCH(R84,'1 - Titoli e shock'!$P$21:$P$35,1))+(INDEX('1 - Titoli e shock'!$K$21:$K$35,MATCH(R84,'1 - Titoli e shock'!$P$21:$P$35,1)+1)-INDEX('1 - Titoli e shock'!$K$21:$K$35,MATCH(R84,'1 - Titoli e shock'!$P$21:$P$35,1)))*(R84-INDEX('1 - Titoli e shock'!$P$21:$P$35,MATCH(R84,'1 - Titoli e shock'!$P$21:$P$35,1)))/(INDEX('1 - Titoli e shock'!$P$21:$P$35,MATCH(R84,'1 - Titoli e shock'!$P$21:$P$35,1)+1)-INDEX('1 - Titoli e shock'!$P$21:$P$35,MATCH(R84,'1 - Titoli e shock'!$P$21:$P$35,1)))))</f>
        <v>3.1842376340284639E-2</v>
      </c>
      <c r="S97" s="12">
        <f>IF(S84&lt;='1 - Titoli e shock'!$P$21,'1 - Titoli e shock'!$K$21,IF(S84&gt;='1 - Titoli e shock'!$P$35,'1 - Titoli e shock'!$K$35,INDEX('1 - Titoli e shock'!$K$21:$K$35,MATCH(S84,'1 - Titoli e shock'!$P$21:$P$35,1))+(INDEX('1 - Titoli e shock'!$K$21:$K$35,MATCH(S84,'1 - Titoli e shock'!$P$21:$P$35,1)+1)-INDEX('1 - Titoli e shock'!$K$21:$K$35,MATCH(S84,'1 - Titoli e shock'!$P$21:$P$35,1)))*(S84-INDEX('1 - Titoli e shock'!$P$21:$P$35,MATCH(S84,'1 - Titoli e shock'!$P$21:$P$35,1)))/(INDEX('1 - Titoli e shock'!$P$21:$P$35,MATCH(S84,'1 - Titoli e shock'!$P$21:$P$35,1)+1)-INDEX('1 - Titoli e shock'!$P$21:$P$35,MATCH(S84,'1 - Titoli e shock'!$P$21:$P$35,1)))))</f>
        <v>3.1842376340284639E-2</v>
      </c>
      <c r="T97" s="12">
        <f>IF(T84&lt;='1 - Titoli e shock'!$P$21,'1 - Titoli e shock'!$K$21,IF(T84&gt;='1 - Titoli e shock'!$P$35,'1 - Titoli e shock'!$K$35,INDEX('1 - Titoli e shock'!$K$21:$K$35,MATCH(T84,'1 - Titoli e shock'!$P$21:$P$35,1))+(INDEX('1 - Titoli e shock'!$K$21:$K$35,MATCH(T84,'1 - Titoli e shock'!$P$21:$P$35,1)+1)-INDEX('1 - Titoli e shock'!$K$21:$K$35,MATCH(T84,'1 - Titoli e shock'!$P$21:$P$35,1)))*(T84-INDEX('1 - Titoli e shock'!$P$21:$P$35,MATCH(T84,'1 - Titoli e shock'!$P$21:$P$35,1)))/(INDEX('1 - Titoli e shock'!$P$21:$P$35,MATCH(T84,'1 - Titoli e shock'!$P$21:$P$35,1)+1)-INDEX('1 - Titoli e shock'!$P$21:$P$35,MATCH(T84,'1 - Titoli e shock'!$P$21:$P$35,1)))))</f>
        <v>3.1842376340284639E-2</v>
      </c>
      <c r="U97" s="12">
        <f>IF(U84&lt;='1 - Titoli e shock'!$P$21,'1 - Titoli e shock'!$K$21,IF(U84&gt;='1 - Titoli e shock'!$P$35,'1 - Titoli e shock'!$K$35,INDEX('1 - Titoli e shock'!$K$21:$K$35,MATCH(U84,'1 - Titoli e shock'!$P$21:$P$35,1))+(INDEX('1 - Titoli e shock'!$K$21:$K$35,MATCH(U84,'1 - Titoli e shock'!$P$21:$P$35,1)+1)-INDEX('1 - Titoli e shock'!$K$21:$K$35,MATCH(U84,'1 - Titoli e shock'!$P$21:$P$35,1)))*(U84-INDEX('1 - Titoli e shock'!$P$21:$P$35,MATCH(U84,'1 - Titoli e shock'!$P$21:$P$35,1)))/(INDEX('1 - Titoli e shock'!$P$21:$P$35,MATCH(U84,'1 - Titoli e shock'!$P$21:$P$35,1)+1)-INDEX('1 - Titoli e shock'!$P$21:$P$35,MATCH(U84,'1 - Titoli e shock'!$P$21:$P$35,1)))))</f>
        <v>3.1842376340284639E-2</v>
      </c>
    </row>
    <row r="98" spans="1:21">
      <c r="A98" s="22" t="str">
        <f t="shared" si="29"/>
        <v>BTP 3,60% ott 2035</v>
      </c>
      <c r="F98" s="12">
        <f>IF(F85&lt;='1 - Titoli e shock'!$P$21,'1 - Titoli e shock'!$K$21,IF(F85&gt;='1 - Titoli e shock'!$P$35,'1 - Titoli e shock'!$K$35,INDEX('1 - Titoli e shock'!$K$21:$K$35,MATCH(F85,'1 - Titoli e shock'!$P$21:$P$35,1))+(INDEX('1 - Titoli e shock'!$K$21:$K$35,MATCH(F85,'1 - Titoli e shock'!$P$21:$P$35,1)+1)-INDEX('1 - Titoli e shock'!$K$21:$K$35,MATCH(F85,'1 - Titoli e shock'!$P$21:$P$35,1)))*(F85-INDEX('1 - Titoli e shock'!$P$21:$P$35,MATCH(F85,'1 - Titoli e shock'!$P$21:$P$35,1)))/(INDEX('1 - Titoli e shock'!$P$21:$P$35,MATCH(F85,'1 - Titoli e shock'!$P$21:$P$35,1)+1)-INDEX('1 - Titoli e shock'!$P$21:$P$35,MATCH(F85,'1 - Titoli e shock'!$P$21:$P$35,1)))))</f>
        <v>4.3954026053262707E-2</v>
      </c>
      <c r="G98" s="12">
        <f>IF(G85&lt;='1 - Titoli e shock'!$P$21,'1 - Titoli e shock'!$K$21,IF(G85&gt;='1 - Titoli e shock'!$P$35,'1 - Titoli e shock'!$K$35,INDEX('1 - Titoli e shock'!$K$21:$K$35,MATCH(G85,'1 - Titoli e shock'!$P$21:$P$35,1))+(INDEX('1 - Titoli e shock'!$K$21:$K$35,MATCH(G85,'1 - Titoli e shock'!$P$21:$P$35,1)+1)-INDEX('1 - Titoli e shock'!$K$21:$K$35,MATCH(G85,'1 - Titoli e shock'!$P$21:$P$35,1)))*(G85-INDEX('1 - Titoli e shock'!$P$21:$P$35,MATCH(G85,'1 - Titoli e shock'!$P$21:$P$35,1)))/(INDEX('1 - Titoli e shock'!$P$21:$P$35,MATCH(G85,'1 - Titoli e shock'!$P$21:$P$35,1)+1)-INDEX('1 - Titoli e shock'!$P$21:$P$35,MATCH(G85,'1 - Titoli e shock'!$P$21:$P$35,1)))))</f>
        <v>4.3018356890293583E-2</v>
      </c>
      <c r="H98" s="12">
        <f>IF(H85&lt;='1 - Titoli e shock'!$P$21,'1 - Titoli e shock'!$K$21,IF(H85&gt;='1 - Titoli e shock'!$P$35,'1 - Titoli e shock'!$K$35,INDEX('1 - Titoli e shock'!$K$21:$K$35,MATCH(H85,'1 - Titoli e shock'!$P$21:$P$35,1))+(INDEX('1 - Titoli e shock'!$K$21:$K$35,MATCH(H85,'1 - Titoli e shock'!$P$21:$P$35,1)+1)-INDEX('1 - Titoli e shock'!$K$21:$K$35,MATCH(H85,'1 - Titoli e shock'!$P$21:$P$35,1)))*(H85-INDEX('1 - Titoli e shock'!$P$21:$P$35,MATCH(H85,'1 - Titoli e shock'!$P$21:$P$35,1)))/(INDEX('1 - Titoli e shock'!$P$21:$P$35,MATCH(H85,'1 - Titoli e shock'!$P$21:$P$35,1)+1)-INDEX('1 - Titoli e shock'!$P$21:$P$35,MATCH(H85,'1 - Titoli e shock'!$P$21:$P$35,1)))))</f>
        <v>4.178871294927506E-2</v>
      </c>
      <c r="I98" s="12">
        <f>IF(I85&lt;='1 - Titoli e shock'!$P$21,'1 - Titoli e shock'!$K$21,IF(I85&gt;='1 - Titoli e shock'!$P$35,'1 - Titoli e shock'!$K$35,INDEX('1 - Titoli e shock'!$K$21:$K$35,MATCH(I85,'1 - Titoli e shock'!$P$21:$P$35,1))+(INDEX('1 - Titoli e shock'!$K$21:$K$35,MATCH(I85,'1 - Titoli e shock'!$P$21:$P$35,1)+1)-INDEX('1 - Titoli e shock'!$K$21:$K$35,MATCH(I85,'1 - Titoli e shock'!$P$21:$P$35,1)))*(I85-INDEX('1 - Titoli e shock'!$P$21:$P$35,MATCH(I85,'1 - Titoli e shock'!$P$21:$P$35,1)))/(INDEX('1 - Titoli e shock'!$P$21:$P$35,MATCH(I85,'1 - Titoli e shock'!$P$21:$P$35,1)+1)-INDEX('1 - Titoli e shock'!$P$21:$P$35,MATCH(I85,'1 - Titoli e shock'!$P$21:$P$35,1)))))</f>
        <v>4.0429073397194565E-2</v>
      </c>
      <c r="J98" s="12">
        <f>IF(J85&lt;='1 - Titoli e shock'!$P$21,'1 - Titoli e shock'!$K$21,IF(J85&gt;='1 - Titoli e shock'!$P$35,'1 - Titoli e shock'!$K$35,INDEX('1 - Titoli e shock'!$K$21:$K$35,MATCH(J85,'1 - Titoli e shock'!$P$21:$P$35,1))+(INDEX('1 - Titoli e shock'!$K$21:$K$35,MATCH(J85,'1 - Titoli e shock'!$P$21:$P$35,1)+1)-INDEX('1 - Titoli e shock'!$K$21:$K$35,MATCH(J85,'1 - Titoli e shock'!$P$21:$P$35,1)))*(J85-INDEX('1 - Titoli e shock'!$P$21:$P$35,MATCH(J85,'1 - Titoli e shock'!$P$21:$P$35,1)))/(INDEX('1 - Titoli e shock'!$P$21:$P$35,MATCH(J85,'1 - Titoli e shock'!$P$21:$P$35,1)+1)-INDEX('1 - Titoli e shock'!$P$21:$P$35,MATCH(J85,'1 - Titoli e shock'!$P$21:$P$35,1)))))</f>
        <v>3.9287748319903434E-2</v>
      </c>
      <c r="K98" s="12">
        <f>IF(K85&lt;='1 - Titoli e shock'!$P$21,'1 - Titoli e shock'!$K$21,IF(K85&gt;='1 - Titoli e shock'!$P$35,'1 - Titoli e shock'!$K$35,INDEX('1 - Titoli e shock'!$K$21:$K$35,MATCH(K85,'1 - Titoli e shock'!$P$21:$P$35,1))+(INDEX('1 - Titoli e shock'!$K$21:$K$35,MATCH(K85,'1 - Titoli e shock'!$P$21:$P$35,1)+1)-INDEX('1 - Titoli e shock'!$K$21:$K$35,MATCH(K85,'1 - Titoli e shock'!$P$21:$P$35,1)))*(K85-INDEX('1 - Titoli e shock'!$P$21:$P$35,MATCH(K85,'1 - Titoli e shock'!$P$21:$P$35,1)))/(INDEX('1 - Titoli e shock'!$P$21:$P$35,MATCH(K85,'1 - Titoli e shock'!$P$21:$P$35,1)+1)-INDEX('1 - Titoli e shock'!$P$21:$P$35,MATCH(K85,'1 - Titoli e shock'!$P$21:$P$35,1)))))</f>
        <v>3.8242901529698559E-2</v>
      </c>
      <c r="L98" s="12">
        <f>IF(L85&lt;='1 - Titoli e shock'!$P$21,'1 - Titoli e shock'!$K$21,IF(L85&gt;='1 - Titoli e shock'!$P$35,'1 - Titoli e shock'!$K$35,INDEX('1 - Titoli e shock'!$K$21:$K$35,MATCH(L85,'1 - Titoli e shock'!$P$21:$P$35,1))+(INDEX('1 - Titoli e shock'!$K$21:$K$35,MATCH(L85,'1 - Titoli e shock'!$P$21:$P$35,1)+1)-INDEX('1 - Titoli e shock'!$K$21:$K$35,MATCH(L85,'1 - Titoli e shock'!$P$21:$P$35,1)))*(L85-INDEX('1 - Titoli e shock'!$P$21:$P$35,MATCH(L85,'1 - Titoli e shock'!$P$21:$P$35,1)))/(INDEX('1 - Titoli e shock'!$P$21:$P$35,MATCH(L85,'1 - Titoli e shock'!$P$21:$P$35,1)+1)-INDEX('1 - Titoli e shock'!$P$21:$P$35,MATCH(L85,'1 - Titoli e shock'!$P$21:$P$35,1)))))</f>
        <v>3.6514330247517199E-2</v>
      </c>
      <c r="M98" s="12">
        <f>IF(M85&lt;='1 - Titoli e shock'!$P$21,'1 - Titoli e shock'!$K$21,IF(M85&gt;='1 - Titoli e shock'!$P$35,'1 - Titoli e shock'!$K$35,INDEX('1 - Titoli e shock'!$K$21:$K$35,MATCH(M85,'1 - Titoli e shock'!$P$21:$P$35,1))+(INDEX('1 - Titoli e shock'!$K$21:$K$35,MATCH(M85,'1 - Titoli e shock'!$P$21:$P$35,1)+1)-INDEX('1 - Titoli e shock'!$K$21:$K$35,MATCH(M85,'1 - Titoli e shock'!$P$21:$P$35,1)))*(M85-INDEX('1 - Titoli e shock'!$P$21:$P$35,MATCH(M85,'1 - Titoli e shock'!$P$21:$P$35,1)))/(INDEX('1 - Titoli e shock'!$P$21:$P$35,MATCH(M85,'1 - Titoli e shock'!$P$21:$P$35,1)+1)-INDEX('1 - Titoli e shock'!$P$21:$P$35,MATCH(M85,'1 - Titoli e shock'!$P$21:$P$35,1)))))</f>
        <v>3.3844292681814325E-2</v>
      </c>
      <c r="N98" s="12">
        <f>IF(N85&lt;='1 - Titoli e shock'!$P$21,'1 - Titoli e shock'!$K$21,IF(N85&gt;='1 - Titoli e shock'!$P$35,'1 - Titoli e shock'!$K$35,INDEX('1 - Titoli e shock'!$K$21:$K$35,MATCH(N85,'1 - Titoli e shock'!$P$21:$P$35,1))+(INDEX('1 - Titoli e shock'!$K$21:$K$35,MATCH(N85,'1 - Titoli e shock'!$P$21:$P$35,1)+1)-INDEX('1 - Titoli e shock'!$K$21:$K$35,MATCH(N85,'1 - Titoli e shock'!$P$21:$P$35,1)))*(N85-INDEX('1 - Titoli e shock'!$P$21:$P$35,MATCH(N85,'1 - Titoli e shock'!$P$21:$P$35,1)))/(INDEX('1 - Titoli e shock'!$P$21:$P$35,MATCH(N85,'1 - Titoli e shock'!$P$21:$P$35,1)+1)-INDEX('1 - Titoli e shock'!$P$21:$P$35,MATCH(N85,'1 - Titoli e shock'!$P$21:$P$35,1)))))</f>
        <v>3.1842376340284639E-2</v>
      </c>
      <c r="O98" s="12">
        <f>IF(O85&lt;='1 - Titoli e shock'!$P$21,'1 - Titoli e shock'!$K$21,IF(O85&gt;='1 - Titoli e shock'!$P$35,'1 - Titoli e shock'!$K$35,INDEX('1 - Titoli e shock'!$K$21:$K$35,MATCH(O85,'1 - Titoli e shock'!$P$21:$P$35,1))+(INDEX('1 - Titoli e shock'!$K$21:$K$35,MATCH(O85,'1 - Titoli e shock'!$P$21:$P$35,1)+1)-INDEX('1 - Titoli e shock'!$K$21:$K$35,MATCH(O85,'1 - Titoli e shock'!$P$21:$P$35,1)))*(O85-INDEX('1 - Titoli e shock'!$P$21:$P$35,MATCH(O85,'1 - Titoli e shock'!$P$21:$P$35,1)))/(INDEX('1 - Titoli e shock'!$P$21:$P$35,MATCH(O85,'1 - Titoli e shock'!$P$21:$P$35,1)+1)-INDEX('1 - Titoli e shock'!$P$21:$P$35,MATCH(O85,'1 - Titoli e shock'!$P$21:$P$35,1)))))</f>
        <v>3.1842376340284639E-2</v>
      </c>
      <c r="P98" s="12">
        <f>IF(P85&lt;='1 - Titoli e shock'!$P$21,'1 - Titoli e shock'!$K$21,IF(P85&gt;='1 - Titoli e shock'!$P$35,'1 - Titoli e shock'!$K$35,INDEX('1 - Titoli e shock'!$K$21:$K$35,MATCH(P85,'1 - Titoli e shock'!$P$21:$P$35,1))+(INDEX('1 - Titoli e shock'!$K$21:$K$35,MATCH(P85,'1 - Titoli e shock'!$P$21:$P$35,1)+1)-INDEX('1 - Titoli e shock'!$K$21:$K$35,MATCH(P85,'1 - Titoli e shock'!$P$21:$P$35,1)))*(P85-INDEX('1 - Titoli e shock'!$P$21:$P$35,MATCH(P85,'1 - Titoli e shock'!$P$21:$P$35,1)))/(INDEX('1 - Titoli e shock'!$P$21:$P$35,MATCH(P85,'1 - Titoli e shock'!$P$21:$P$35,1)+1)-INDEX('1 - Titoli e shock'!$P$21:$P$35,MATCH(P85,'1 - Titoli e shock'!$P$21:$P$35,1)))))</f>
        <v>3.1842376340284639E-2</v>
      </c>
      <c r="Q98" s="12">
        <f>IF(Q85&lt;='1 - Titoli e shock'!$P$21,'1 - Titoli e shock'!$K$21,IF(Q85&gt;='1 - Titoli e shock'!$P$35,'1 - Titoli e shock'!$K$35,INDEX('1 - Titoli e shock'!$K$21:$K$35,MATCH(Q85,'1 - Titoli e shock'!$P$21:$P$35,1))+(INDEX('1 - Titoli e shock'!$K$21:$K$35,MATCH(Q85,'1 - Titoli e shock'!$P$21:$P$35,1)+1)-INDEX('1 - Titoli e shock'!$K$21:$K$35,MATCH(Q85,'1 - Titoli e shock'!$P$21:$P$35,1)))*(Q85-INDEX('1 - Titoli e shock'!$P$21:$P$35,MATCH(Q85,'1 - Titoli e shock'!$P$21:$P$35,1)))/(INDEX('1 - Titoli e shock'!$P$21:$P$35,MATCH(Q85,'1 - Titoli e shock'!$P$21:$P$35,1)+1)-INDEX('1 - Titoli e shock'!$P$21:$P$35,MATCH(Q85,'1 - Titoli e shock'!$P$21:$P$35,1)))))</f>
        <v>3.1842376340284639E-2</v>
      </c>
      <c r="R98" s="12">
        <f>IF(R85&lt;='1 - Titoli e shock'!$P$21,'1 - Titoli e shock'!$K$21,IF(R85&gt;='1 - Titoli e shock'!$P$35,'1 - Titoli e shock'!$K$35,INDEX('1 - Titoli e shock'!$K$21:$K$35,MATCH(R85,'1 - Titoli e shock'!$P$21:$P$35,1))+(INDEX('1 - Titoli e shock'!$K$21:$K$35,MATCH(R85,'1 - Titoli e shock'!$P$21:$P$35,1)+1)-INDEX('1 - Titoli e shock'!$K$21:$K$35,MATCH(R85,'1 - Titoli e shock'!$P$21:$P$35,1)))*(R85-INDEX('1 - Titoli e shock'!$P$21:$P$35,MATCH(R85,'1 - Titoli e shock'!$P$21:$P$35,1)))/(INDEX('1 - Titoli e shock'!$P$21:$P$35,MATCH(R85,'1 - Titoli e shock'!$P$21:$P$35,1)+1)-INDEX('1 - Titoli e shock'!$P$21:$P$35,MATCH(R85,'1 - Titoli e shock'!$P$21:$P$35,1)))))</f>
        <v>3.1842376340284639E-2</v>
      </c>
      <c r="S98" s="12">
        <f>IF(S85&lt;='1 - Titoli e shock'!$P$21,'1 - Titoli e shock'!$K$21,IF(S85&gt;='1 - Titoli e shock'!$P$35,'1 - Titoli e shock'!$K$35,INDEX('1 - Titoli e shock'!$K$21:$K$35,MATCH(S85,'1 - Titoli e shock'!$P$21:$P$35,1))+(INDEX('1 - Titoli e shock'!$K$21:$K$35,MATCH(S85,'1 - Titoli e shock'!$P$21:$P$35,1)+1)-INDEX('1 - Titoli e shock'!$K$21:$K$35,MATCH(S85,'1 - Titoli e shock'!$P$21:$P$35,1)))*(S85-INDEX('1 - Titoli e shock'!$P$21:$P$35,MATCH(S85,'1 - Titoli e shock'!$P$21:$P$35,1)))/(INDEX('1 - Titoli e shock'!$P$21:$P$35,MATCH(S85,'1 - Titoli e shock'!$P$21:$P$35,1)+1)-INDEX('1 - Titoli e shock'!$P$21:$P$35,MATCH(S85,'1 - Titoli e shock'!$P$21:$P$35,1)))))</f>
        <v>3.1842376340284639E-2</v>
      </c>
      <c r="T98" s="12">
        <f>IF(T85&lt;='1 - Titoli e shock'!$P$21,'1 - Titoli e shock'!$K$21,IF(T85&gt;='1 - Titoli e shock'!$P$35,'1 - Titoli e shock'!$K$35,INDEX('1 - Titoli e shock'!$K$21:$K$35,MATCH(T85,'1 - Titoli e shock'!$P$21:$P$35,1))+(INDEX('1 - Titoli e shock'!$K$21:$K$35,MATCH(T85,'1 - Titoli e shock'!$P$21:$P$35,1)+1)-INDEX('1 - Titoli e shock'!$K$21:$K$35,MATCH(T85,'1 - Titoli e shock'!$P$21:$P$35,1)))*(T85-INDEX('1 - Titoli e shock'!$P$21:$P$35,MATCH(T85,'1 - Titoli e shock'!$P$21:$P$35,1)))/(INDEX('1 - Titoli e shock'!$P$21:$P$35,MATCH(T85,'1 - Titoli e shock'!$P$21:$P$35,1)+1)-INDEX('1 - Titoli e shock'!$P$21:$P$35,MATCH(T85,'1 - Titoli e shock'!$P$21:$P$35,1)))))</f>
        <v>3.1842376340284639E-2</v>
      </c>
      <c r="U98" s="12">
        <f>IF(U85&lt;='1 - Titoli e shock'!$P$21,'1 - Titoli e shock'!$K$21,IF(U85&gt;='1 - Titoli e shock'!$P$35,'1 - Titoli e shock'!$K$35,INDEX('1 - Titoli e shock'!$K$21:$K$35,MATCH(U85,'1 - Titoli e shock'!$P$21:$P$35,1))+(INDEX('1 - Titoli e shock'!$K$21:$K$35,MATCH(U85,'1 - Titoli e shock'!$P$21:$P$35,1)+1)-INDEX('1 - Titoli e shock'!$K$21:$K$35,MATCH(U85,'1 - Titoli e shock'!$P$21:$P$35,1)))*(U85-INDEX('1 - Titoli e shock'!$P$21:$P$35,MATCH(U85,'1 - Titoli e shock'!$P$21:$P$35,1)))/(INDEX('1 - Titoli e shock'!$P$21:$P$35,MATCH(U85,'1 - Titoli e shock'!$P$21:$P$35,1)+1)-INDEX('1 - Titoli e shock'!$P$21:$P$35,MATCH(U85,'1 - Titoli e shock'!$P$21:$P$35,1)))))</f>
        <v>3.1842376340284639E-2</v>
      </c>
    </row>
    <row r="99" spans="1:21">
      <c r="A99" s="22" t="str">
        <f t="shared" si="29"/>
        <v>BTP 4,00% ott 2036</v>
      </c>
      <c r="F99" s="12">
        <f>IF(F86&lt;='1 - Titoli e shock'!$P$21,'1 - Titoli e shock'!$K$21,IF(F86&gt;='1 - Titoli e shock'!$P$35,'1 - Titoli e shock'!$K$35,INDEX('1 - Titoli e shock'!$K$21:$K$35,MATCH(F86,'1 - Titoli e shock'!$P$21:$P$35,1))+(INDEX('1 - Titoli e shock'!$K$21:$K$35,MATCH(F86,'1 - Titoli e shock'!$P$21:$P$35,1)+1)-INDEX('1 - Titoli e shock'!$K$21:$K$35,MATCH(F86,'1 - Titoli e shock'!$P$21:$P$35,1)))*(F86-INDEX('1 - Titoli e shock'!$P$21:$P$35,MATCH(F86,'1 - Titoli e shock'!$P$21:$P$35,1)))/(INDEX('1 - Titoli e shock'!$P$21:$P$35,MATCH(F86,'1 - Titoli e shock'!$P$21:$P$35,1)+1)-INDEX('1 - Titoli e shock'!$P$21:$P$35,MATCH(F86,'1 - Titoli e shock'!$P$21:$P$35,1)))))</f>
        <v>4.4879535479525945E-2</v>
      </c>
      <c r="G99" s="12">
        <f>IF(G86&lt;='1 - Titoli e shock'!$P$21,'1 - Titoli e shock'!$K$21,IF(G86&gt;='1 - Titoli e shock'!$P$35,'1 - Titoli e shock'!$K$35,INDEX('1 - Titoli e shock'!$K$21:$K$35,MATCH(G86,'1 - Titoli e shock'!$P$21:$P$35,1))+(INDEX('1 - Titoli e shock'!$K$21:$K$35,MATCH(G86,'1 - Titoli e shock'!$P$21:$P$35,1)+1)-INDEX('1 - Titoli e shock'!$K$21:$K$35,MATCH(G86,'1 - Titoli e shock'!$P$21:$P$35,1)))*(G86-INDEX('1 - Titoli e shock'!$P$21:$P$35,MATCH(G86,'1 - Titoli e shock'!$P$21:$P$35,1)))/(INDEX('1 - Titoli e shock'!$P$21:$P$35,MATCH(G86,'1 - Titoli e shock'!$P$21:$P$35,1)+1)-INDEX('1 - Titoli e shock'!$P$21:$P$35,MATCH(G86,'1 - Titoli e shock'!$P$21:$P$35,1)))))</f>
        <v>4.3956554767542115E-2</v>
      </c>
      <c r="H99" s="12">
        <f>IF(H86&lt;='1 - Titoli e shock'!$P$21,'1 - Titoli e shock'!$K$21,IF(H86&gt;='1 - Titoli e shock'!$P$35,'1 - Titoli e shock'!$K$35,INDEX('1 - Titoli e shock'!$K$21:$K$35,MATCH(H86,'1 - Titoli e shock'!$P$21:$P$35,1))+(INDEX('1 - Titoli e shock'!$K$21:$K$35,MATCH(H86,'1 - Titoli e shock'!$P$21:$P$35,1)+1)-INDEX('1 - Titoli e shock'!$K$21:$K$35,MATCH(H86,'1 - Titoli e shock'!$P$21:$P$35,1)))*(H86-INDEX('1 - Titoli e shock'!$P$21:$P$35,MATCH(H86,'1 - Titoli e shock'!$P$21:$P$35,1)))/(INDEX('1 - Titoli e shock'!$P$21:$P$35,MATCH(H86,'1 - Titoli e shock'!$P$21:$P$35,1)+1)-INDEX('1 - Titoli e shock'!$P$21:$P$35,MATCH(H86,'1 - Titoli e shock'!$P$21:$P$35,1)))))</f>
        <v>4.3018356890293583E-2</v>
      </c>
      <c r="I99" s="12">
        <f>IF(I86&lt;='1 - Titoli e shock'!$P$21,'1 - Titoli e shock'!$K$21,IF(I86&gt;='1 - Titoli e shock'!$P$35,'1 - Titoli e shock'!$K$35,INDEX('1 - Titoli e shock'!$K$21:$K$35,MATCH(I86,'1 - Titoli e shock'!$P$21:$P$35,1))+(INDEX('1 - Titoli e shock'!$K$21:$K$35,MATCH(I86,'1 - Titoli e shock'!$P$21:$P$35,1)+1)-INDEX('1 - Titoli e shock'!$K$21:$K$35,MATCH(I86,'1 - Titoli e shock'!$P$21:$P$35,1)))*(I86-INDEX('1 - Titoli e shock'!$P$21:$P$35,MATCH(I86,'1 - Titoli e shock'!$P$21:$P$35,1)))/(INDEX('1 - Titoli e shock'!$P$21:$P$35,MATCH(I86,'1 - Titoli e shock'!$P$21:$P$35,1)+1)-INDEX('1 - Titoli e shock'!$P$21:$P$35,MATCH(I86,'1 - Titoli e shock'!$P$21:$P$35,1)))))</f>
        <v>4.1792518878669437E-2</v>
      </c>
      <c r="J99" s="12">
        <f>IF(J86&lt;='1 - Titoli e shock'!$P$21,'1 - Titoli e shock'!$K$21,IF(J86&gt;='1 - Titoli e shock'!$P$35,'1 - Titoli e shock'!$K$35,INDEX('1 - Titoli e shock'!$K$21:$K$35,MATCH(J86,'1 - Titoli e shock'!$P$21:$P$35,1))+(INDEX('1 - Titoli e shock'!$K$21:$K$35,MATCH(J86,'1 - Titoli e shock'!$P$21:$P$35,1)+1)-INDEX('1 - Titoli e shock'!$K$21:$K$35,MATCH(J86,'1 - Titoli e shock'!$P$21:$P$35,1)))*(J86-INDEX('1 - Titoli e shock'!$P$21:$P$35,MATCH(J86,'1 - Titoli e shock'!$P$21:$P$35,1)))/(INDEX('1 - Titoli e shock'!$P$21:$P$35,MATCH(J86,'1 - Titoli e shock'!$P$21:$P$35,1)+1)-INDEX('1 - Titoli e shock'!$P$21:$P$35,MATCH(J86,'1 - Titoli e shock'!$P$21:$P$35,1)))))</f>
        <v>4.0432237485787476E-2</v>
      </c>
      <c r="K99" s="12">
        <f>IF(K86&lt;='1 - Titoli e shock'!$P$21,'1 - Titoli e shock'!$K$21,IF(K86&gt;='1 - Titoli e shock'!$P$35,'1 - Titoli e shock'!$K$35,INDEX('1 - Titoli e shock'!$K$21:$K$35,MATCH(K86,'1 - Titoli e shock'!$P$21:$P$35,1))+(INDEX('1 - Titoli e shock'!$K$21:$K$35,MATCH(K86,'1 - Titoli e shock'!$P$21:$P$35,1)+1)-INDEX('1 - Titoli e shock'!$K$21:$K$35,MATCH(K86,'1 - Titoli e shock'!$P$21:$P$35,1)))*(K86-INDEX('1 - Titoli e shock'!$P$21:$P$35,MATCH(K86,'1 - Titoli e shock'!$P$21:$P$35,1)))/(INDEX('1 - Titoli e shock'!$P$21:$P$35,MATCH(K86,'1 - Titoli e shock'!$P$21:$P$35,1)+1)-INDEX('1 - Titoli e shock'!$P$21:$P$35,MATCH(K86,'1 - Titoli e shock'!$P$21:$P$35,1)))))</f>
        <v>3.9290610913849201E-2</v>
      </c>
      <c r="L99" s="12">
        <f>IF(L86&lt;='1 - Titoli e shock'!$P$21,'1 - Titoli e shock'!$K$21,IF(L86&gt;='1 - Titoli e shock'!$P$35,'1 - Titoli e shock'!$K$35,INDEX('1 - Titoli e shock'!$K$21:$K$35,MATCH(L86,'1 - Titoli e shock'!$P$21:$P$35,1))+(INDEX('1 - Titoli e shock'!$K$21:$K$35,MATCH(L86,'1 - Titoli e shock'!$P$21:$P$35,1)+1)-INDEX('1 - Titoli e shock'!$K$21:$K$35,MATCH(L86,'1 - Titoli e shock'!$P$21:$P$35,1)))*(L86-INDEX('1 - Titoli e shock'!$P$21:$P$35,MATCH(L86,'1 - Titoli e shock'!$P$21:$P$35,1)))/(INDEX('1 - Titoli e shock'!$P$21:$P$35,MATCH(L86,'1 - Titoli e shock'!$P$21:$P$35,1)+1)-INDEX('1 - Titoli e shock'!$P$21:$P$35,MATCH(L86,'1 - Titoli e shock'!$P$21:$P$35,1)))))</f>
        <v>3.8242901529698559E-2</v>
      </c>
      <c r="M99" s="12">
        <f>IF(M86&lt;='1 - Titoli e shock'!$P$21,'1 - Titoli e shock'!$K$21,IF(M86&gt;='1 - Titoli e shock'!$P$35,'1 - Titoli e shock'!$K$35,INDEX('1 - Titoli e shock'!$K$21:$K$35,MATCH(M86,'1 - Titoli e shock'!$P$21:$P$35,1))+(INDEX('1 - Titoli e shock'!$K$21:$K$35,MATCH(M86,'1 - Titoli e shock'!$P$21:$P$35,1)+1)-INDEX('1 - Titoli e shock'!$K$21:$K$35,MATCH(M86,'1 - Titoli e shock'!$P$21:$P$35,1)))*(M86-INDEX('1 - Titoli e shock'!$P$21:$P$35,MATCH(M86,'1 - Titoli e shock'!$P$21:$P$35,1)))/(INDEX('1 - Titoli e shock'!$P$21:$P$35,MATCH(M86,'1 - Titoli e shock'!$P$21:$P$35,1)+1)-INDEX('1 - Titoli e shock'!$P$21:$P$35,MATCH(M86,'1 - Titoli e shock'!$P$21:$P$35,1)))))</f>
        <v>3.6521975206967205E-2</v>
      </c>
      <c r="N99" s="12">
        <f>IF(N86&lt;='1 - Titoli e shock'!$P$21,'1 - Titoli e shock'!$K$21,IF(N86&gt;='1 - Titoli e shock'!$P$35,'1 - Titoli e shock'!$K$35,INDEX('1 - Titoli e shock'!$K$21:$K$35,MATCH(N86,'1 - Titoli e shock'!$P$21:$P$35,1))+(INDEX('1 - Titoli e shock'!$K$21:$K$35,MATCH(N86,'1 - Titoli e shock'!$P$21:$P$35,1)+1)-INDEX('1 - Titoli e shock'!$K$21:$K$35,MATCH(N86,'1 - Titoli e shock'!$P$21:$P$35,1)))*(N86-INDEX('1 - Titoli e shock'!$P$21:$P$35,MATCH(N86,'1 - Titoli e shock'!$P$21:$P$35,1)))/(INDEX('1 - Titoli e shock'!$P$21:$P$35,MATCH(N86,'1 - Titoli e shock'!$P$21:$P$35,1)+1)-INDEX('1 - Titoli e shock'!$P$21:$P$35,MATCH(N86,'1 - Titoli e shock'!$P$21:$P$35,1)))))</f>
        <v>3.3849996147174807E-2</v>
      </c>
      <c r="O99" s="12">
        <f>IF(O86&lt;='1 - Titoli e shock'!$P$21,'1 - Titoli e shock'!$K$21,IF(O86&gt;='1 - Titoli e shock'!$P$35,'1 - Titoli e shock'!$K$35,INDEX('1 - Titoli e shock'!$K$21:$K$35,MATCH(O86,'1 - Titoli e shock'!$P$21:$P$35,1))+(INDEX('1 - Titoli e shock'!$K$21:$K$35,MATCH(O86,'1 - Titoli e shock'!$P$21:$P$35,1)+1)-INDEX('1 - Titoli e shock'!$K$21:$K$35,MATCH(O86,'1 - Titoli e shock'!$P$21:$P$35,1)))*(O86-INDEX('1 - Titoli e shock'!$P$21:$P$35,MATCH(O86,'1 - Titoli e shock'!$P$21:$P$35,1)))/(INDEX('1 - Titoli e shock'!$P$21:$P$35,MATCH(O86,'1 - Titoli e shock'!$P$21:$P$35,1)+1)-INDEX('1 - Titoli e shock'!$P$21:$P$35,MATCH(O86,'1 - Titoli e shock'!$P$21:$P$35,1)))))</f>
        <v>3.1842376340284639E-2</v>
      </c>
      <c r="P99" s="12">
        <f>IF(P86&lt;='1 - Titoli e shock'!$P$21,'1 - Titoli e shock'!$K$21,IF(P86&gt;='1 - Titoli e shock'!$P$35,'1 - Titoli e shock'!$K$35,INDEX('1 - Titoli e shock'!$K$21:$K$35,MATCH(P86,'1 - Titoli e shock'!$P$21:$P$35,1))+(INDEX('1 - Titoli e shock'!$K$21:$K$35,MATCH(P86,'1 - Titoli e shock'!$P$21:$P$35,1)+1)-INDEX('1 - Titoli e shock'!$K$21:$K$35,MATCH(P86,'1 - Titoli e shock'!$P$21:$P$35,1)))*(P86-INDEX('1 - Titoli e shock'!$P$21:$P$35,MATCH(P86,'1 - Titoli e shock'!$P$21:$P$35,1)))/(INDEX('1 - Titoli e shock'!$P$21:$P$35,MATCH(P86,'1 - Titoli e shock'!$P$21:$P$35,1)+1)-INDEX('1 - Titoli e shock'!$P$21:$P$35,MATCH(P86,'1 - Titoli e shock'!$P$21:$P$35,1)))))</f>
        <v>3.1842376340284639E-2</v>
      </c>
      <c r="Q99" s="12">
        <f>IF(Q86&lt;='1 - Titoli e shock'!$P$21,'1 - Titoli e shock'!$K$21,IF(Q86&gt;='1 - Titoli e shock'!$P$35,'1 - Titoli e shock'!$K$35,INDEX('1 - Titoli e shock'!$K$21:$K$35,MATCH(Q86,'1 - Titoli e shock'!$P$21:$P$35,1))+(INDEX('1 - Titoli e shock'!$K$21:$K$35,MATCH(Q86,'1 - Titoli e shock'!$P$21:$P$35,1)+1)-INDEX('1 - Titoli e shock'!$K$21:$K$35,MATCH(Q86,'1 - Titoli e shock'!$P$21:$P$35,1)))*(Q86-INDEX('1 - Titoli e shock'!$P$21:$P$35,MATCH(Q86,'1 - Titoli e shock'!$P$21:$P$35,1)))/(INDEX('1 - Titoli e shock'!$P$21:$P$35,MATCH(Q86,'1 - Titoli e shock'!$P$21:$P$35,1)+1)-INDEX('1 - Titoli e shock'!$P$21:$P$35,MATCH(Q86,'1 - Titoli e shock'!$P$21:$P$35,1)))))</f>
        <v>3.1842376340284639E-2</v>
      </c>
      <c r="R99" s="12">
        <f>IF(R86&lt;='1 - Titoli e shock'!$P$21,'1 - Titoli e shock'!$K$21,IF(R86&gt;='1 - Titoli e shock'!$P$35,'1 - Titoli e shock'!$K$35,INDEX('1 - Titoli e shock'!$K$21:$K$35,MATCH(R86,'1 - Titoli e shock'!$P$21:$P$35,1))+(INDEX('1 - Titoli e shock'!$K$21:$K$35,MATCH(R86,'1 - Titoli e shock'!$P$21:$P$35,1)+1)-INDEX('1 - Titoli e shock'!$K$21:$K$35,MATCH(R86,'1 - Titoli e shock'!$P$21:$P$35,1)))*(R86-INDEX('1 - Titoli e shock'!$P$21:$P$35,MATCH(R86,'1 - Titoli e shock'!$P$21:$P$35,1)))/(INDEX('1 - Titoli e shock'!$P$21:$P$35,MATCH(R86,'1 - Titoli e shock'!$P$21:$P$35,1)+1)-INDEX('1 - Titoli e shock'!$P$21:$P$35,MATCH(R86,'1 - Titoli e shock'!$P$21:$P$35,1)))))</f>
        <v>3.1842376340284639E-2</v>
      </c>
      <c r="S99" s="12">
        <f>IF(S86&lt;='1 - Titoli e shock'!$P$21,'1 - Titoli e shock'!$K$21,IF(S86&gt;='1 - Titoli e shock'!$P$35,'1 - Titoli e shock'!$K$35,INDEX('1 - Titoli e shock'!$K$21:$K$35,MATCH(S86,'1 - Titoli e shock'!$P$21:$P$35,1))+(INDEX('1 - Titoli e shock'!$K$21:$K$35,MATCH(S86,'1 - Titoli e shock'!$P$21:$P$35,1)+1)-INDEX('1 - Titoli e shock'!$K$21:$K$35,MATCH(S86,'1 - Titoli e shock'!$P$21:$P$35,1)))*(S86-INDEX('1 - Titoli e shock'!$P$21:$P$35,MATCH(S86,'1 - Titoli e shock'!$P$21:$P$35,1)))/(INDEX('1 - Titoli e shock'!$P$21:$P$35,MATCH(S86,'1 - Titoli e shock'!$P$21:$P$35,1)+1)-INDEX('1 - Titoli e shock'!$P$21:$P$35,MATCH(S86,'1 - Titoli e shock'!$P$21:$P$35,1)))))</f>
        <v>3.1842376340284639E-2</v>
      </c>
      <c r="T99" s="12">
        <f>IF(T86&lt;='1 - Titoli e shock'!$P$21,'1 - Titoli e shock'!$K$21,IF(T86&gt;='1 - Titoli e shock'!$P$35,'1 - Titoli e shock'!$K$35,INDEX('1 - Titoli e shock'!$K$21:$K$35,MATCH(T86,'1 - Titoli e shock'!$P$21:$P$35,1))+(INDEX('1 - Titoli e shock'!$K$21:$K$35,MATCH(T86,'1 - Titoli e shock'!$P$21:$P$35,1)+1)-INDEX('1 - Titoli e shock'!$K$21:$K$35,MATCH(T86,'1 - Titoli e shock'!$P$21:$P$35,1)))*(T86-INDEX('1 - Titoli e shock'!$P$21:$P$35,MATCH(T86,'1 - Titoli e shock'!$P$21:$P$35,1)))/(INDEX('1 - Titoli e shock'!$P$21:$P$35,MATCH(T86,'1 - Titoli e shock'!$P$21:$P$35,1)+1)-INDEX('1 - Titoli e shock'!$P$21:$P$35,MATCH(T86,'1 - Titoli e shock'!$P$21:$P$35,1)))))</f>
        <v>3.1842376340284639E-2</v>
      </c>
      <c r="U99" s="12">
        <f>IF(U86&lt;='1 - Titoli e shock'!$P$21,'1 - Titoli e shock'!$K$21,IF(U86&gt;='1 - Titoli e shock'!$P$35,'1 - Titoli e shock'!$K$35,INDEX('1 - Titoli e shock'!$K$21:$K$35,MATCH(U86,'1 - Titoli e shock'!$P$21:$P$35,1))+(INDEX('1 - Titoli e shock'!$K$21:$K$35,MATCH(U86,'1 - Titoli e shock'!$P$21:$P$35,1)+1)-INDEX('1 - Titoli e shock'!$K$21:$K$35,MATCH(U86,'1 - Titoli e shock'!$P$21:$P$35,1)))*(U86-INDEX('1 - Titoli e shock'!$P$21:$P$35,MATCH(U86,'1 - Titoli e shock'!$P$21:$P$35,1)))/(INDEX('1 - Titoli e shock'!$P$21:$P$35,MATCH(U86,'1 - Titoli e shock'!$P$21:$P$35,1)+1)-INDEX('1 - Titoli e shock'!$P$21:$P$35,MATCH(U86,'1 - Titoli e shock'!$P$21:$P$35,1)))))</f>
        <v>3.1842376340284639E-2</v>
      </c>
    </row>
    <row r="100" spans="1:21">
      <c r="A100" s="22" t="str">
        <f t="shared" si="29"/>
        <v>BTP 4,50% ott 2053</v>
      </c>
      <c r="F100" s="12">
        <f>IF(F87&lt;='1 - Titoli e shock'!$P$21,'1 - Titoli e shock'!$K$21,IF(F87&gt;='1 - Titoli e shock'!$P$35,'1 - Titoli e shock'!$K$35,INDEX('1 - Titoli e shock'!$K$21:$K$35,MATCH(F87,'1 - Titoli e shock'!$P$21:$P$35,1))+(INDEX('1 - Titoli e shock'!$K$21:$K$35,MATCH(F87,'1 - Titoli e shock'!$P$21:$P$35,1)+1)-INDEX('1 - Titoli e shock'!$K$21:$K$35,MATCH(F87,'1 - Titoli e shock'!$P$21:$P$35,1)))*(F87-INDEX('1 - Titoli e shock'!$P$21:$P$35,MATCH(F87,'1 - Titoli e shock'!$P$21:$P$35,1)))/(INDEX('1 - Titoli e shock'!$P$21:$P$35,MATCH(F87,'1 - Titoli e shock'!$P$21:$P$35,1)+1)-INDEX('1 - Titoli e shock'!$P$21:$P$35,MATCH(F87,'1 - Titoli e shock'!$P$21:$P$35,1)))))</f>
        <v>5.0331617254755212E-2</v>
      </c>
      <c r="G100" s="12">
        <f>IF(G87&lt;='1 - Titoli e shock'!$P$21,'1 - Titoli e shock'!$K$21,IF(G87&gt;='1 - Titoli e shock'!$P$35,'1 - Titoli e shock'!$K$35,INDEX('1 - Titoli e shock'!$K$21:$K$35,MATCH(G87,'1 - Titoli e shock'!$P$21:$P$35,1))+(INDEX('1 - Titoli e shock'!$K$21:$K$35,MATCH(G87,'1 - Titoli e shock'!$P$21:$P$35,1)+1)-INDEX('1 - Titoli e shock'!$K$21:$K$35,MATCH(G87,'1 - Titoli e shock'!$P$21:$P$35,1)))*(G87-INDEX('1 - Titoli e shock'!$P$21:$P$35,MATCH(G87,'1 - Titoli e shock'!$P$21:$P$35,1)))/(INDEX('1 - Titoli e shock'!$P$21:$P$35,MATCH(G87,'1 - Titoli e shock'!$P$21:$P$35,1)+1)-INDEX('1 - Titoli e shock'!$P$21:$P$35,MATCH(G87,'1 - Titoli e shock'!$P$21:$P$35,1)))))</f>
        <v>5.0150475251622147E-2</v>
      </c>
      <c r="H100" s="12">
        <f>IF(H87&lt;='1 - Titoli e shock'!$P$21,'1 - Titoli e shock'!$K$21,IF(H87&gt;='1 - Titoli e shock'!$P$35,'1 - Titoli e shock'!$K$35,INDEX('1 - Titoli e shock'!$K$21:$K$35,MATCH(H87,'1 - Titoli e shock'!$P$21:$P$35,1))+(INDEX('1 - Titoli e shock'!$K$21:$K$35,MATCH(H87,'1 - Titoli e shock'!$P$21:$P$35,1)+1)-INDEX('1 - Titoli e shock'!$K$21:$K$35,MATCH(H87,'1 - Titoli e shock'!$P$21:$P$35,1)))*(H87-INDEX('1 - Titoli e shock'!$P$21:$P$35,MATCH(H87,'1 - Titoli e shock'!$P$21:$P$35,1)))/(INDEX('1 - Titoli e shock'!$P$21:$P$35,MATCH(H87,'1 - Titoli e shock'!$P$21:$P$35,1)+1)-INDEX('1 - Titoli e shock'!$P$21:$P$35,MATCH(H87,'1 - Titoli e shock'!$P$21:$P$35,1)))))</f>
        <v>4.9968836969028443E-2</v>
      </c>
      <c r="I100" s="12">
        <f>IF(I87&lt;='1 - Titoli e shock'!$P$21,'1 - Titoli e shock'!$K$21,IF(I87&gt;='1 - Titoli e shock'!$P$35,'1 - Titoli e shock'!$K$35,INDEX('1 - Titoli e shock'!$K$21:$K$35,MATCH(I87,'1 - Titoli e shock'!$P$21:$P$35,1))+(INDEX('1 - Titoli e shock'!$K$21:$K$35,MATCH(I87,'1 - Titoli e shock'!$P$21:$P$35,1)+1)-INDEX('1 - Titoli e shock'!$K$21:$K$35,MATCH(I87,'1 - Titoli e shock'!$P$21:$P$35,1)))*(I87-INDEX('1 - Titoli e shock'!$P$21:$P$35,MATCH(I87,'1 - Titoli e shock'!$P$21:$P$35,1)))/(INDEX('1 - Titoli e shock'!$P$21:$P$35,MATCH(I87,'1 - Titoli e shock'!$P$21:$P$35,1)+1)-INDEX('1 - Titoli e shock'!$P$21:$P$35,MATCH(I87,'1 - Titoli e shock'!$P$21:$P$35,1)))))</f>
        <v>4.9787694965895378E-2</v>
      </c>
      <c r="J100" s="12">
        <f>IF(J87&lt;='1 - Titoli e shock'!$P$21,'1 - Titoli e shock'!$K$21,IF(J87&gt;='1 - Titoli e shock'!$P$35,'1 - Titoli e shock'!$K$35,INDEX('1 - Titoli e shock'!$K$21:$K$35,MATCH(J87,'1 - Titoli e shock'!$P$21:$P$35,1))+(INDEX('1 - Titoli e shock'!$K$21:$K$35,MATCH(J87,'1 - Titoli e shock'!$P$21:$P$35,1)+1)-INDEX('1 - Titoli e shock'!$K$21:$K$35,MATCH(J87,'1 - Titoli e shock'!$P$21:$P$35,1)))*(J87-INDEX('1 - Titoli e shock'!$P$21:$P$35,MATCH(J87,'1 - Titoli e shock'!$P$21:$P$35,1)))/(INDEX('1 - Titoli e shock'!$P$21:$P$35,MATCH(J87,'1 - Titoli e shock'!$P$21:$P$35,1)+1)-INDEX('1 - Titoli e shock'!$P$21:$P$35,MATCH(J87,'1 - Titoli e shock'!$P$21:$P$35,1)))))</f>
        <v>4.9606552962762319E-2</v>
      </c>
      <c r="K100" s="12">
        <f>IF(K87&lt;='1 - Titoli e shock'!$P$21,'1 - Titoli e shock'!$K$21,IF(K87&gt;='1 - Titoli e shock'!$P$35,'1 - Titoli e shock'!$K$35,INDEX('1 - Titoli e shock'!$K$21:$K$35,MATCH(K87,'1 - Titoli e shock'!$P$21:$P$35,1))+(INDEX('1 - Titoli e shock'!$K$21:$K$35,MATCH(K87,'1 - Titoli e shock'!$P$21:$P$35,1)+1)-INDEX('1 - Titoli e shock'!$K$21:$K$35,MATCH(K87,'1 - Titoli e shock'!$P$21:$P$35,1)))*(K87-INDEX('1 - Titoli e shock'!$P$21:$P$35,MATCH(K87,'1 - Titoli e shock'!$P$21:$P$35,1)))/(INDEX('1 - Titoli e shock'!$P$21:$P$35,MATCH(K87,'1 - Titoli e shock'!$P$21:$P$35,1)+1)-INDEX('1 - Titoli e shock'!$P$21:$P$35,MATCH(K87,'1 - Titoli e shock'!$P$21:$P$35,1)))))</f>
        <v>4.9425410959629254E-2</v>
      </c>
      <c r="L100" s="12">
        <f>IF(L87&lt;='1 - Titoli e shock'!$P$21,'1 - Titoli e shock'!$K$21,IF(L87&gt;='1 - Titoli e shock'!$P$35,'1 - Titoli e shock'!$K$35,INDEX('1 - Titoli e shock'!$K$21:$K$35,MATCH(L87,'1 - Titoli e shock'!$P$21:$P$35,1))+(INDEX('1 - Titoli e shock'!$K$21:$K$35,MATCH(L87,'1 - Titoli e shock'!$P$21:$P$35,1)+1)-INDEX('1 - Titoli e shock'!$K$21:$K$35,MATCH(L87,'1 - Titoli e shock'!$P$21:$P$35,1)))*(L87-INDEX('1 - Titoli e shock'!$P$21:$P$35,MATCH(L87,'1 - Titoli e shock'!$P$21:$P$35,1)))/(INDEX('1 - Titoli e shock'!$P$21:$P$35,MATCH(L87,'1 - Titoli e shock'!$P$21:$P$35,1)+1)-INDEX('1 - Titoli e shock'!$P$21:$P$35,MATCH(L87,'1 - Titoli e shock'!$P$21:$P$35,1)))))</f>
        <v>4.9243772677035551E-2</v>
      </c>
      <c r="M100" s="12">
        <f>IF(M87&lt;='1 - Titoli e shock'!$P$21,'1 - Titoli e shock'!$K$21,IF(M87&gt;='1 - Titoli e shock'!$P$35,'1 - Titoli e shock'!$K$35,INDEX('1 - Titoli e shock'!$K$21:$K$35,MATCH(M87,'1 - Titoli e shock'!$P$21:$P$35,1))+(INDEX('1 - Titoli e shock'!$K$21:$K$35,MATCH(M87,'1 - Titoli e shock'!$P$21:$P$35,1)+1)-INDEX('1 - Titoli e shock'!$K$21:$K$35,MATCH(M87,'1 - Titoli e shock'!$P$21:$P$35,1)))*(M87-INDEX('1 - Titoli e shock'!$P$21:$P$35,MATCH(M87,'1 - Titoli e shock'!$P$21:$P$35,1)))/(INDEX('1 - Titoli e shock'!$P$21:$P$35,MATCH(M87,'1 - Titoli e shock'!$P$21:$P$35,1)+1)-INDEX('1 - Titoli e shock'!$P$21:$P$35,MATCH(M87,'1 - Titoli e shock'!$P$21:$P$35,1)))))</f>
        <v>4.905199223298936E-2</v>
      </c>
      <c r="N100" s="12">
        <f>IF(N87&lt;='1 - Titoli e shock'!$P$21,'1 - Titoli e shock'!$K$21,IF(N87&gt;='1 - Titoli e shock'!$P$35,'1 - Titoli e shock'!$K$35,INDEX('1 - Titoli e shock'!$K$21:$K$35,MATCH(N87,'1 - Titoli e shock'!$P$21:$P$35,1))+(INDEX('1 - Titoli e shock'!$K$21:$K$35,MATCH(N87,'1 - Titoli e shock'!$P$21:$P$35,1)+1)-INDEX('1 - Titoli e shock'!$K$21:$K$35,MATCH(N87,'1 - Titoli e shock'!$P$21:$P$35,1)))*(N87-INDEX('1 - Titoli e shock'!$P$21:$P$35,MATCH(N87,'1 - Titoli e shock'!$P$21:$P$35,1)))/(INDEX('1 - Titoli e shock'!$P$21:$P$35,MATCH(N87,'1 - Titoli e shock'!$P$21:$P$35,1)+1)-INDEX('1 - Titoli e shock'!$P$21:$P$35,MATCH(N87,'1 - Titoli e shock'!$P$21:$P$35,1)))))</f>
        <v>4.8845134793211981E-2</v>
      </c>
      <c r="O100" s="12">
        <f>IF(O87&lt;='1 - Titoli e shock'!$P$21,'1 - Titoli e shock'!$K$21,IF(O87&gt;='1 - Titoli e shock'!$P$35,'1 - Titoli e shock'!$K$35,INDEX('1 - Titoli e shock'!$K$21:$K$35,MATCH(O87,'1 - Titoli e shock'!$P$21:$P$35,1))+(INDEX('1 - Titoli e shock'!$K$21:$K$35,MATCH(O87,'1 - Titoli e shock'!$P$21:$P$35,1)+1)-INDEX('1 - Titoli e shock'!$K$21:$K$35,MATCH(O87,'1 - Titoli e shock'!$P$21:$P$35,1)))*(O87-INDEX('1 - Titoli e shock'!$P$21:$P$35,MATCH(O87,'1 - Titoli e shock'!$P$21:$P$35,1)))/(INDEX('1 - Titoli e shock'!$P$21:$P$35,MATCH(O87,'1 - Titoli e shock'!$P$21:$P$35,1)+1)-INDEX('1 - Titoli e shock'!$P$21:$P$35,MATCH(O87,'1 - Titoli e shock'!$P$21:$P$35,1)))))</f>
        <v>4.8638277353434609E-2</v>
      </c>
      <c r="P100" s="12">
        <f>IF(P87&lt;='1 - Titoli e shock'!$P$21,'1 - Titoli e shock'!$K$21,IF(P87&gt;='1 - Titoli e shock'!$P$35,'1 - Titoli e shock'!$K$35,INDEX('1 - Titoli e shock'!$K$21:$K$35,MATCH(P87,'1 - Titoli e shock'!$P$21:$P$35,1))+(INDEX('1 - Titoli e shock'!$K$21:$K$35,MATCH(P87,'1 - Titoli e shock'!$P$21:$P$35,1)+1)-INDEX('1 - Titoli e shock'!$K$21:$K$35,MATCH(P87,'1 - Titoli e shock'!$P$21:$P$35,1)))*(P87-INDEX('1 - Titoli e shock'!$P$21:$P$35,MATCH(P87,'1 - Titoli e shock'!$P$21:$P$35,1)))/(INDEX('1 - Titoli e shock'!$P$21:$P$35,MATCH(P87,'1 - Titoli e shock'!$P$21:$P$35,1)+1)-INDEX('1 - Titoli e shock'!$P$21:$P$35,MATCH(P87,'1 - Titoli e shock'!$P$21:$P$35,1)))))</f>
        <v>4.8430853180945511E-2</v>
      </c>
      <c r="Q100" s="12">
        <f>IF(Q87&lt;='1 - Titoli e shock'!$P$21,'1 - Titoli e shock'!$K$21,IF(Q87&gt;='1 - Titoli e shock'!$P$35,'1 - Titoli e shock'!$K$35,INDEX('1 - Titoli e shock'!$K$21:$K$35,MATCH(Q87,'1 - Titoli e shock'!$P$21:$P$35,1))+(INDEX('1 - Titoli e shock'!$K$21:$K$35,MATCH(Q87,'1 - Titoli e shock'!$P$21:$P$35,1)+1)-INDEX('1 - Titoli e shock'!$K$21:$K$35,MATCH(Q87,'1 - Titoli e shock'!$P$21:$P$35,1)))*(Q87-INDEX('1 - Titoli e shock'!$P$21:$P$35,MATCH(Q87,'1 - Titoli e shock'!$P$21:$P$35,1)))/(INDEX('1 - Titoli e shock'!$P$21:$P$35,MATCH(Q87,'1 - Titoli e shock'!$P$21:$P$35,1)+1)-INDEX('1 - Titoli e shock'!$P$21:$P$35,MATCH(Q87,'1 - Titoli e shock'!$P$21:$P$35,1)))))</f>
        <v>4.8223995741168139E-2</v>
      </c>
      <c r="R100" s="12">
        <f>IF(R87&lt;='1 - Titoli e shock'!$P$21,'1 - Titoli e shock'!$K$21,IF(R87&gt;='1 - Titoli e shock'!$P$35,'1 - Titoli e shock'!$K$35,INDEX('1 - Titoli e shock'!$K$21:$K$35,MATCH(R87,'1 - Titoli e shock'!$P$21:$P$35,1))+(INDEX('1 - Titoli e shock'!$K$21:$K$35,MATCH(R87,'1 - Titoli e shock'!$P$21:$P$35,1)+1)-INDEX('1 - Titoli e shock'!$K$21:$K$35,MATCH(R87,'1 - Titoli e shock'!$P$21:$P$35,1)))*(R87-INDEX('1 - Titoli e shock'!$P$21:$P$35,MATCH(R87,'1 - Titoli e shock'!$P$21:$P$35,1)))/(INDEX('1 - Titoli e shock'!$P$21:$P$35,MATCH(R87,'1 - Titoli e shock'!$P$21:$P$35,1)+1)-INDEX('1 - Titoli e shock'!$P$21:$P$35,MATCH(R87,'1 - Titoli e shock'!$P$21:$P$35,1)))))</f>
        <v>4.801713830139076E-2</v>
      </c>
      <c r="S100" s="12">
        <f>IF(S87&lt;='1 - Titoli e shock'!$P$21,'1 - Titoli e shock'!$K$21,IF(S87&gt;='1 - Titoli e shock'!$P$35,'1 - Titoli e shock'!$K$35,INDEX('1 - Titoli e shock'!$K$21:$K$35,MATCH(S87,'1 - Titoli e shock'!$P$21:$P$35,1))+(INDEX('1 - Titoli e shock'!$K$21:$K$35,MATCH(S87,'1 - Titoli e shock'!$P$21:$P$35,1)+1)-INDEX('1 - Titoli e shock'!$K$21:$K$35,MATCH(S87,'1 - Titoli e shock'!$P$21:$P$35,1)))*(S87-INDEX('1 - Titoli e shock'!$P$21:$P$35,MATCH(S87,'1 - Titoli e shock'!$P$21:$P$35,1)))/(INDEX('1 - Titoli e shock'!$P$21:$P$35,MATCH(S87,'1 - Titoli e shock'!$P$21:$P$35,1)+1)-INDEX('1 - Titoli e shock'!$P$21:$P$35,MATCH(S87,'1 - Titoli e shock'!$P$21:$P$35,1)))))</f>
        <v>4.7389961395596314E-2</v>
      </c>
      <c r="T100" s="12">
        <f>IF(T87&lt;='1 - Titoli e shock'!$P$21,'1 - Titoli e shock'!$K$21,IF(T87&gt;='1 - Titoli e shock'!$P$35,'1 - Titoli e shock'!$K$35,INDEX('1 - Titoli e shock'!$K$21:$K$35,MATCH(T87,'1 - Titoli e shock'!$P$21:$P$35,1))+(INDEX('1 - Titoli e shock'!$K$21:$K$35,MATCH(T87,'1 - Titoli e shock'!$P$21:$P$35,1)+1)-INDEX('1 - Titoli e shock'!$K$21:$K$35,MATCH(T87,'1 - Titoli e shock'!$P$21:$P$35,1)))*(T87-INDEX('1 - Titoli e shock'!$P$21:$P$35,MATCH(T87,'1 - Titoli e shock'!$P$21:$P$35,1)))/(INDEX('1 - Titoli e shock'!$P$21:$P$35,MATCH(T87,'1 - Titoli e shock'!$P$21:$P$35,1)+1)-INDEX('1 - Titoli e shock'!$P$21:$P$35,MATCH(T87,'1 - Titoli e shock'!$P$21:$P$35,1)))))</f>
        <v>4.6761066196909284E-2</v>
      </c>
      <c r="U100" s="12">
        <f>IF(U87&lt;='1 - Titoli e shock'!$P$21,'1 - Titoli e shock'!$K$21,IF(U87&gt;='1 - Titoli e shock'!$P$35,'1 - Titoli e shock'!$K$35,INDEX('1 - Titoli e shock'!$K$21:$K$35,MATCH(U87,'1 - Titoli e shock'!$P$21:$P$35,1))+(INDEX('1 - Titoli e shock'!$K$21:$K$35,MATCH(U87,'1 - Titoli e shock'!$P$21:$P$35,1)+1)-INDEX('1 - Titoli e shock'!$K$21:$K$35,MATCH(U87,'1 - Titoli e shock'!$P$21:$P$35,1)))*(U87-INDEX('1 - Titoli e shock'!$P$21:$P$35,MATCH(U87,'1 - Titoli e shock'!$P$21:$P$35,1)))/(INDEX('1 - Titoli e shock'!$P$21:$P$35,MATCH(U87,'1 - Titoli e shock'!$P$21:$P$35,1)+1)-INDEX('1 - Titoli e shock'!$P$21:$P$35,MATCH(U87,'1 - Titoli e shock'!$P$21:$P$35,1)))))</f>
        <v>4.6133889291114838E-2</v>
      </c>
    </row>
    <row r="103" spans="1:21">
      <c r="A103" s="36" t="s">
        <v>253</v>
      </c>
      <c r="B103" s="33"/>
      <c r="C103" s="33"/>
      <c r="D103" s="33"/>
      <c r="E103" s="33"/>
      <c r="F103" s="33"/>
      <c r="G103" s="33"/>
      <c r="H103" s="33"/>
      <c r="I103" s="33"/>
      <c r="J103" s="33"/>
    </row>
    <row r="104" spans="1:21">
      <c r="A104" s="22" t="str">
        <f t="shared" ref="A104:A114" si="30">A34</f>
        <v>BTP 2,70% ott 2027</v>
      </c>
      <c r="F104" s="20">
        <f>IF(AND(F$75&lt;'1 - Titoli e shock'!$B$11,$B$34&gt;F$74),'1 - Titoli e shock'!$E$21*$C$34,0)</f>
        <v>19994.041245176722</v>
      </c>
      <c r="G104" s="20">
        <f>IF(AND(G$75&lt;'1 - Titoli e shock'!$B$11,$B$34&gt;G$74),PRICE(G$74,$B$34,'1 - Titoli e shock'!$C$21,2*((1+G90+F$5/100)^0.5-1),100,2,1)*$C$34,0)</f>
        <v>0</v>
      </c>
      <c r="H104" s="20">
        <f>IF(AND(H$75&lt;'1 - Titoli e shock'!$B$11,$B$34&gt;H$74),PRICE(H$74,$B$34,'1 - Titoli e shock'!$C$21,2*((1+H90+F$5/100)^0.5-1),100,2,1)*$C$34,0)</f>
        <v>0</v>
      </c>
      <c r="I104" s="20">
        <f>IF(AND(I$75&lt;'1 - Titoli e shock'!$B$11,$B$34&gt;I$74),PRICE(I$74,$B$34,'1 - Titoli e shock'!$C$21,2*((1+I90+F$5/100)^0.5-1),100,2,1)*$C$34,0)</f>
        <v>0</v>
      </c>
      <c r="J104" s="20">
        <f>IF(AND(J$75&lt;'1 - Titoli e shock'!$B$11,$B$34&gt;J$74),PRICE(J$74,$B$34,'1 - Titoli e shock'!$C$21,2*((1+J90+F$5/100)^0.5-1),100,2,1)*$C$34,0)</f>
        <v>0</v>
      </c>
      <c r="K104" s="20">
        <f>IF(AND(K$75&lt;'1 - Titoli e shock'!$B$11,$B$34&gt;K$74),PRICE(K$74,$B$34,'1 - Titoli e shock'!$C$21,2*((1+K90+F$5/100)^0.5-1),100,2,1)*$C$34,0)</f>
        <v>0</v>
      </c>
      <c r="L104" s="20">
        <f>IF(AND(L$75&lt;'1 - Titoli e shock'!$B$11,$B$34&gt;L$74),PRICE(L$74,$B$34,'1 - Titoli e shock'!$C$21,2*((1+L90+F$5/100)^0.5-1),100,2,1)*$C$34,0)</f>
        <v>0</v>
      </c>
      <c r="M104" s="20">
        <f>IF(AND(M$75&lt;'1 - Titoli e shock'!$B$11,$B$34&gt;M$74),PRICE(M$74,$B$34,'1 - Titoli e shock'!$C$21,2*((1+M90+F$5/100)^0.5-1),100,2,1)*$C$34,0)</f>
        <v>0</v>
      </c>
      <c r="N104" s="20">
        <f>IF(AND(N$75&lt;'1 - Titoli e shock'!$B$11,$B$34&gt;N$74),PRICE(N$74,$B$34,'1 - Titoli e shock'!$C$21,2*((1+N90+F$5/100)^0.5-1),100,2,1)*$C$34,0)</f>
        <v>0</v>
      </c>
      <c r="O104" s="20">
        <f>IF(AND(O$75&lt;'1 - Titoli e shock'!$B$11,$B$34&gt;O$74),PRICE(O$74,$B$34,'1 - Titoli e shock'!$C$21,2*((1+O90+F$5/100)^0.5-1),100,2,1)*$C$34,0)</f>
        <v>0</v>
      </c>
      <c r="P104" s="20">
        <f>IF(AND(P$75&lt;'1 - Titoli e shock'!$B$11,$B$34&gt;P$74),PRICE(P$74,$B$34,'1 - Titoli e shock'!$C$21,2*((1+P90+F$5/100)^0.5-1),100,2,1)*$C$34,0)</f>
        <v>0</v>
      </c>
      <c r="Q104" s="20">
        <f>IF(AND(Q$75&lt;'1 - Titoli e shock'!$B$11,$B$34&gt;Q$74),PRICE(Q$74,$B$34,'1 - Titoli e shock'!$C$21,2*((1+Q90+F$5/100)^0.5-1),100,2,1)*$C$34,0)</f>
        <v>0</v>
      </c>
      <c r="R104" s="20">
        <f>IF(AND(R$75&lt;'1 - Titoli e shock'!$B$11,$B$34&gt;R$74),PRICE(R$74,$B$34,'1 - Titoli e shock'!$C$21,2*((1+R90+F$5/100)^0.5-1),100,2,1)*$C$34,0)</f>
        <v>0</v>
      </c>
      <c r="S104" s="20">
        <f>IF(AND(S$75&lt;'1 - Titoli e shock'!$B$11,$B$34&gt;S$74),PRICE(S$74,$B$34,'1 - Titoli e shock'!$C$21,2*((1+S90+F$5/100)^0.5-1),100,2,1)*$C$34,0)</f>
        <v>0</v>
      </c>
      <c r="T104" s="20">
        <f>IF(AND(T$75&lt;'1 - Titoli e shock'!$B$11,$B$34&gt;T$74),PRICE(T$74,$B$34,'1 - Titoli e shock'!$C$21,2*((1+T90+F$5/100)^0.5-1),100,2,1)*$C$34,0)</f>
        <v>0</v>
      </c>
      <c r="U104" s="20">
        <f>IF(AND(U$75&lt;'1 - Titoli e shock'!$B$11,$B$34&gt;U$74),PRICE(U$74,$B$34,'1 - Titoli e shock'!$C$21,2*((1+U90+F$5/100)^0.5-1),100,2,1)*$C$34,0)</f>
        <v>0</v>
      </c>
    </row>
    <row r="105" spans="1:21">
      <c r="A105" s="22" t="str">
        <f t="shared" si="30"/>
        <v>BTP 2,80% dic 2028</v>
      </c>
      <c r="F105" s="20">
        <f>IF(AND(F$75&lt;'1 - Titoli e shock'!$B$11,$B$35&gt;F$74),'1 - Titoli e shock'!$E$22*$C$35,0)</f>
        <v>19785.515747083671</v>
      </c>
      <c r="G105" s="20">
        <f>IF(AND(G$75&lt;'1 - Titoli e shock'!$B$11,$B$35&gt;G$74),PRICE(G$74,$B$35,'1 - Titoli e shock'!$C$22,2*((1+G91+F$5/100)^0.5-1),100,2,1)*$C$35,0)</f>
        <v>20157.574997732139</v>
      </c>
      <c r="H105" s="20">
        <f>IF(AND(H$75&lt;'1 - Titoli e shock'!$B$11,$B$35&gt;H$74),PRICE(H$74,$B$35,'1 - Titoli e shock'!$C$22,2*((1+H91+F$5/100)^0.5-1),100,2,1)*$C$35,0)</f>
        <v>20040.007039561948</v>
      </c>
      <c r="I105" s="20">
        <f>IF(AND(I$75&lt;'1 - Titoli e shock'!$B$11,$B$35&gt;I$74),PRICE(I$74,$B$35,'1 - Titoli e shock'!$C$22,2*((1+I91+F$5/100)^0.5-1),100,2,1)*$C$35,0)</f>
        <v>0</v>
      </c>
      <c r="J105" s="20">
        <f>IF(AND(J$75&lt;'1 - Titoli e shock'!$B$11,$B$35&gt;J$74),PRICE(J$74,$B$35,'1 - Titoli e shock'!$C$22,2*((1+J91+F$5/100)^0.5-1),100,2,1)*$C$35,0)</f>
        <v>0</v>
      </c>
      <c r="K105" s="20">
        <f>IF(AND(K$75&lt;'1 - Titoli e shock'!$B$11,$B$35&gt;K$74),PRICE(K$74,$B$35,'1 - Titoli e shock'!$C$22,2*((1+K91+F$5/100)^0.5-1),100,2,1)*$C$35,0)</f>
        <v>0</v>
      </c>
      <c r="L105" s="20">
        <f>IF(AND(L$75&lt;'1 - Titoli e shock'!$B$11,$B$35&gt;L$74),PRICE(L$74,$B$35,'1 - Titoli e shock'!$C$22,2*((1+L91+F$5/100)^0.5-1),100,2,1)*$C$35,0)</f>
        <v>0</v>
      </c>
      <c r="M105" s="20">
        <f>IF(AND(M$75&lt;'1 - Titoli e shock'!$B$11,$B$35&gt;M$74),PRICE(M$74,$B$35,'1 - Titoli e shock'!$C$22,2*((1+M91+F$5/100)^0.5-1),100,2,1)*$C$35,0)</f>
        <v>0</v>
      </c>
      <c r="N105" s="20">
        <f>IF(AND(N$75&lt;'1 - Titoli e shock'!$B$11,$B$35&gt;N$74),PRICE(N$74,$B$35,'1 - Titoli e shock'!$C$22,2*((1+N91+F$5/100)^0.5-1),100,2,1)*$C$35,0)</f>
        <v>0</v>
      </c>
      <c r="O105" s="20">
        <f>IF(AND(O$75&lt;'1 - Titoli e shock'!$B$11,$B$35&gt;O$74),PRICE(O$74,$B$35,'1 - Titoli e shock'!$C$22,2*((1+O91+F$5/100)^0.5-1),100,2,1)*$C$35,0)</f>
        <v>0</v>
      </c>
      <c r="P105" s="20">
        <f>IF(AND(P$75&lt;'1 - Titoli e shock'!$B$11,$B$35&gt;P$74),PRICE(P$74,$B$35,'1 - Titoli e shock'!$C$22,2*((1+P91+F$5/100)^0.5-1),100,2,1)*$C$35,0)</f>
        <v>0</v>
      </c>
      <c r="Q105" s="20">
        <f>IF(AND(Q$75&lt;'1 - Titoli e shock'!$B$11,$B$35&gt;Q$74),PRICE(Q$74,$B$35,'1 - Titoli e shock'!$C$22,2*((1+Q91+F$5/100)^0.5-1),100,2,1)*$C$35,0)</f>
        <v>0</v>
      </c>
      <c r="R105" s="20">
        <f>IF(AND(R$75&lt;'1 - Titoli e shock'!$B$11,$B$35&gt;R$74),PRICE(R$74,$B$35,'1 - Titoli e shock'!$C$22,2*((1+R91+F$5/100)^0.5-1),100,2,1)*$C$35,0)</f>
        <v>0</v>
      </c>
      <c r="S105" s="20">
        <f>IF(AND(S$75&lt;'1 - Titoli e shock'!$B$11,$B$35&gt;S$74),PRICE(S$74,$B$35,'1 - Titoli e shock'!$C$22,2*((1+S91+F$5/100)^0.5-1),100,2,1)*$C$35,0)</f>
        <v>0</v>
      </c>
      <c r="T105" s="20">
        <f>IF(AND(T$75&lt;'1 - Titoli e shock'!$B$11,$B$35&gt;T$74),PRICE(T$74,$B$35,'1 - Titoli e shock'!$C$22,2*((1+T91+F$5/100)^0.5-1),100,2,1)*$C$35,0)</f>
        <v>0</v>
      </c>
      <c r="U105" s="20">
        <f>IF(AND(U$75&lt;'1 - Titoli e shock'!$B$11,$B$35&gt;U$74),PRICE(U$74,$B$35,'1 - Titoli e shock'!$C$22,2*((1+U91+F$5/100)^0.5-1),100,2,1)*$C$35,0)</f>
        <v>0</v>
      </c>
    </row>
    <row r="106" spans="1:21">
      <c r="A106" s="22" t="str">
        <f t="shared" si="30"/>
        <v>BTP 3,00% ott 2029</v>
      </c>
      <c r="F106" s="20">
        <f>IF(AND(F$75&lt;'1 - Titoli e shock'!$B$11,$B$36&gt;F$74),'1 - Titoli e shock'!$E$23*$C$36,0)</f>
        <v>19969.855911255803</v>
      </c>
      <c r="G106" s="20">
        <f>IF(AND(G$75&lt;'1 - Titoli e shock'!$B$11,$B$36&gt;G$74),PRICE(G$74,$B$36,'1 - Titoli e shock'!$C$23,2*((1+G92+F$5/100)^0.5-1),100,2,1)*$C$36,0)</f>
        <v>20561.463663655803</v>
      </c>
      <c r="H106" s="20">
        <f>IF(AND(H$75&lt;'1 - Titoli e shock'!$B$11,$B$36&gt;H$74),PRICE(H$74,$B$36,'1 - Titoli e shock'!$C$23,2*((1+H92+F$5/100)^0.5-1),100,2,1)*$C$36,0)</f>
        <v>20476.558506203739</v>
      </c>
      <c r="I106" s="20">
        <f>IF(AND(I$75&lt;'1 - Titoli e shock'!$B$11,$B$36&gt;I$74),PRICE(I$74,$B$36,'1 - Titoli e shock'!$C$23,2*((1+I92+F$5/100)^0.5-1),100,2,1)*$C$36,0)</f>
        <v>0</v>
      </c>
      <c r="J106" s="20">
        <f>IF(AND(J$75&lt;'1 - Titoli e shock'!$B$11,$B$36&gt;J$74),PRICE(J$74,$B$36,'1 - Titoli e shock'!$C$23,2*((1+J92+F$5/100)^0.5-1),100,2,1)*$C$36,0)</f>
        <v>0</v>
      </c>
      <c r="K106" s="20">
        <f>IF(AND(K$75&lt;'1 - Titoli e shock'!$B$11,$B$36&gt;K$74),PRICE(K$74,$B$36,'1 - Titoli e shock'!$C$23,2*((1+K92+F$5/100)^0.5-1),100,2,1)*$C$36,0)</f>
        <v>0</v>
      </c>
      <c r="L106" s="20">
        <f>IF(AND(L$75&lt;'1 - Titoli e shock'!$B$11,$B$36&gt;L$74),PRICE(L$74,$B$36,'1 - Titoli e shock'!$C$23,2*((1+L92+F$5/100)^0.5-1),100,2,1)*$C$36,0)</f>
        <v>0</v>
      </c>
      <c r="M106" s="20">
        <f>IF(AND(M$75&lt;'1 - Titoli e shock'!$B$11,$B$36&gt;M$74),PRICE(M$74,$B$36,'1 - Titoli e shock'!$C$23,2*((1+M92+F$5/100)^0.5-1),100,2,1)*$C$36,0)</f>
        <v>0</v>
      </c>
      <c r="N106" s="20">
        <f>IF(AND(N$75&lt;'1 - Titoli e shock'!$B$11,$B$36&gt;N$74),PRICE(N$74,$B$36,'1 - Titoli e shock'!$C$23,2*((1+N92+F$5/100)^0.5-1),100,2,1)*$C$36,0)</f>
        <v>0</v>
      </c>
      <c r="O106" s="20">
        <f>IF(AND(O$75&lt;'1 - Titoli e shock'!$B$11,$B$36&gt;O$74),PRICE(O$74,$B$36,'1 - Titoli e shock'!$C$23,2*((1+O92+F$5/100)^0.5-1),100,2,1)*$C$36,0)</f>
        <v>0</v>
      </c>
      <c r="P106" s="20">
        <f>IF(AND(P$75&lt;'1 - Titoli e shock'!$B$11,$B$36&gt;P$74),PRICE(P$74,$B$36,'1 - Titoli e shock'!$C$23,2*((1+P92+F$5/100)^0.5-1),100,2,1)*$C$36,0)</f>
        <v>0</v>
      </c>
      <c r="Q106" s="20">
        <f>IF(AND(Q$75&lt;'1 - Titoli e shock'!$B$11,$B$36&gt;Q$74),PRICE(Q$74,$B$36,'1 - Titoli e shock'!$C$23,2*((1+Q92+F$5/100)^0.5-1),100,2,1)*$C$36,0)</f>
        <v>0</v>
      </c>
      <c r="R106" s="20">
        <f>IF(AND(R$75&lt;'1 - Titoli e shock'!$B$11,$B$36&gt;R$74),PRICE(R$74,$B$36,'1 - Titoli e shock'!$C$23,2*((1+R92+F$5/100)^0.5-1),100,2,1)*$C$36,0)</f>
        <v>0</v>
      </c>
      <c r="S106" s="20">
        <f>IF(AND(S$75&lt;'1 - Titoli e shock'!$B$11,$B$36&gt;S$74),PRICE(S$74,$B$36,'1 - Titoli e shock'!$C$23,2*((1+S92+F$5/100)^0.5-1),100,2,1)*$C$36,0)</f>
        <v>0</v>
      </c>
      <c r="T106" s="20">
        <f>IF(AND(T$75&lt;'1 - Titoli e shock'!$B$11,$B$36&gt;T$74),PRICE(T$74,$B$36,'1 - Titoli e shock'!$C$23,2*((1+T92+F$5/100)^0.5-1),100,2,1)*$C$36,0)</f>
        <v>0</v>
      </c>
      <c r="U106" s="20">
        <f>IF(AND(U$75&lt;'1 - Titoli e shock'!$B$11,$B$36&gt;U$74),PRICE(U$74,$B$36,'1 - Titoli e shock'!$C$23,2*((1+U92+F$5/100)^0.5-1),100,2,1)*$C$36,0)</f>
        <v>0</v>
      </c>
    </row>
    <row r="107" spans="1:21">
      <c r="A107" s="22" t="str">
        <f t="shared" si="30"/>
        <v>BTP 2,70% ott 2030</v>
      </c>
      <c r="F107" s="20">
        <f>IF(AND(F$75&lt;'1 - Titoli e shock'!$B$11,$B$37&gt;F$74),'1 - Titoli e shock'!$E$24*$C$37,0)</f>
        <v>19972.234251507405</v>
      </c>
      <c r="G107" s="20">
        <f>IF(AND(G$75&lt;'1 - Titoli e shock'!$B$11,$B$37&gt;G$74),PRICE(G$74,$B$37,'1 - Titoli e shock'!$C$24,2*((1+G93+F$5/100)^0.5-1),100,2,1)*$C$37,0)</f>
        <v>20833.810813338278</v>
      </c>
      <c r="H107" s="20">
        <f>IF(AND(H$75&lt;'1 - Titoli e shock'!$B$11,$B$37&gt;H$74),PRICE(H$74,$B$37,'1 - Titoli e shock'!$C$24,2*((1+H93+F$5/100)^0.5-1),100,2,1)*$C$37,0)</f>
        <v>20925.507284131989</v>
      </c>
      <c r="I107" s="20">
        <f>IF(AND(I$75&lt;'1 - Titoli e shock'!$B$11,$B$37&gt;I$74),PRICE(I$74,$B$37,'1 - Titoli e shock'!$C$24,2*((1+I93+F$5/100)^0.5-1),100,2,1)*$C$37,0)</f>
        <v>20898.275632538509</v>
      </c>
      <c r="J107" s="20">
        <f>IF(AND(J$75&lt;'1 - Titoli e shock'!$B$11,$B$37&gt;J$74),PRICE(J$74,$B$37,'1 - Titoli e shock'!$C$24,2*((1+J93+F$5/100)^0.5-1),100,2,1)*$C$37,0)</f>
        <v>0</v>
      </c>
      <c r="K107" s="20">
        <f>IF(AND(K$75&lt;'1 - Titoli e shock'!$B$11,$B$37&gt;K$74),PRICE(K$74,$B$37,'1 - Titoli e shock'!$C$24,2*((1+K93+F$5/100)^0.5-1),100,2,1)*$C$37,0)</f>
        <v>0</v>
      </c>
      <c r="L107" s="20">
        <f>IF(AND(L$75&lt;'1 - Titoli e shock'!$B$11,$B$37&gt;L$74),PRICE(L$74,$B$37,'1 - Titoli e shock'!$C$24,2*((1+L93+F$5/100)^0.5-1),100,2,1)*$C$37,0)</f>
        <v>0</v>
      </c>
      <c r="M107" s="20">
        <f>IF(AND(M$75&lt;'1 - Titoli e shock'!$B$11,$B$37&gt;M$74),PRICE(M$74,$B$37,'1 - Titoli e shock'!$C$24,2*((1+M93+F$5/100)^0.5-1),100,2,1)*$C$37,0)</f>
        <v>0</v>
      </c>
      <c r="N107" s="20">
        <f>IF(AND(N$75&lt;'1 - Titoli e shock'!$B$11,$B$37&gt;N$74),PRICE(N$74,$B$37,'1 - Titoli e shock'!$C$24,2*((1+N93+F$5/100)^0.5-1),100,2,1)*$C$37,0)</f>
        <v>0</v>
      </c>
      <c r="O107" s="20">
        <f>IF(AND(O$75&lt;'1 - Titoli e shock'!$B$11,$B$37&gt;O$74),PRICE(O$74,$B$37,'1 - Titoli e shock'!$C$24,2*((1+O93+F$5/100)^0.5-1),100,2,1)*$C$37,0)</f>
        <v>0</v>
      </c>
      <c r="P107" s="20">
        <f>IF(AND(P$75&lt;'1 - Titoli e shock'!$B$11,$B$37&gt;P$74),PRICE(P$74,$B$37,'1 - Titoli e shock'!$C$24,2*((1+P93+F$5/100)^0.5-1),100,2,1)*$C$37,0)</f>
        <v>0</v>
      </c>
      <c r="Q107" s="20">
        <f>IF(AND(Q$75&lt;'1 - Titoli e shock'!$B$11,$B$37&gt;Q$74),PRICE(Q$74,$B$37,'1 - Titoli e shock'!$C$24,2*((1+Q93+F$5/100)^0.5-1),100,2,1)*$C$37,0)</f>
        <v>0</v>
      </c>
      <c r="R107" s="20">
        <f>IF(AND(R$75&lt;'1 - Titoli e shock'!$B$11,$B$37&gt;R$74),PRICE(R$74,$B$37,'1 - Titoli e shock'!$C$24,2*((1+R93+F$5/100)^0.5-1),100,2,1)*$C$37,0)</f>
        <v>0</v>
      </c>
      <c r="S107" s="20">
        <f>IF(AND(S$75&lt;'1 - Titoli e shock'!$B$11,$B$37&gt;S$74),PRICE(S$74,$B$37,'1 - Titoli e shock'!$C$24,2*((1+S93+F$5/100)^0.5-1),100,2,1)*$C$37,0)</f>
        <v>0</v>
      </c>
      <c r="T107" s="20">
        <f>IF(AND(T$75&lt;'1 - Titoli e shock'!$B$11,$B$37&gt;T$74),PRICE(T$74,$B$37,'1 - Titoli e shock'!$C$24,2*((1+T93+F$5/100)^0.5-1),100,2,1)*$C$37,0)</f>
        <v>0</v>
      </c>
      <c r="U107" s="20">
        <f>IF(AND(U$75&lt;'1 - Titoli e shock'!$B$11,$B$37&gt;U$74),PRICE(U$74,$B$37,'1 - Titoli e shock'!$C$24,2*((1+U93+F$5/100)^0.5-1),100,2,1)*$C$37,0)</f>
        <v>0</v>
      </c>
    </row>
    <row r="108" spans="1:21">
      <c r="A108" s="22" t="str">
        <f t="shared" si="30"/>
        <v>BTP 3,15% nov 2031</v>
      </c>
      <c r="F108" s="20">
        <f>IF(AND(F$75&lt;'1 - Titoli e shock'!$B$11,$B$38&gt;F$74),'1 - Titoli e shock'!$E$25*$C$38,0)</f>
        <v>19725.468328937292</v>
      </c>
      <c r="G108" s="20">
        <f>IF(AND(G$75&lt;'1 - Titoli e shock'!$B$11,$B$38&gt;G$74),PRICE(G$74,$B$38,'1 - Titoli e shock'!$C$25,2*((1+G94+F$5/100)^0.5-1),100,2,1)*$C$38,0)</f>
        <v>20687.721092697702</v>
      </c>
      <c r="H108" s="20">
        <f>IF(AND(H$75&lt;'1 - Titoli e shock'!$B$11,$B$38&gt;H$74),PRICE(H$74,$B$38,'1 - Titoli e shock'!$C$25,2*((1+H94+F$5/100)^0.5-1),100,2,1)*$C$38,0)</f>
        <v>20724.292604162518</v>
      </c>
      <c r="I108" s="20">
        <f>IF(AND(I$75&lt;'1 - Titoli e shock'!$B$11,$B$38&gt;I$74),PRICE(I$74,$B$38,'1 - Titoli e shock'!$C$25,2*((1+I94+F$5/100)^0.5-1),100,2,1)*$C$38,0)</f>
        <v>20737.812918464329</v>
      </c>
      <c r="J108" s="20">
        <f>IF(AND(J$75&lt;'1 - Titoli e shock'!$B$11,$B$38&gt;J$74),PRICE(J$74,$B$38,'1 - Titoli e shock'!$C$25,2*((1+J94+F$5/100)^0.5-1),100,2,1)*$C$38,0)</f>
        <v>20634.920981586169</v>
      </c>
      <c r="K108" s="20">
        <f>IF(AND(K$75&lt;'1 - Titoli e shock'!$B$11,$B$38&gt;K$74),PRICE(K$74,$B$38,'1 - Titoli e shock'!$C$25,2*((1+K94+F$5/100)^0.5-1),100,2,1)*$C$38,0)</f>
        <v>20442.389917867287</v>
      </c>
      <c r="L108" s="20">
        <f>IF(AND(L$75&lt;'1 - Titoli e shock'!$B$11,$B$38&gt;L$74),PRICE(L$74,$B$38,'1 - Titoli e shock'!$C$25,2*((1+L94+F$5/100)^0.5-1),100,2,1)*$C$38,0)</f>
        <v>0</v>
      </c>
      <c r="M108" s="20">
        <f>IF(AND(M$75&lt;'1 - Titoli e shock'!$B$11,$B$38&gt;M$74),PRICE(M$74,$B$38,'1 - Titoli e shock'!$C$25,2*((1+M94+F$5/100)^0.5-1),100,2,1)*$C$38,0)</f>
        <v>0</v>
      </c>
      <c r="N108" s="20">
        <f>IF(AND(N$75&lt;'1 - Titoli e shock'!$B$11,$B$38&gt;N$74),PRICE(N$74,$B$38,'1 - Titoli e shock'!$C$25,2*((1+N94+F$5/100)^0.5-1),100,2,1)*$C$38,0)</f>
        <v>0</v>
      </c>
      <c r="O108" s="20">
        <f>IF(AND(O$75&lt;'1 - Titoli e shock'!$B$11,$B$38&gt;O$74),PRICE(O$74,$B$38,'1 - Titoli e shock'!$C$25,2*((1+O94+F$5/100)^0.5-1),100,2,1)*$C$38,0)</f>
        <v>0</v>
      </c>
      <c r="P108" s="20">
        <f>IF(AND(P$75&lt;'1 - Titoli e shock'!$B$11,$B$38&gt;P$74),PRICE(P$74,$B$38,'1 - Titoli e shock'!$C$25,2*((1+P94+F$5/100)^0.5-1),100,2,1)*$C$38,0)</f>
        <v>0</v>
      </c>
      <c r="Q108" s="20">
        <f>IF(AND(Q$75&lt;'1 - Titoli e shock'!$B$11,$B$38&gt;Q$74),PRICE(Q$74,$B$38,'1 - Titoli e shock'!$C$25,2*((1+Q94+F$5/100)^0.5-1),100,2,1)*$C$38,0)</f>
        <v>0</v>
      </c>
      <c r="R108" s="20">
        <f>IF(AND(R$75&lt;'1 - Titoli e shock'!$B$11,$B$38&gt;R$74),PRICE(R$74,$B$38,'1 - Titoli e shock'!$C$25,2*((1+R94+F$5/100)^0.5-1),100,2,1)*$C$38,0)</f>
        <v>0</v>
      </c>
      <c r="S108" s="20">
        <f>IF(AND(S$75&lt;'1 - Titoli e shock'!$B$11,$B$38&gt;S$74),PRICE(S$74,$B$38,'1 - Titoli e shock'!$C$25,2*((1+S94+F$5/100)^0.5-1),100,2,1)*$C$38,0)</f>
        <v>0</v>
      </c>
      <c r="T108" s="20">
        <f>IF(AND(T$75&lt;'1 - Titoli e shock'!$B$11,$B$38&gt;T$74),PRICE(T$74,$B$38,'1 - Titoli e shock'!$C$25,2*((1+T94+F$5/100)^0.5-1),100,2,1)*$C$38,0)</f>
        <v>0</v>
      </c>
      <c r="U108" s="20">
        <f>IF(AND(U$75&lt;'1 - Titoli e shock'!$B$11,$B$38&gt;U$74),PRICE(U$74,$B$38,'1 - Titoli e shock'!$C$25,2*((1+U94+F$5/100)^0.5-1),100,2,1)*$C$38,0)</f>
        <v>0</v>
      </c>
    </row>
    <row r="109" spans="1:21">
      <c r="A109" s="22" t="str">
        <f t="shared" si="30"/>
        <v>BTP 3,25% nov 2032</v>
      </c>
      <c r="F109" s="20">
        <f>IF(AND(F$75&lt;'1 - Titoli e shock'!$B$11,$B$39&gt;F$74),'1 - Titoli e shock'!$E$26*$C$39,0)</f>
        <v>19714.955679169416</v>
      </c>
      <c r="G109" s="20">
        <f>IF(AND(G$75&lt;'1 - Titoli e shock'!$B$11,$B$39&gt;G$74),PRICE(G$74,$B$39,'1 - Titoli e shock'!$C$26,2*((1+G95+F$5/100)^0.5-1),100,2,1)*$C$39,0)</f>
        <v>20874.648326992046</v>
      </c>
      <c r="H109" s="20">
        <f>IF(AND(H$75&lt;'1 - Titoli e shock'!$B$11,$B$39&gt;H$74),PRICE(H$74,$B$39,'1 - Titoli e shock'!$C$26,2*((1+H95+F$5/100)^0.5-1),100,2,1)*$C$39,0)</f>
        <v>20897.579217218801</v>
      </c>
      <c r="I109" s="20">
        <f>IF(AND(I$75&lt;'1 - Titoli e shock'!$B$11,$B$39&gt;I$74),PRICE(I$74,$B$39,'1 - Titoli e shock'!$C$26,2*((1+I95+F$5/100)^0.5-1),100,2,1)*$C$39,0)</f>
        <v>20915.796911581972</v>
      </c>
      <c r="J109" s="20">
        <f>IF(AND(J$75&lt;'1 - Titoli e shock'!$B$11,$B$39&gt;J$74),PRICE(J$74,$B$39,'1 - Titoli e shock'!$C$26,2*((1+J95+F$5/100)^0.5-1),100,2,1)*$C$39,0)</f>
        <v>20910.504195538233</v>
      </c>
      <c r="K109" s="20">
        <f>IF(AND(K$75&lt;'1 - Titoli e shock'!$B$11,$B$39&gt;K$74),PRICE(K$74,$B$39,'1 - Titoli e shock'!$C$26,2*((1+K95+F$5/100)^0.5-1),100,2,1)*$C$39,0)</f>
        <v>20787.422174679206</v>
      </c>
      <c r="L109" s="20">
        <f>IF(AND(L$75&lt;'1 - Titoli e shock'!$B$11,$B$39&gt;L$74),PRICE(L$74,$B$39,'1 - Titoli e shock'!$C$26,2*((1+L95+F$5/100)^0.5-1),100,2,1)*$C$39,0)</f>
        <v>20573.600148639198</v>
      </c>
      <c r="M109" s="20">
        <f>IF(AND(M$75&lt;'1 - Titoli e shock'!$B$11,$B$39&gt;M$74),PRICE(M$74,$B$39,'1 - Titoli e shock'!$C$26,2*((1+M95+F$5/100)^0.5-1),100,2,1)*$C$39,0)</f>
        <v>0</v>
      </c>
      <c r="N109" s="20">
        <f>IF(AND(N$75&lt;'1 - Titoli e shock'!$B$11,$B$39&gt;N$74),PRICE(N$74,$B$39,'1 - Titoli e shock'!$C$26,2*((1+N95+F$5/100)^0.5-1),100,2,1)*$C$39,0)</f>
        <v>0</v>
      </c>
      <c r="O109" s="20">
        <f>IF(AND(O$75&lt;'1 - Titoli e shock'!$B$11,$B$39&gt;O$74),PRICE(O$74,$B$39,'1 - Titoli e shock'!$C$26,2*((1+O95+F$5/100)^0.5-1),100,2,1)*$C$39,0)</f>
        <v>0</v>
      </c>
      <c r="P109" s="20">
        <f>IF(AND(P$75&lt;'1 - Titoli e shock'!$B$11,$B$39&gt;P$74),PRICE(P$74,$B$39,'1 - Titoli e shock'!$C$26,2*((1+P95+F$5/100)^0.5-1),100,2,1)*$C$39,0)</f>
        <v>0</v>
      </c>
      <c r="Q109" s="20">
        <f>IF(AND(Q$75&lt;'1 - Titoli e shock'!$B$11,$B$39&gt;Q$74),PRICE(Q$74,$B$39,'1 - Titoli e shock'!$C$26,2*((1+Q95+F$5/100)^0.5-1),100,2,1)*$C$39,0)</f>
        <v>0</v>
      </c>
      <c r="R109" s="20">
        <f>IF(AND(R$75&lt;'1 - Titoli e shock'!$B$11,$B$39&gt;R$74),PRICE(R$74,$B$39,'1 - Titoli e shock'!$C$26,2*((1+R95+F$5/100)^0.5-1),100,2,1)*$C$39,0)</f>
        <v>0</v>
      </c>
      <c r="S109" s="20">
        <f>IF(AND(S$75&lt;'1 - Titoli e shock'!$B$11,$B$39&gt;S$74),PRICE(S$74,$B$39,'1 - Titoli e shock'!$C$26,2*((1+S95+F$5/100)^0.5-1),100,2,1)*$C$39,0)</f>
        <v>0</v>
      </c>
      <c r="T109" s="20">
        <f>IF(AND(T$75&lt;'1 - Titoli e shock'!$B$11,$B$39&gt;T$74),PRICE(T$74,$B$39,'1 - Titoli e shock'!$C$26,2*((1+T95+F$5/100)^0.5-1),100,2,1)*$C$39,0)</f>
        <v>0</v>
      </c>
      <c r="U109" s="20">
        <f>IF(AND(U$75&lt;'1 - Titoli e shock'!$B$11,$B$39&gt;U$74),PRICE(U$74,$B$39,'1 - Titoli e shock'!$C$26,2*((1+U95+F$5/100)^0.5-1),100,2,1)*$C$39,0)</f>
        <v>0</v>
      </c>
    </row>
    <row r="110" spans="1:21">
      <c r="A110" s="22" t="str">
        <f t="shared" si="30"/>
        <v>BTP 4,35% nov 2033</v>
      </c>
      <c r="F110" s="20">
        <f>IF(AND(F$75&lt;'1 - Titoli e shock'!$B$11,$B$40&gt;F$74),'1 - Titoli e shock'!$E$27*$C$40,0)</f>
        <v>19608.425910060352</v>
      </c>
      <c r="G110" s="20">
        <f>IF(AND(G$75&lt;'1 - Titoli e shock'!$B$11,$B$40&gt;G$74),PRICE(G$74,$B$40,'1 - Titoli e shock'!$C$27,2*((1+G96+F$5/100)^0.5-1),100,2,1)*$C$40,0)</f>
        <v>20772.557432627149</v>
      </c>
      <c r="H110" s="20">
        <f>IF(AND(H$75&lt;'1 - Titoli e shock'!$B$11,$B$40&gt;H$74),PRICE(H$74,$B$40,'1 - Titoli e shock'!$C$27,2*((1+H96+F$5/100)^0.5-1),100,2,1)*$C$40,0)</f>
        <v>20663.746916820706</v>
      </c>
      <c r="I110" s="20">
        <f>IF(AND(I$75&lt;'1 - Titoli e shock'!$B$11,$B$40&gt;I$74),PRICE(I$74,$B$40,'1 - Titoli e shock'!$C$27,2*((1+I96+F$5/100)^0.5-1),100,2,1)*$C$40,0)</f>
        <v>20499.95995792577</v>
      </c>
      <c r="J110" s="20">
        <f>IF(AND(J$75&lt;'1 - Titoli e shock'!$B$11,$B$40&gt;J$74),PRICE(J$74,$B$40,'1 - Titoli e shock'!$C$27,2*((1+J96+F$5/100)^0.5-1),100,2,1)*$C$40,0)</f>
        <v>20326.7332573491</v>
      </c>
      <c r="K110" s="20">
        <f>IF(AND(K$75&lt;'1 - Titoli e shock'!$B$11,$B$40&gt;K$74),PRICE(K$74,$B$40,'1 - Titoli e shock'!$C$27,2*((1+K96+F$5/100)^0.5-1),100,2,1)*$C$40,0)</f>
        <v>20122.481359597092</v>
      </c>
      <c r="L110" s="20">
        <f>IF(AND(L$75&lt;'1 - Titoli e shock'!$B$11,$B$40&gt;L$74),PRICE(L$74,$B$40,'1 - Titoli e shock'!$C$27,2*((1+L96+F$5/100)^0.5-1),100,2,1)*$C$40,0)</f>
        <v>19799.576237856072</v>
      </c>
      <c r="M110" s="20">
        <f>IF(AND(M$75&lt;'1 - Titoli e shock'!$B$11,$B$40&gt;M$74),PRICE(M$74,$B$40,'1 - Titoli e shock'!$C$27,2*((1+M96+F$5/100)^0.5-1),100,2,1)*$C$40,0)</f>
        <v>19386.676671337758</v>
      </c>
      <c r="N110" s="20">
        <f>IF(AND(N$75&lt;'1 - Titoli e shock'!$B$11,$B$40&gt;N$74),PRICE(N$74,$B$40,'1 - Titoli e shock'!$C$27,2*((1+N96+F$5/100)^0.5-1),100,2,1)*$C$40,0)</f>
        <v>0</v>
      </c>
      <c r="O110" s="20">
        <f>IF(AND(O$75&lt;'1 - Titoli e shock'!$B$11,$B$40&gt;O$74),PRICE(O$74,$B$40,'1 - Titoli e shock'!$C$27,2*((1+O96+F$5/100)^0.5-1),100,2,1)*$C$40,0)</f>
        <v>0</v>
      </c>
      <c r="P110" s="20">
        <f>IF(AND(P$75&lt;'1 - Titoli e shock'!$B$11,$B$40&gt;P$74),PRICE(P$74,$B$40,'1 - Titoli e shock'!$C$27,2*((1+P96+F$5/100)^0.5-1),100,2,1)*$C$40,0)</f>
        <v>0</v>
      </c>
      <c r="Q110" s="20">
        <f>IF(AND(Q$75&lt;'1 - Titoli e shock'!$B$11,$B$40&gt;Q$74),PRICE(Q$74,$B$40,'1 - Titoli e shock'!$C$27,2*((1+Q96+F$5/100)^0.5-1),100,2,1)*$C$40,0)</f>
        <v>0</v>
      </c>
      <c r="R110" s="20">
        <f>IF(AND(R$75&lt;'1 - Titoli e shock'!$B$11,$B$40&gt;R$74),PRICE(R$74,$B$40,'1 - Titoli e shock'!$C$27,2*((1+R96+F$5/100)^0.5-1),100,2,1)*$C$40,0)</f>
        <v>0</v>
      </c>
      <c r="S110" s="20">
        <f>IF(AND(S$75&lt;'1 - Titoli e shock'!$B$11,$B$40&gt;S$74),PRICE(S$74,$B$40,'1 - Titoli e shock'!$C$27,2*((1+S96+F$5/100)^0.5-1),100,2,1)*$C$40,0)</f>
        <v>0</v>
      </c>
      <c r="T110" s="20">
        <f>IF(AND(T$75&lt;'1 - Titoli e shock'!$B$11,$B$40&gt;T$74),PRICE(T$74,$B$40,'1 - Titoli e shock'!$C$27,2*((1+T96+F$5/100)^0.5-1),100,2,1)*$C$40,0)</f>
        <v>0</v>
      </c>
      <c r="U110" s="20">
        <f>IF(AND(U$75&lt;'1 - Titoli e shock'!$B$11,$B$40&gt;U$74),PRICE(U$74,$B$40,'1 - Titoli e shock'!$C$27,2*((1+U96+F$5/100)^0.5-1),100,2,1)*$C$40,0)</f>
        <v>0</v>
      </c>
    </row>
    <row r="111" spans="1:21">
      <c r="A111" s="22" t="str">
        <f t="shared" si="30"/>
        <v>BTP 3,85% feb 2035</v>
      </c>
      <c r="F111" s="20">
        <f>IF(AND(F$75&lt;'1 - Titoli e shock'!$B$11,$B$41&gt;F$74),'1 - Titoli e shock'!$E$28*$C$41,0)</f>
        <v>19830.872885528777</v>
      </c>
      <c r="G111" s="20">
        <f>IF(AND(G$75&lt;'1 - Titoli e shock'!$B$11,$B$41&gt;G$74),PRICE(G$74,$B$41,'1 - Titoli e shock'!$C$28,2*((1+G97+F$5/100)^0.5-1),100,2,1)*$C$41,0)</f>
        <v>21326.069639158606</v>
      </c>
      <c r="H111" s="20">
        <f>IF(AND(H$75&lt;'1 - Titoli e shock'!$B$11,$B$41&gt;H$74),PRICE(H$74,$B$41,'1 - Titoli e shock'!$C$28,2*((1+H97+F$5/100)^0.5-1),100,2,1)*$C$41,0)</f>
        <v>21376.499926560384</v>
      </c>
      <c r="I111" s="20">
        <f>IF(AND(I$75&lt;'1 - Titoli e shock'!$B$11,$B$41&gt;I$74),PRICE(I$74,$B$41,'1 - Titoli e shock'!$C$28,2*((1+I97+F$5/100)^0.5-1),100,2,1)*$C$41,0)</f>
        <v>21363.142922750478</v>
      </c>
      <c r="J111" s="20">
        <f>IF(AND(J$75&lt;'1 - Titoli e shock'!$B$11,$B$41&gt;J$74),PRICE(J$74,$B$41,'1 - Titoli e shock'!$C$28,2*((1+J97+F$5/100)^0.5-1),100,2,1)*$C$41,0)</f>
        <v>21291.446357513974</v>
      </c>
      <c r="K111" s="20">
        <f>IF(AND(K$75&lt;'1 - Titoli e shock'!$B$11,$B$41&gt;K$74),PRICE(K$74,$B$41,'1 - Titoli e shock'!$C$28,2*((1+K97+F$5/100)^0.5-1),100,2,1)*$C$41,0)</f>
        <v>21202.808507491867</v>
      </c>
      <c r="L111" s="20">
        <f>IF(AND(L$75&lt;'1 - Titoli e shock'!$B$11,$B$41&gt;L$74),PRICE(L$74,$B$41,'1 - Titoli e shock'!$C$28,2*((1+L97+F$5/100)^0.5-1),100,2,1)*$C$41,0)</f>
        <v>21094.909394818176</v>
      </c>
      <c r="M111" s="20">
        <f>IF(AND(M$75&lt;'1 - Titoli e shock'!$B$11,$B$41&gt;M$74),PRICE(M$74,$B$41,'1 - Titoli e shock'!$C$28,2*((1+M97+F$5/100)^0.5-1),100,2,1)*$C$41,0)</f>
        <v>20879.371962200752</v>
      </c>
      <c r="N111" s="20">
        <f>IF(AND(N$75&lt;'1 - Titoli e shock'!$B$11,$B$41&gt;N$74),PRICE(N$74,$B$41,'1 - Titoli e shock'!$C$28,2*((1+N97+F$5/100)^0.5-1),100,2,1)*$C$41,0)</f>
        <v>20559.487472971952</v>
      </c>
      <c r="O111" s="20">
        <f>IF(AND(O$75&lt;'1 - Titoli e shock'!$B$11,$B$41&gt;O$74),PRICE(O$74,$B$41,'1 - Titoli e shock'!$C$28,2*((1+O97+F$5/100)^0.5-1),100,2,1)*$C$41,0)</f>
        <v>0</v>
      </c>
      <c r="P111" s="20">
        <f>IF(AND(P$75&lt;'1 - Titoli e shock'!$B$11,$B$41&gt;P$74),PRICE(P$74,$B$41,'1 - Titoli e shock'!$C$28,2*((1+P97+F$5/100)^0.5-1),100,2,1)*$C$41,0)</f>
        <v>0</v>
      </c>
      <c r="Q111" s="20">
        <f>IF(AND(Q$75&lt;'1 - Titoli e shock'!$B$11,$B$41&gt;Q$74),PRICE(Q$74,$B$41,'1 - Titoli e shock'!$C$28,2*((1+Q97+F$5/100)^0.5-1),100,2,1)*$C$41,0)</f>
        <v>0</v>
      </c>
      <c r="R111" s="20">
        <f>IF(AND(R$75&lt;'1 - Titoli e shock'!$B$11,$B$41&gt;R$74),PRICE(R$74,$B$41,'1 - Titoli e shock'!$C$28,2*((1+R97+F$5/100)^0.5-1),100,2,1)*$C$41,0)</f>
        <v>0</v>
      </c>
      <c r="S111" s="20">
        <f>IF(AND(S$75&lt;'1 - Titoli e shock'!$B$11,$B$41&gt;S$74),PRICE(S$74,$B$41,'1 - Titoli e shock'!$C$28,2*((1+S97+F$5/100)^0.5-1),100,2,1)*$C$41,0)</f>
        <v>0</v>
      </c>
      <c r="T111" s="20">
        <f>IF(AND(T$75&lt;'1 - Titoli e shock'!$B$11,$B$41&gt;T$74),PRICE(T$74,$B$41,'1 - Titoli e shock'!$C$28,2*((1+T97+F$5/100)^0.5-1),100,2,1)*$C$41,0)</f>
        <v>0</v>
      </c>
      <c r="U111" s="20">
        <f>IF(AND(U$75&lt;'1 - Titoli e shock'!$B$11,$B$41&gt;U$74),PRICE(U$74,$B$41,'1 - Titoli e shock'!$C$28,2*((1+U97+F$5/100)^0.5-1),100,2,1)*$C$41,0)</f>
        <v>0</v>
      </c>
    </row>
    <row r="112" spans="1:21">
      <c r="A112" s="22" t="str">
        <f t="shared" si="30"/>
        <v>BTP 3,60% ott 2035</v>
      </c>
      <c r="F112" s="20">
        <f>IF(AND(F$75&lt;'1 - Titoli e shock'!$B$11,$B$42&gt;F$74),'1 - Titoli e shock'!$E$29*$C$42,0)</f>
        <v>19962.394233782514</v>
      </c>
      <c r="G112" s="20">
        <f>IF(AND(G$75&lt;'1 - Titoli e shock'!$B$11,$B$42&gt;G$74),PRICE(G$74,$B$42,'1 - Titoli e shock'!$C$29,2*((1+G98+F$5/100)^0.5-1),100,2,1)*$C$42,0)</f>
        <v>21601.083860607709</v>
      </c>
      <c r="H112" s="20">
        <f>IF(AND(H$75&lt;'1 - Titoli e shock'!$B$11,$B$42&gt;H$74),PRICE(H$74,$B$42,'1 - Titoli e shock'!$C$29,2*((1+H98+F$5/100)^0.5-1),100,2,1)*$C$42,0)</f>
        <v>21707.884199600983</v>
      </c>
      <c r="I112" s="20">
        <f>IF(AND(I$75&lt;'1 - Titoli e shock'!$B$11,$B$42&gt;I$74),PRICE(I$74,$B$42,'1 - Titoli e shock'!$C$29,2*((1+I98+F$5/100)^0.5-1),100,2,1)*$C$42,0)</f>
        <v>21786.604622112667</v>
      </c>
      <c r="J112" s="20">
        <f>IF(AND(J$75&lt;'1 - Titoli e shock'!$B$11,$B$42&gt;J$74),PRICE(J$74,$B$42,'1 - Titoli e shock'!$C$29,2*((1+J98+F$5/100)^0.5-1),100,2,1)*$C$42,0)</f>
        <v>21793.815349895238</v>
      </c>
      <c r="K112" s="20">
        <f>IF(AND(K$75&lt;'1 - Titoli e shock'!$B$11,$B$42&gt;K$74),PRICE(K$74,$B$42,'1 - Titoli e shock'!$C$29,2*((1+K98+F$5/100)^0.5-1),100,2,1)*$C$42,0)</f>
        <v>21748.211954410541</v>
      </c>
      <c r="L112" s="20">
        <f>IF(AND(L$75&lt;'1 - Titoli e shock'!$B$11,$B$42&gt;L$74),PRICE(L$74,$B$42,'1 - Titoli e shock'!$C$29,2*((1+L98+F$5/100)^0.5-1),100,2,1)*$C$42,0)</f>
        <v>21699.602681944492</v>
      </c>
      <c r="M112" s="20">
        <f>IF(AND(M$75&lt;'1 - Titoli e shock'!$B$11,$B$42&gt;M$74),PRICE(M$74,$B$42,'1 - Titoli e shock'!$C$29,2*((1+M98+F$5/100)^0.5-1),100,2,1)*$C$42,0)</f>
        <v>21616.298313663352</v>
      </c>
      <c r="N112" s="20">
        <f>IF(AND(N$75&lt;'1 - Titoli e shock'!$B$11,$B$42&gt;N$74),PRICE(N$74,$B$42,'1 - Titoli e shock'!$C$29,2*((1+N98+F$5/100)^0.5-1),100,2,1)*$C$42,0)</f>
        <v>21406.239264424457</v>
      </c>
      <c r="O112" s="20">
        <f>IF(AND(O$75&lt;'1 - Titoli e shock'!$B$11,$B$42&gt;O$74),PRICE(O$74,$B$42,'1 - Titoli e shock'!$C$29,2*((1+O98+F$5/100)^0.5-1),100,2,1)*$C$42,0)</f>
        <v>0</v>
      </c>
      <c r="P112" s="20">
        <f>IF(AND(P$75&lt;'1 - Titoli e shock'!$B$11,$B$42&gt;P$74),PRICE(P$74,$B$42,'1 - Titoli e shock'!$C$29,2*((1+P98+F$5/100)^0.5-1),100,2,1)*$C$42,0)</f>
        <v>0</v>
      </c>
      <c r="Q112" s="20">
        <f>IF(AND(Q$75&lt;'1 - Titoli e shock'!$B$11,$B$42&gt;Q$74),PRICE(Q$74,$B$42,'1 - Titoli e shock'!$C$29,2*((1+Q98+F$5/100)^0.5-1),100,2,1)*$C$42,0)</f>
        <v>0</v>
      </c>
      <c r="R112" s="20">
        <f>IF(AND(R$75&lt;'1 - Titoli e shock'!$B$11,$B$42&gt;R$74),PRICE(R$74,$B$42,'1 - Titoli e shock'!$C$29,2*((1+R98+F$5/100)^0.5-1),100,2,1)*$C$42,0)</f>
        <v>0</v>
      </c>
      <c r="S112" s="20">
        <f>IF(AND(S$75&lt;'1 - Titoli e shock'!$B$11,$B$42&gt;S$74),PRICE(S$74,$B$42,'1 - Titoli e shock'!$C$29,2*((1+S98+F$5/100)^0.5-1),100,2,1)*$C$42,0)</f>
        <v>0</v>
      </c>
      <c r="T112" s="20">
        <f>IF(AND(T$75&lt;'1 - Titoli e shock'!$B$11,$B$42&gt;T$74),PRICE(T$74,$B$42,'1 - Titoli e shock'!$C$29,2*((1+T98+F$5/100)^0.5-1),100,2,1)*$C$42,0)</f>
        <v>0</v>
      </c>
      <c r="U112" s="20">
        <f>IF(AND(U$75&lt;'1 - Titoli e shock'!$B$11,$B$42&gt;U$74),PRICE(U$74,$B$42,'1 - Titoli e shock'!$C$29,2*((1+U98+F$5/100)^0.5-1),100,2,1)*$C$42,0)</f>
        <v>0</v>
      </c>
    </row>
    <row r="113" spans="1:21">
      <c r="A113" s="22" t="str">
        <f t="shared" si="30"/>
        <v>BTP 4,00% ott 2036</v>
      </c>
      <c r="F113" s="20">
        <f>IF(AND(F$75&lt;'1 - Titoli e shock'!$B$11,$B$43&gt;F$74),'1 - Titoli e shock'!$E$30*$C$43,0)</f>
        <v>19959.088584578669</v>
      </c>
      <c r="G113" s="20">
        <f>IF(AND(G$75&lt;'1 - Titoli e shock'!$B$11,$B$43&gt;G$74),PRICE(G$74,$B$43,'1 - Titoli e shock'!$C$30,2*((1+G99+F$5/100)^0.5-1),100,2,1)*$C$43,0)</f>
        <v>21686.723692263651</v>
      </c>
      <c r="H113" s="20">
        <f>IF(AND(H$75&lt;'1 - Titoli e shock'!$B$11,$B$43&gt;H$74),PRICE(H$74,$B$43,'1 - Titoli e shock'!$C$30,2*((1+H99+F$5/100)^0.5-1),100,2,1)*$C$43,0)</f>
        <v>21724.837044265052</v>
      </c>
      <c r="I113" s="20">
        <f>IF(AND(I$75&lt;'1 - Titoli e shock'!$B$11,$B$43&gt;I$74),PRICE(I$74,$B$43,'1 - Titoli e shock'!$C$30,2*((1+I99+F$5/100)^0.5-1),100,2,1)*$C$43,0)</f>
        <v>21766.696588162675</v>
      </c>
      <c r="J113" s="20">
        <f>IF(AND(J$75&lt;'1 - Titoli e shock'!$B$11,$B$43&gt;J$74),PRICE(J$74,$B$43,'1 - Titoli e shock'!$C$30,2*((1+J99+F$5/100)^0.5-1),100,2,1)*$C$43,0)</f>
        <v>21778.671554073768</v>
      </c>
      <c r="K113" s="20">
        <f>IF(AND(K$75&lt;'1 - Titoli e shock'!$B$11,$B$43&gt;K$74),PRICE(K$74,$B$43,'1 - Titoli e shock'!$C$30,2*((1+K99+F$5/100)^0.5-1),100,2,1)*$C$43,0)</f>
        <v>21717.249688066579</v>
      </c>
      <c r="L113" s="20">
        <f>IF(AND(L$75&lt;'1 - Titoli e shock'!$B$11,$B$43&gt;L$74),PRICE(L$74,$B$43,'1 - Titoli e shock'!$C$30,2*((1+L99+F$5/100)^0.5-1),100,2,1)*$C$43,0)</f>
        <v>21601.226602778563</v>
      </c>
      <c r="M113" s="20">
        <f>IF(AND(M$75&lt;'1 - Titoli e shock'!$B$11,$B$43&gt;M$74),PRICE(M$74,$B$43,'1 - Titoli e shock'!$C$30,2*((1+M99+F$5/100)^0.5-1),100,2,1)*$C$43,0)</f>
        <v>21479.261796786308</v>
      </c>
      <c r="N113" s="20">
        <f>IF(AND(N$75&lt;'1 - Titoli e shock'!$B$11,$B$43&gt;N$74),PRICE(N$74,$B$43,'1 - Titoli e shock'!$C$30,2*((1+N99+F$5/100)^0.5-1),100,2,1)*$C$43,0)</f>
        <v>21321.332791806479</v>
      </c>
      <c r="O113" s="20">
        <f>IF(AND(O$75&lt;'1 - Titoli e shock'!$B$11,$B$43&gt;O$74),PRICE(O$74,$B$43,'1 - Titoli e shock'!$C$30,2*((1+O99+F$5/100)^0.5-1),100,2,1)*$C$43,0)</f>
        <v>21036.614998322471</v>
      </c>
      <c r="P113" s="20">
        <f>IF(AND(P$75&lt;'1 - Titoli e shock'!$B$11,$B$43&gt;P$74),PRICE(P$74,$B$43,'1 - Titoli e shock'!$C$30,2*((1+P99+F$5/100)^0.5-1),100,2,1)*$C$43,0)</f>
        <v>0</v>
      </c>
      <c r="Q113" s="20">
        <f>IF(AND(Q$75&lt;'1 - Titoli e shock'!$B$11,$B$43&gt;Q$74),PRICE(Q$74,$B$43,'1 - Titoli e shock'!$C$30,2*((1+Q99+F$5/100)^0.5-1),100,2,1)*$C$43,0)</f>
        <v>0</v>
      </c>
      <c r="R113" s="20">
        <f>IF(AND(R$75&lt;'1 - Titoli e shock'!$B$11,$B$43&gt;R$74),PRICE(R$74,$B$43,'1 - Titoli e shock'!$C$30,2*((1+R99+F$5/100)^0.5-1),100,2,1)*$C$43,0)</f>
        <v>0</v>
      </c>
      <c r="S113" s="20">
        <f>IF(AND(S$75&lt;'1 - Titoli e shock'!$B$11,$B$43&gt;S$74),PRICE(S$74,$B$43,'1 - Titoli e shock'!$C$30,2*((1+S99+F$5/100)^0.5-1),100,2,1)*$C$43,0)</f>
        <v>0</v>
      </c>
      <c r="T113" s="20">
        <f>IF(AND(T$75&lt;'1 - Titoli e shock'!$B$11,$B$43&gt;T$74),PRICE(T$74,$B$43,'1 - Titoli e shock'!$C$30,2*((1+T99+F$5/100)^0.5-1),100,2,1)*$C$43,0)</f>
        <v>0</v>
      </c>
      <c r="U113" s="20">
        <f>IF(AND(U$75&lt;'1 - Titoli e shock'!$B$11,$B$43&gt;U$74),PRICE(U$74,$B$43,'1 - Titoli e shock'!$C$30,2*((1+U99+F$5/100)^0.5-1),100,2,1)*$C$43,0)</f>
        <v>0</v>
      </c>
    </row>
    <row r="114" spans="1:21">
      <c r="A114" s="22" t="str">
        <f t="shared" si="30"/>
        <v>BTP 4,50% ott 2053</v>
      </c>
      <c r="F114" s="20">
        <f>IF(AND(F$75&lt;'1 - Titoli e shock'!$B$11,$B$44&gt;F$74),'1 - Titoli e shock'!$E$33*$C$44,0)</f>
        <v>199522.79339074739</v>
      </c>
      <c r="G114" s="20">
        <f>IF(AND(G$75&lt;'1 - Titoli e shock'!$B$11,$B$44&gt;G$74),PRICE(G$74,$B$44,'1 - Titoli e shock'!$C$33,2*((1+G100+F$5/100)^0.5-1),100,2,1)*$C$44,0)</f>
        <v>232549.35242846565</v>
      </c>
      <c r="H114" s="20">
        <f>IF(AND(H$75&lt;'1 - Titoli e shock'!$B$11,$B$44&gt;H$74),PRICE(H$74,$B$44,'1 - Titoli e shock'!$C$33,2*((1+H100+F$5/100)^0.5-1),100,2,1)*$C$44,0)</f>
        <v>232775.52321753808</v>
      </c>
      <c r="I114" s="20">
        <f>IF(AND(I$75&lt;'1 - Titoli e shock'!$B$11,$B$44&gt;I$74),PRICE(I$74,$B$44,'1 - Titoli e shock'!$C$33,2*((1+I100+F$5/100)^0.5-1),100,2,1)*$C$44,0)</f>
        <v>232953.28022626365</v>
      </c>
      <c r="J114" s="20">
        <f>IF(AND(J$75&lt;'1 - Titoli e shock'!$B$11,$B$44&gt;J$74),PRICE(J$74,$B$44,'1 - Titoli e shock'!$C$33,2*((1+J100+F$5/100)^0.5-1),100,2,1)*$C$44,0)</f>
        <v>233081.49442921591</v>
      </c>
      <c r="K114" s="20">
        <f>IF(AND(K$75&lt;'1 - Titoli e shock'!$B$11,$B$44&gt;K$74),PRICE(K$74,$B$44,'1 - Titoli e shock'!$C$33,2*((1+K100+F$5/100)^0.5-1),100,2,1)*$C$44,0)</f>
        <v>233157.45238624248</v>
      </c>
      <c r="L114" s="20">
        <f>IF(AND(L$75&lt;'1 - Titoli e shock'!$B$11,$B$44&gt;L$74),PRICE(L$74,$B$44,'1 - Titoli e shock'!$C$33,2*((1+L100+F$5/100)^0.5-1),100,2,1)*$C$44,0)</f>
        <v>233179.23926951972</v>
      </c>
      <c r="M114" s="20">
        <f>IF(AND(M$75&lt;'1 - Titoli e shock'!$B$11,$B$44&gt;M$74),PRICE(M$74,$B$44,'1 - Titoli e shock'!$C$33,2*((1+M100+F$5/100)^0.5-1),100,2,1)*$C$44,0)</f>
        <v>233173.70906907262</v>
      </c>
      <c r="N114" s="20">
        <f>IF(AND(N$75&lt;'1 - Titoli e shock'!$B$11,$B$44&gt;N$74),PRICE(N$74,$B$44,'1 - Titoli e shock'!$C$33,2*((1+N100+F$5/100)^0.5-1),100,2,1)*$C$44,0)</f>
        <v>233149.04223623505</v>
      </c>
      <c r="O114" s="20">
        <f>IF(AND(O$75&lt;'1 - Titoli e shock'!$B$11,$B$44&gt;O$74),PRICE(O$74,$B$44,'1 - Titoli e shock'!$C$33,2*((1+O100+F$5/100)^0.5-1),100,2,1)*$C$44,0)</f>
        <v>233054.0369728748</v>
      </c>
      <c r="P114" s="20">
        <f>IF(AND(P$75&lt;'1 - Titoli e shock'!$B$11,$B$44&gt;P$74),PRICE(P$74,$B$44,'1 - Titoli e shock'!$C$33,2*((1+P100+F$5/100)^0.5-1),100,2,1)*$C$44,0)</f>
        <v>0</v>
      </c>
      <c r="Q114" s="20">
        <f>IF(AND(Q$75&lt;'1 - Titoli e shock'!$B$11,$B$44&gt;Q$74),PRICE(Q$74,$B$44,'1 - Titoli e shock'!$C$33,2*((1+Q100+F$5/100)^0.5-1),100,2,1)*$C$44,0)</f>
        <v>0</v>
      </c>
      <c r="R114" s="20">
        <f>IF(AND(R$75&lt;'1 - Titoli e shock'!$B$11,$B$44&gt;R$74),PRICE(R$74,$B$44,'1 - Titoli e shock'!$C$33,2*((1+R100+F$5/100)^0.5-1),100,2,1)*$C$44,0)</f>
        <v>0</v>
      </c>
      <c r="S114" s="20">
        <f>IF(AND(S$75&lt;'1 - Titoli e shock'!$B$11,$B$44&gt;S$74),PRICE(S$74,$B$44,'1 - Titoli e shock'!$C$33,2*((1+S100+F$5/100)^0.5-1),100,2,1)*$C$44,0)</f>
        <v>0</v>
      </c>
      <c r="T114" s="20">
        <f>IF(AND(T$75&lt;'1 - Titoli e shock'!$B$11,$B$44&gt;T$74),PRICE(T$74,$B$44,'1 - Titoli e shock'!$C$33,2*((1+T100+F$5/100)^0.5-1),100,2,1)*$C$44,0)</f>
        <v>0</v>
      </c>
      <c r="U114" s="20">
        <f>IF(AND(U$75&lt;'1 - Titoli e shock'!$B$11,$B$44&gt;U$74),PRICE(U$74,$B$44,'1 - Titoli e shock'!$C$33,2*((1+U100+F$5/100)^0.5-1),100,2,1)*$C$44,0)</f>
        <v>0</v>
      </c>
    </row>
    <row r="115" spans="1:21">
      <c r="A115" s="5" t="s">
        <v>254</v>
      </c>
      <c r="F115" s="20">
        <f>SUM(F104:F113)+IF(F$75&lt;'1 - Titoli e shock'!$B$11,SUMPRODUCT(($B$34:$B$43&lt;=F$74)*($E$34:$E$43&gt;F$74)*$D$34:$D$43),0)</f>
        <v>198522.85277708061</v>
      </c>
      <c r="G115" s="20">
        <f>SUM(G104:G113)+IF(G$75&lt;'1 - Titoli e shock'!$B$11,SUMPRODUCT(($B$34:$B$43&lt;=G$74)*($E$34:$E$43&gt;G$74)*$D$34:$D$43),0)</f>
        <v>208573.71803782196</v>
      </c>
      <c r="H115" s="20">
        <f>SUM(H104:H113)+IF(H$75&lt;'1 - Titoli e shock'!$B$11,SUMPRODUCT(($B$34:$B$43&lt;=H$74)*($E$34:$E$43&gt;H$74)*$D$34:$D$43),0)</f>
        <v>208608.97725727502</v>
      </c>
      <c r="I115" s="20">
        <f>SUM(I104:I113)+IF(I$75&lt;'1 - Titoli e shock'!$B$11,SUMPRODUCT(($B$34:$B$43&lt;=I$74)*($E$34:$E$43&gt;I$74)*$D$34:$D$43),0)</f>
        <v>208311.80309807291</v>
      </c>
      <c r="J115" s="20">
        <f>SUM(J104:J113)+IF(J$75&lt;'1 - Titoli e shock'!$B$11,SUMPRODUCT(($B$34:$B$43&lt;=J$74)*($E$34:$E$43&gt;J$74)*$D$34:$D$43),0)</f>
        <v>207772.41208343598</v>
      </c>
      <c r="K115" s="20">
        <f>SUM(K104:K113)+IF(K$75&lt;'1 - Titoli e shock'!$B$11,SUMPRODUCT(($B$34:$B$43&lt;=K$74)*($E$34:$E$43&gt;K$74)*$D$34:$D$43),0)</f>
        <v>207056.88398959202</v>
      </c>
      <c r="L115" s="20">
        <f>SUM(L104:L113)+IF(L$75&lt;'1 - Titoli e shock'!$B$11,SUMPRODUCT(($B$34:$B$43&lt;=L$74)*($E$34:$E$43&gt;L$74)*$D$34:$D$43),0)</f>
        <v>206145.59255285613</v>
      </c>
      <c r="M115" s="20">
        <f>SUM(M104:M113)+IF(M$75&lt;'1 - Titoli e shock'!$B$11,SUMPRODUCT(($B$34:$B$43&lt;=M$74)*($E$34:$E$43&gt;M$74)*$D$34:$D$43),0)</f>
        <v>205190.75393812131</v>
      </c>
      <c r="N115" s="20">
        <f>SUM(N104:N113)+IF(N$75&lt;'1 - Titoli e shock'!$B$11,SUMPRODUCT(($B$34:$B$43&lt;=N$74)*($E$34:$E$43&gt;N$74)*$D$34:$D$43),0)</f>
        <v>204488.29117864167</v>
      </c>
      <c r="O115" s="20">
        <f>SUM(O104:O113)+IF(O$75&lt;'1 - Titoli e shock'!$B$11,SUMPRODUCT(($B$34:$B$43&lt;=O$74)*($E$34:$E$43&gt;O$74)*$D$34:$D$43),0)</f>
        <v>203600.99054999027</v>
      </c>
      <c r="P115" s="20">
        <f>SUM(P104:P113)+IF(P$75&lt;'1 - Titoli e shock'!$B$11,SUMPRODUCT(($B$34:$B$43&lt;=P$74)*($E$34:$E$43&gt;P$74)*$D$34:$D$43),0)</f>
        <v>0</v>
      </c>
      <c r="Q115" s="20">
        <f>SUM(Q104:Q113)+IF(Q$75&lt;'1 - Titoli e shock'!$B$11,SUMPRODUCT(($B$34:$B$43&lt;=Q$74)*($E$34:$E$43&gt;Q$74)*$D$34:$D$43),0)</f>
        <v>0</v>
      </c>
      <c r="R115" s="20">
        <f>SUM(R104:R113)+IF(R$75&lt;'1 - Titoli e shock'!$B$11,SUMPRODUCT(($B$34:$B$43&lt;=R$74)*($E$34:$E$43&gt;R$74)*$D$34:$D$43),0)</f>
        <v>0</v>
      </c>
      <c r="S115" s="20">
        <f>SUM(S104:S113)+IF(S$75&lt;'1 - Titoli e shock'!$B$11,SUMPRODUCT(($B$34:$B$43&lt;=S$74)*($E$34:$E$43&gt;S$74)*$D$34:$D$43),0)</f>
        <v>0</v>
      </c>
      <c r="T115" s="20">
        <f>SUM(T104:T113)+IF(T$75&lt;'1 - Titoli e shock'!$B$11,SUMPRODUCT(($B$34:$B$43&lt;=T$74)*($E$34:$E$43&gt;T$74)*$D$34:$D$43),0)</f>
        <v>0</v>
      </c>
      <c r="U115" s="20">
        <f>SUM(U104:U113)+IF(U$75&lt;'1 - Titoli e shock'!$B$11,SUMPRODUCT(($B$34:$B$43&lt;=U$74)*($E$34:$E$43&gt;U$74)*$D$34:$D$43),0)</f>
        <v>0</v>
      </c>
    </row>
    <row r="116" spans="1:21">
      <c r="A116" s="5" t="s">
        <v>255</v>
      </c>
      <c r="F116" s="20">
        <f t="shared" ref="F116:U116" si="31">F114</f>
        <v>199522.79339074739</v>
      </c>
      <c r="G116" s="20">
        <f t="shared" si="31"/>
        <v>232549.35242846565</v>
      </c>
      <c r="H116" s="20">
        <f t="shared" si="31"/>
        <v>232775.52321753808</v>
      </c>
      <c r="I116" s="20">
        <f t="shared" si="31"/>
        <v>232953.28022626365</v>
      </c>
      <c r="J116" s="20">
        <f t="shared" si="31"/>
        <v>233081.49442921591</v>
      </c>
      <c r="K116" s="20">
        <f t="shared" si="31"/>
        <v>233157.45238624248</v>
      </c>
      <c r="L116" s="20">
        <f t="shared" si="31"/>
        <v>233179.23926951972</v>
      </c>
      <c r="M116" s="20">
        <f t="shared" si="31"/>
        <v>233173.70906907262</v>
      </c>
      <c r="N116" s="20">
        <f t="shared" si="31"/>
        <v>233149.04223623505</v>
      </c>
      <c r="O116" s="20">
        <f t="shared" si="31"/>
        <v>233054.0369728748</v>
      </c>
      <c r="P116" s="20">
        <f t="shared" si="31"/>
        <v>0</v>
      </c>
      <c r="Q116" s="20">
        <f t="shared" si="31"/>
        <v>0</v>
      </c>
      <c r="R116" s="20">
        <f t="shared" si="31"/>
        <v>0</v>
      </c>
      <c r="S116" s="20">
        <f t="shared" si="31"/>
        <v>0</v>
      </c>
      <c r="T116" s="20">
        <f t="shared" si="31"/>
        <v>0</v>
      </c>
      <c r="U116" s="20">
        <f t="shared" si="31"/>
        <v>0</v>
      </c>
    </row>
    <row r="119" spans="1:21">
      <c r="A119" s="36" t="s">
        <v>256</v>
      </c>
      <c r="B119" s="33"/>
      <c r="C119" s="33"/>
      <c r="D119" s="33"/>
      <c r="E119" s="33"/>
      <c r="F119" s="33"/>
      <c r="G119" s="33"/>
      <c r="H119" s="33"/>
      <c r="I119" s="33"/>
      <c r="J119" s="33"/>
    </row>
    <row r="120" spans="1:21">
      <c r="A120" s="22" t="str">
        <f t="shared" ref="A120:A130" si="32">A34</f>
        <v>BTP 2,70% ott 2027</v>
      </c>
      <c r="F120" s="20">
        <f>IF(AND(F$75&lt;'1 - Titoli e shock'!$B$11,$B$34&gt;F$74),'1 - Titoli e shock'!$E$21*$C$34,0)</f>
        <v>19994.041245176722</v>
      </c>
      <c r="G120" s="20">
        <f>IF(AND(G$75&lt;'1 - Titoli e shock'!$B$11,$B$34&gt;G$74),PRICE(G$74,$B$34,'1 - Titoli e shock'!$C$21,2*((1+G90+G$5/100)^0.5-1),100,2,1)*$C$34,0)</f>
        <v>0</v>
      </c>
      <c r="H120" s="20">
        <f>IF(AND(H$75&lt;'1 - Titoli e shock'!$B$11,$B$34&gt;H$74),PRICE(H$74,$B$34,'1 - Titoli e shock'!$C$21,2*((1+H90+G$5/100)^0.5-1),100,2,1)*$C$34,0)</f>
        <v>0</v>
      </c>
      <c r="I120" s="20">
        <f>IF(AND(I$75&lt;'1 - Titoli e shock'!$B$11,$B$34&gt;I$74),PRICE(I$74,$B$34,'1 - Titoli e shock'!$C$21,2*((1+I90+G$5/100)^0.5-1),100,2,1)*$C$34,0)</f>
        <v>0</v>
      </c>
      <c r="J120" s="20">
        <f>IF(AND(J$75&lt;'1 - Titoli e shock'!$B$11,$B$34&gt;J$74),PRICE(J$74,$B$34,'1 - Titoli e shock'!$C$21,2*((1+J90+G$5/100)^0.5-1),100,2,1)*$C$34,0)</f>
        <v>0</v>
      </c>
      <c r="K120" s="20">
        <f>IF(AND(K$75&lt;'1 - Titoli e shock'!$B$11,$B$34&gt;K$74),PRICE(K$74,$B$34,'1 - Titoli e shock'!$C$21,2*((1+K90+G$5/100)^0.5-1),100,2,1)*$C$34,0)</f>
        <v>0</v>
      </c>
      <c r="L120" s="20">
        <f>IF(AND(L$75&lt;'1 - Titoli e shock'!$B$11,$B$34&gt;L$74),PRICE(L$74,$B$34,'1 - Titoli e shock'!$C$21,2*((1+L90+G$5/100)^0.5-1),100,2,1)*$C$34,0)</f>
        <v>0</v>
      </c>
      <c r="M120" s="20">
        <f>IF(AND(M$75&lt;'1 - Titoli e shock'!$B$11,$B$34&gt;M$74),PRICE(M$74,$B$34,'1 - Titoli e shock'!$C$21,2*((1+M90+G$5/100)^0.5-1),100,2,1)*$C$34,0)</f>
        <v>0</v>
      </c>
      <c r="N120" s="20">
        <f>IF(AND(N$75&lt;'1 - Titoli e shock'!$B$11,$B$34&gt;N$74),PRICE(N$74,$B$34,'1 - Titoli e shock'!$C$21,2*((1+N90+G$5/100)^0.5-1),100,2,1)*$C$34,0)</f>
        <v>0</v>
      </c>
      <c r="O120" s="20">
        <f>IF(AND(O$75&lt;'1 - Titoli e shock'!$B$11,$B$34&gt;O$74),PRICE(O$74,$B$34,'1 - Titoli e shock'!$C$21,2*((1+O90+G$5/100)^0.5-1),100,2,1)*$C$34,0)</f>
        <v>0</v>
      </c>
      <c r="P120" s="20">
        <f>IF(AND(P$75&lt;'1 - Titoli e shock'!$B$11,$B$34&gt;P$74),PRICE(P$74,$B$34,'1 - Titoli e shock'!$C$21,2*((1+P90+G$5/100)^0.5-1),100,2,1)*$C$34,0)</f>
        <v>0</v>
      </c>
      <c r="Q120" s="20">
        <f>IF(AND(Q$75&lt;'1 - Titoli e shock'!$B$11,$B$34&gt;Q$74),PRICE(Q$74,$B$34,'1 - Titoli e shock'!$C$21,2*((1+Q90+G$5/100)^0.5-1),100,2,1)*$C$34,0)</f>
        <v>0</v>
      </c>
      <c r="R120" s="20">
        <f>IF(AND(R$75&lt;'1 - Titoli e shock'!$B$11,$B$34&gt;R$74),PRICE(R$74,$B$34,'1 - Titoli e shock'!$C$21,2*((1+R90+G$5/100)^0.5-1),100,2,1)*$C$34,0)</f>
        <v>0</v>
      </c>
      <c r="S120" s="20">
        <f>IF(AND(S$75&lt;'1 - Titoli e shock'!$B$11,$B$34&gt;S$74),PRICE(S$74,$B$34,'1 - Titoli e shock'!$C$21,2*((1+S90+G$5/100)^0.5-1),100,2,1)*$C$34,0)</f>
        <v>0</v>
      </c>
      <c r="T120" s="20">
        <f>IF(AND(T$75&lt;'1 - Titoli e shock'!$B$11,$B$34&gt;T$74),PRICE(T$74,$B$34,'1 - Titoli e shock'!$C$21,2*((1+T90+G$5/100)^0.5-1),100,2,1)*$C$34,0)</f>
        <v>0</v>
      </c>
      <c r="U120" s="20">
        <f>IF(AND(U$75&lt;'1 - Titoli e shock'!$B$11,$B$34&gt;U$74),PRICE(U$74,$B$34,'1 - Titoli e shock'!$C$21,2*((1+U90+G$5/100)^0.5-1),100,2,1)*$C$34,0)</f>
        <v>0</v>
      </c>
    </row>
    <row r="121" spans="1:21">
      <c r="A121" s="22" t="str">
        <f t="shared" si="32"/>
        <v>BTP 2,80% dic 2028</v>
      </c>
      <c r="F121" s="20">
        <f>IF(AND(F$75&lt;'1 - Titoli e shock'!$B$11,$B$35&gt;F$74),'1 - Titoli e shock'!$E$22*$C$35,0)</f>
        <v>19785.515747083671</v>
      </c>
      <c r="G121" s="20">
        <f>IF(AND(G$75&lt;'1 - Titoli e shock'!$B$11,$B$35&gt;G$74),PRICE(G$74,$B$35,'1 - Titoli e shock'!$C$22,2*((1+G91+G$5/100)^0.5-1),100,2,1)*$C$35,0)</f>
        <v>19941.171291628954</v>
      </c>
      <c r="H121" s="20">
        <f>IF(AND(H$75&lt;'1 - Titoli e shock'!$B$11,$B$35&gt;H$74),PRICE(H$74,$B$35,'1 - Titoli e shock'!$C$22,2*((1+H91+G$5/100)^0.5-1),100,2,1)*$C$35,0)</f>
        <v>20016.610635832243</v>
      </c>
      <c r="I121" s="20">
        <f>IF(AND(I$75&lt;'1 - Titoli e shock'!$B$11,$B$35&gt;I$74),PRICE(I$74,$B$35,'1 - Titoli e shock'!$C$22,2*((1+I91+G$5/100)^0.5-1),100,2,1)*$C$35,0)</f>
        <v>0</v>
      </c>
      <c r="J121" s="20">
        <f>IF(AND(J$75&lt;'1 - Titoli e shock'!$B$11,$B$35&gt;J$74),PRICE(J$74,$B$35,'1 - Titoli e shock'!$C$22,2*((1+J91+G$5/100)^0.5-1),100,2,1)*$C$35,0)</f>
        <v>0</v>
      </c>
      <c r="K121" s="20">
        <f>IF(AND(K$75&lt;'1 - Titoli e shock'!$B$11,$B$35&gt;K$74),PRICE(K$74,$B$35,'1 - Titoli e shock'!$C$22,2*((1+K91+G$5/100)^0.5-1),100,2,1)*$C$35,0)</f>
        <v>0</v>
      </c>
      <c r="L121" s="20">
        <f>IF(AND(L$75&lt;'1 - Titoli e shock'!$B$11,$B$35&gt;L$74),PRICE(L$74,$B$35,'1 - Titoli e shock'!$C$22,2*((1+L91+G$5/100)^0.5-1),100,2,1)*$C$35,0)</f>
        <v>0</v>
      </c>
      <c r="M121" s="20">
        <f>IF(AND(M$75&lt;'1 - Titoli e shock'!$B$11,$B$35&gt;M$74),PRICE(M$74,$B$35,'1 - Titoli e shock'!$C$22,2*((1+M91+G$5/100)^0.5-1),100,2,1)*$C$35,0)</f>
        <v>0</v>
      </c>
      <c r="N121" s="20">
        <f>IF(AND(N$75&lt;'1 - Titoli e shock'!$B$11,$B$35&gt;N$74),PRICE(N$74,$B$35,'1 - Titoli e shock'!$C$22,2*((1+N91+G$5/100)^0.5-1),100,2,1)*$C$35,0)</f>
        <v>0</v>
      </c>
      <c r="O121" s="20">
        <f>IF(AND(O$75&lt;'1 - Titoli e shock'!$B$11,$B$35&gt;O$74),PRICE(O$74,$B$35,'1 - Titoli e shock'!$C$22,2*((1+O91+G$5/100)^0.5-1),100,2,1)*$C$35,0)</f>
        <v>0</v>
      </c>
      <c r="P121" s="20">
        <f>IF(AND(P$75&lt;'1 - Titoli e shock'!$B$11,$B$35&gt;P$74),PRICE(P$74,$B$35,'1 - Titoli e shock'!$C$22,2*((1+P91+G$5/100)^0.5-1),100,2,1)*$C$35,0)</f>
        <v>0</v>
      </c>
      <c r="Q121" s="20">
        <f>IF(AND(Q$75&lt;'1 - Titoli e shock'!$B$11,$B$35&gt;Q$74),PRICE(Q$74,$B$35,'1 - Titoli e shock'!$C$22,2*((1+Q91+G$5/100)^0.5-1),100,2,1)*$C$35,0)</f>
        <v>0</v>
      </c>
      <c r="R121" s="20">
        <f>IF(AND(R$75&lt;'1 - Titoli e shock'!$B$11,$B$35&gt;R$74),PRICE(R$74,$B$35,'1 - Titoli e shock'!$C$22,2*((1+R91+G$5/100)^0.5-1),100,2,1)*$C$35,0)</f>
        <v>0</v>
      </c>
      <c r="S121" s="20">
        <f>IF(AND(S$75&lt;'1 - Titoli e shock'!$B$11,$B$35&gt;S$74),PRICE(S$74,$B$35,'1 - Titoli e shock'!$C$22,2*((1+S91+G$5/100)^0.5-1),100,2,1)*$C$35,0)</f>
        <v>0</v>
      </c>
      <c r="T121" s="20">
        <f>IF(AND(T$75&lt;'1 - Titoli e shock'!$B$11,$B$35&gt;T$74),PRICE(T$74,$B$35,'1 - Titoli e shock'!$C$22,2*((1+T91+G$5/100)^0.5-1),100,2,1)*$C$35,0)</f>
        <v>0</v>
      </c>
      <c r="U121" s="20">
        <f>IF(AND(U$75&lt;'1 - Titoli e shock'!$B$11,$B$35&gt;U$74),PRICE(U$74,$B$35,'1 - Titoli e shock'!$C$22,2*((1+U91+G$5/100)^0.5-1),100,2,1)*$C$35,0)</f>
        <v>0</v>
      </c>
    </row>
    <row r="122" spans="1:21">
      <c r="A122" s="22" t="str">
        <f t="shared" si="32"/>
        <v>BTP 3,00% ott 2029</v>
      </c>
      <c r="F122" s="20">
        <f>IF(AND(F$75&lt;'1 - Titoli e shock'!$B$11,$B$36&gt;F$74),'1 - Titoli e shock'!$E$23*$C$36,0)</f>
        <v>19969.855911255803</v>
      </c>
      <c r="G122" s="20">
        <f>IF(AND(G$75&lt;'1 - Titoli e shock'!$B$11,$B$36&gt;G$74),PRICE(G$74,$B$36,'1 - Titoli e shock'!$C$23,2*((1+G92+G$5/100)^0.5-1),100,2,1)*$C$36,0)</f>
        <v>20183.31111100451</v>
      </c>
      <c r="H122" s="20">
        <f>IF(AND(H$75&lt;'1 - Titoli e shock'!$B$11,$B$36&gt;H$74),PRICE(H$74,$B$36,'1 - Titoli e shock'!$C$23,2*((1+H92+G$5/100)^0.5-1),100,2,1)*$C$36,0)</f>
        <v>20289.061866142172</v>
      </c>
      <c r="I122" s="20">
        <f>IF(AND(I$75&lt;'1 - Titoli e shock'!$B$11,$B$36&gt;I$74),PRICE(I$74,$B$36,'1 - Titoli e shock'!$C$23,2*((1+I92+G$5/100)^0.5-1),100,2,1)*$C$36,0)</f>
        <v>0</v>
      </c>
      <c r="J122" s="20">
        <f>IF(AND(J$75&lt;'1 - Titoli e shock'!$B$11,$B$36&gt;J$74),PRICE(J$74,$B$36,'1 - Titoli e shock'!$C$23,2*((1+J92+G$5/100)^0.5-1),100,2,1)*$C$36,0)</f>
        <v>0</v>
      </c>
      <c r="K122" s="20">
        <f>IF(AND(K$75&lt;'1 - Titoli e shock'!$B$11,$B$36&gt;K$74),PRICE(K$74,$B$36,'1 - Titoli e shock'!$C$23,2*((1+K92+G$5/100)^0.5-1),100,2,1)*$C$36,0)</f>
        <v>0</v>
      </c>
      <c r="L122" s="20">
        <f>IF(AND(L$75&lt;'1 - Titoli e shock'!$B$11,$B$36&gt;L$74),PRICE(L$74,$B$36,'1 - Titoli e shock'!$C$23,2*((1+L92+G$5/100)^0.5-1),100,2,1)*$C$36,0)</f>
        <v>0</v>
      </c>
      <c r="M122" s="20">
        <f>IF(AND(M$75&lt;'1 - Titoli e shock'!$B$11,$B$36&gt;M$74),PRICE(M$74,$B$36,'1 - Titoli e shock'!$C$23,2*((1+M92+G$5/100)^0.5-1),100,2,1)*$C$36,0)</f>
        <v>0</v>
      </c>
      <c r="N122" s="20">
        <f>IF(AND(N$75&lt;'1 - Titoli e shock'!$B$11,$B$36&gt;N$74),PRICE(N$74,$B$36,'1 - Titoli e shock'!$C$23,2*((1+N92+G$5/100)^0.5-1),100,2,1)*$C$36,0)</f>
        <v>0</v>
      </c>
      <c r="O122" s="20">
        <f>IF(AND(O$75&lt;'1 - Titoli e shock'!$B$11,$B$36&gt;O$74),PRICE(O$74,$B$36,'1 - Titoli e shock'!$C$23,2*((1+O92+G$5/100)^0.5-1),100,2,1)*$C$36,0)</f>
        <v>0</v>
      </c>
      <c r="P122" s="20">
        <f>IF(AND(P$75&lt;'1 - Titoli e shock'!$B$11,$B$36&gt;P$74),PRICE(P$74,$B$36,'1 - Titoli e shock'!$C$23,2*((1+P92+G$5/100)^0.5-1),100,2,1)*$C$36,0)</f>
        <v>0</v>
      </c>
      <c r="Q122" s="20">
        <f>IF(AND(Q$75&lt;'1 - Titoli e shock'!$B$11,$B$36&gt;Q$74),PRICE(Q$74,$B$36,'1 - Titoli e shock'!$C$23,2*((1+Q92+G$5/100)^0.5-1),100,2,1)*$C$36,0)</f>
        <v>0</v>
      </c>
      <c r="R122" s="20">
        <f>IF(AND(R$75&lt;'1 - Titoli e shock'!$B$11,$B$36&gt;R$74),PRICE(R$74,$B$36,'1 - Titoli e shock'!$C$23,2*((1+R92+G$5/100)^0.5-1),100,2,1)*$C$36,0)</f>
        <v>0</v>
      </c>
      <c r="S122" s="20">
        <f>IF(AND(S$75&lt;'1 - Titoli e shock'!$B$11,$B$36&gt;S$74),PRICE(S$74,$B$36,'1 - Titoli e shock'!$C$23,2*((1+S92+G$5/100)^0.5-1),100,2,1)*$C$36,0)</f>
        <v>0</v>
      </c>
      <c r="T122" s="20">
        <f>IF(AND(T$75&lt;'1 - Titoli e shock'!$B$11,$B$36&gt;T$74),PRICE(T$74,$B$36,'1 - Titoli e shock'!$C$23,2*((1+T92+G$5/100)^0.5-1),100,2,1)*$C$36,0)</f>
        <v>0</v>
      </c>
      <c r="U122" s="20">
        <f>IF(AND(U$75&lt;'1 - Titoli e shock'!$B$11,$B$36&gt;U$74),PRICE(U$74,$B$36,'1 - Titoli e shock'!$C$23,2*((1+U92+G$5/100)^0.5-1),100,2,1)*$C$36,0)</f>
        <v>0</v>
      </c>
    </row>
    <row r="123" spans="1:21">
      <c r="A123" s="22" t="str">
        <f t="shared" si="32"/>
        <v>BTP 2,70% ott 2030</v>
      </c>
      <c r="F123" s="20">
        <f>IF(AND(F$75&lt;'1 - Titoli e shock'!$B$11,$B$37&gt;F$74),'1 - Titoli e shock'!$E$24*$C$37,0)</f>
        <v>19972.234251507405</v>
      </c>
      <c r="G123" s="20">
        <f>IF(AND(G$75&lt;'1 - Titoli e shock'!$B$11,$B$37&gt;G$74),PRICE(G$74,$B$37,'1 - Titoli e shock'!$C$24,2*((1+G93+G$5/100)^0.5-1),100,2,1)*$C$37,0)</f>
        <v>20264.930391718433</v>
      </c>
      <c r="H123" s="20">
        <f>IF(AND(H$75&lt;'1 - Titoli e shock'!$B$11,$B$37&gt;H$74),PRICE(H$74,$B$37,'1 - Titoli e shock'!$C$24,2*((1+H93+G$5/100)^0.5-1),100,2,1)*$C$37,0)</f>
        <v>20539.931263592312</v>
      </c>
      <c r="I123" s="20">
        <f>IF(AND(I$75&lt;'1 - Titoli e shock'!$B$11,$B$37&gt;I$74),PRICE(I$74,$B$37,'1 - Titoli e shock'!$C$24,2*((1+I93+G$5/100)^0.5-1),100,2,1)*$C$37,0)</f>
        <v>20706.799875330227</v>
      </c>
      <c r="J123" s="20">
        <f>IF(AND(J$75&lt;'1 - Titoli e shock'!$B$11,$B$37&gt;J$74),PRICE(J$74,$B$37,'1 - Titoli e shock'!$C$24,2*((1+J93+G$5/100)^0.5-1),100,2,1)*$C$37,0)</f>
        <v>0</v>
      </c>
      <c r="K123" s="20">
        <f>IF(AND(K$75&lt;'1 - Titoli e shock'!$B$11,$B$37&gt;K$74),PRICE(K$74,$B$37,'1 - Titoli e shock'!$C$24,2*((1+K93+G$5/100)^0.5-1),100,2,1)*$C$37,0)</f>
        <v>0</v>
      </c>
      <c r="L123" s="20">
        <f>IF(AND(L$75&lt;'1 - Titoli e shock'!$B$11,$B$37&gt;L$74),PRICE(L$74,$B$37,'1 - Titoli e shock'!$C$24,2*((1+L93+G$5/100)^0.5-1),100,2,1)*$C$37,0)</f>
        <v>0</v>
      </c>
      <c r="M123" s="20">
        <f>IF(AND(M$75&lt;'1 - Titoli e shock'!$B$11,$B$37&gt;M$74),PRICE(M$74,$B$37,'1 - Titoli e shock'!$C$24,2*((1+M93+G$5/100)^0.5-1),100,2,1)*$C$37,0)</f>
        <v>0</v>
      </c>
      <c r="N123" s="20">
        <f>IF(AND(N$75&lt;'1 - Titoli e shock'!$B$11,$B$37&gt;N$74),PRICE(N$74,$B$37,'1 - Titoli e shock'!$C$24,2*((1+N93+G$5/100)^0.5-1),100,2,1)*$C$37,0)</f>
        <v>0</v>
      </c>
      <c r="O123" s="20">
        <f>IF(AND(O$75&lt;'1 - Titoli e shock'!$B$11,$B$37&gt;O$74),PRICE(O$74,$B$37,'1 - Titoli e shock'!$C$24,2*((1+O93+G$5/100)^0.5-1),100,2,1)*$C$37,0)</f>
        <v>0</v>
      </c>
      <c r="P123" s="20">
        <f>IF(AND(P$75&lt;'1 - Titoli e shock'!$B$11,$B$37&gt;P$74),PRICE(P$74,$B$37,'1 - Titoli e shock'!$C$24,2*((1+P93+G$5/100)^0.5-1),100,2,1)*$C$37,0)</f>
        <v>0</v>
      </c>
      <c r="Q123" s="20">
        <f>IF(AND(Q$75&lt;'1 - Titoli e shock'!$B$11,$B$37&gt;Q$74),PRICE(Q$74,$B$37,'1 - Titoli e shock'!$C$24,2*((1+Q93+G$5/100)^0.5-1),100,2,1)*$C$37,0)</f>
        <v>0</v>
      </c>
      <c r="R123" s="20">
        <f>IF(AND(R$75&lt;'1 - Titoli e shock'!$B$11,$B$37&gt;R$74),PRICE(R$74,$B$37,'1 - Titoli e shock'!$C$24,2*((1+R93+G$5/100)^0.5-1),100,2,1)*$C$37,0)</f>
        <v>0</v>
      </c>
      <c r="S123" s="20">
        <f>IF(AND(S$75&lt;'1 - Titoli e shock'!$B$11,$B$37&gt;S$74),PRICE(S$74,$B$37,'1 - Titoli e shock'!$C$24,2*((1+S93+G$5/100)^0.5-1),100,2,1)*$C$37,0)</f>
        <v>0</v>
      </c>
      <c r="T123" s="20">
        <f>IF(AND(T$75&lt;'1 - Titoli e shock'!$B$11,$B$37&gt;T$74),PRICE(T$74,$B$37,'1 - Titoli e shock'!$C$24,2*((1+T93+G$5/100)^0.5-1),100,2,1)*$C$37,0)</f>
        <v>0</v>
      </c>
      <c r="U123" s="20">
        <f>IF(AND(U$75&lt;'1 - Titoli e shock'!$B$11,$B$37&gt;U$74),PRICE(U$74,$B$37,'1 - Titoli e shock'!$C$24,2*((1+U93+G$5/100)^0.5-1),100,2,1)*$C$37,0)</f>
        <v>0</v>
      </c>
    </row>
    <row r="124" spans="1:21">
      <c r="A124" s="22" t="str">
        <f t="shared" si="32"/>
        <v>BTP 3,15% nov 2031</v>
      </c>
      <c r="F124" s="20">
        <f>IF(AND(F$75&lt;'1 - Titoli e shock'!$B$11,$B$38&gt;F$74),'1 - Titoli e shock'!$E$25*$C$38,0)</f>
        <v>19725.468328937292</v>
      </c>
      <c r="G124" s="20">
        <f>IF(AND(G$75&lt;'1 - Titoli e shock'!$B$11,$B$38&gt;G$74),PRICE(G$74,$B$38,'1 - Titoli e shock'!$C$25,2*((1+G94+G$5/100)^0.5-1),100,2,1)*$C$38,0)</f>
        <v>19930.281927232176</v>
      </c>
      <c r="H124" s="20">
        <f>IF(AND(H$75&lt;'1 - Titoli e shock'!$B$11,$B$38&gt;H$74),PRICE(H$74,$B$38,'1 - Titoli e shock'!$C$25,2*((1+H94+G$5/100)^0.5-1),100,2,1)*$C$38,0)</f>
        <v>20139.357704492333</v>
      </c>
      <c r="I124" s="20">
        <f>IF(AND(I$75&lt;'1 - Titoli e shock'!$B$11,$B$38&gt;I$74),PRICE(I$74,$B$38,'1 - Titoli e shock'!$C$25,2*((1+I94+G$5/100)^0.5-1),100,2,1)*$C$38,0)</f>
        <v>20333.927031056268</v>
      </c>
      <c r="J124" s="20">
        <f>IF(AND(J$75&lt;'1 - Titoli e shock'!$B$11,$B$38&gt;J$74),PRICE(J$74,$B$38,'1 - Titoli e shock'!$C$25,2*((1+J94+G$5/100)^0.5-1),100,2,1)*$C$38,0)</f>
        <v>20422.171142102383</v>
      </c>
      <c r="K124" s="20">
        <f>IF(AND(K$75&lt;'1 - Titoli e shock'!$B$11,$B$38&gt;K$74),PRICE(K$74,$B$38,'1 - Titoli e shock'!$C$25,2*((1+K94+G$5/100)^0.5-1),100,2,1)*$C$38,0)</f>
        <v>20427.424630736157</v>
      </c>
      <c r="L124" s="20">
        <f>IF(AND(L$75&lt;'1 - Titoli e shock'!$B$11,$B$38&gt;L$74),PRICE(L$74,$B$38,'1 - Titoli e shock'!$C$25,2*((1+L94+G$5/100)^0.5-1),100,2,1)*$C$38,0)</f>
        <v>0</v>
      </c>
      <c r="M124" s="20">
        <f>IF(AND(M$75&lt;'1 - Titoli e shock'!$B$11,$B$38&gt;M$74),PRICE(M$74,$B$38,'1 - Titoli e shock'!$C$25,2*((1+M94+G$5/100)^0.5-1),100,2,1)*$C$38,0)</f>
        <v>0</v>
      </c>
      <c r="N124" s="20">
        <f>IF(AND(N$75&lt;'1 - Titoli e shock'!$B$11,$B$38&gt;N$74),PRICE(N$74,$B$38,'1 - Titoli e shock'!$C$25,2*((1+N94+G$5/100)^0.5-1),100,2,1)*$C$38,0)</f>
        <v>0</v>
      </c>
      <c r="O124" s="20">
        <f>IF(AND(O$75&lt;'1 - Titoli e shock'!$B$11,$B$38&gt;O$74),PRICE(O$74,$B$38,'1 - Titoli e shock'!$C$25,2*((1+O94+G$5/100)^0.5-1),100,2,1)*$C$38,0)</f>
        <v>0</v>
      </c>
      <c r="P124" s="20">
        <f>IF(AND(P$75&lt;'1 - Titoli e shock'!$B$11,$B$38&gt;P$74),PRICE(P$74,$B$38,'1 - Titoli e shock'!$C$25,2*((1+P94+G$5/100)^0.5-1),100,2,1)*$C$38,0)</f>
        <v>0</v>
      </c>
      <c r="Q124" s="20">
        <f>IF(AND(Q$75&lt;'1 - Titoli e shock'!$B$11,$B$38&gt;Q$74),PRICE(Q$74,$B$38,'1 - Titoli e shock'!$C$25,2*((1+Q94+G$5/100)^0.5-1),100,2,1)*$C$38,0)</f>
        <v>0</v>
      </c>
      <c r="R124" s="20">
        <f>IF(AND(R$75&lt;'1 - Titoli e shock'!$B$11,$B$38&gt;R$74),PRICE(R$74,$B$38,'1 - Titoli e shock'!$C$25,2*((1+R94+G$5/100)^0.5-1),100,2,1)*$C$38,0)</f>
        <v>0</v>
      </c>
      <c r="S124" s="20">
        <f>IF(AND(S$75&lt;'1 - Titoli e shock'!$B$11,$B$38&gt;S$74),PRICE(S$74,$B$38,'1 - Titoli e shock'!$C$25,2*((1+S94+G$5/100)^0.5-1),100,2,1)*$C$38,0)</f>
        <v>0</v>
      </c>
      <c r="T124" s="20">
        <f>IF(AND(T$75&lt;'1 - Titoli e shock'!$B$11,$B$38&gt;T$74),PRICE(T$74,$B$38,'1 - Titoli e shock'!$C$25,2*((1+T94+G$5/100)^0.5-1),100,2,1)*$C$38,0)</f>
        <v>0</v>
      </c>
      <c r="U124" s="20">
        <f>IF(AND(U$75&lt;'1 - Titoli e shock'!$B$11,$B$38&gt;U$74),PRICE(U$74,$B$38,'1 - Titoli e shock'!$C$25,2*((1+U94+G$5/100)^0.5-1),100,2,1)*$C$38,0)</f>
        <v>0</v>
      </c>
    </row>
    <row r="125" spans="1:21">
      <c r="A125" s="22" t="str">
        <f t="shared" si="32"/>
        <v>BTP 3,25% nov 2032</v>
      </c>
      <c r="F125" s="20">
        <f>IF(AND(F$75&lt;'1 - Titoli e shock'!$B$11,$B$39&gt;F$74),'1 - Titoli e shock'!$E$26*$C$39,0)</f>
        <v>19714.955679169416</v>
      </c>
      <c r="G125" s="20">
        <f>IF(AND(G$75&lt;'1 - Titoli e shock'!$B$11,$B$39&gt;G$74),PRICE(G$74,$B$39,'1 - Titoli e shock'!$C$26,2*((1+G95+G$5/100)^0.5-1),100,2,1)*$C$39,0)</f>
        <v>19944.132869823447</v>
      </c>
      <c r="H125" s="20">
        <f>IF(AND(H$75&lt;'1 - Titoli e shock'!$B$11,$B$39&gt;H$74),PRICE(H$74,$B$39,'1 - Titoli e shock'!$C$26,2*((1+H95+G$5/100)^0.5-1),100,2,1)*$C$39,0)</f>
        <v>20133.643768522768</v>
      </c>
      <c r="I125" s="20">
        <f>IF(AND(I$75&lt;'1 - Titoli e shock'!$B$11,$B$39&gt;I$74),PRICE(I$74,$B$39,'1 - Titoli e shock'!$C$26,2*((1+I95+G$5/100)^0.5-1),100,2,1)*$C$39,0)</f>
        <v>20326.13665987175</v>
      </c>
      <c r="J125" s="20">
        <f>IF(AND(J$75&lt;'1 - Titoli e shock'!$B$11,$B$39&gt;J$74),PRICE(J$74,$B$39,'1 - Titoli e shock'!$C$26,2*((1+J95+G$5/100)^0.5-1),100,2,1)*$C$39,0)</f>
        <v>20503.549331463611</v>
      </c>
      <c r="K125" s="20">
        <f>IF(AND(K$75&lt;'1 - Titoli e shock'!$B$11,$B$39&gt;K$74),PRICE(K$74,$B$39,'1 - Titoli e shock'!$C$26,2*((1+K95+G$5/100)^0.5-1),100,2,1)*$C$39,0)</f>
        <v>20573.156535590177</v>
      </c>
      <c r="L125" s="20">
        <f>IF(AND(L$75&lt;'1 - Titoli e shock'!$B$11,$B$39&gt;L$74),PRICE(L$74,$B$39,'1 - Titoli e shock'!$C$26,2*((1+L95+G$5/100)^0.5-1),100,2,1)*$C$39,0)</f>
        <v>20558.532485120188</v>
      </c>
      <c r="M125" s="20">
        <f>IF(AND(M$75&lt;'1 - Titoli e shock'!$B$11,$B$39&gt;M$74),PRICE(M$74,$B$39,'1 - Titoli e shock'!$C$26,2*((1+M95+G$5/100)^0.5-1),100,2,1)*$C$39,0)</f>
        <v>0</v>
      </c>
      <c r="N125" s="20">
        <f>IF(AND(N$75&lt;'1 - Titoli e shock'!$B$11,$B$39&gt;N$74),PRICE(N$74,$B$39,'1 - Titoli e shock'!$C$26,2*((1+N95+G$5/100)^0.5-1),100,2,1)*$C$39,0)</f>
        <v>0</v>
      </c>
      <c r="O125" s="20">
        <f>IF(AND(O$75&lt;'1 - Titoli e shock'!$B$11,$B$39&gt;O$74),PRICE(O$74,$B$39,'1 - Titoli e shock'!$C$26,2*((1+O95+G$5/100)^0.5-1),100,2,1)*$C$39,0)</f>
        <v>0</v>
      </c>
      <c r="P125" s="20">
        <f>IF(AND(P$75&lt;'1 - Titoli e shock'!$B$11,$B$39&gt;P$74),PRICE(P$74,$B$39,'1 - Titoli e shock'!$C$26,2*((1+P95+G$5/100)^0.5-1),100,2,1)*$C$39,0)</f>
        <v>0</v>
      </c>
      <c r="Q125" s="20">
        <f>IF(AND(Q$75&lt;'1 - Titoli e shock'!$B$11,$B$39&gt;Q$74),PRICE(Q$74,$B$39,'1 - Titoli e shock'!$C$26,2*((1+Q95+G$5/100)^0.5-1),100,2,1)*$C$39,0)</f>
        <v>0</v>
      </c>
      <c r="R125" s="20">
        <f>IF(AND(R$75&lt;'1 - Titoli e shock'!$B$11,$B$39&gt;R$74),PRICE(R$74,$B$39,'1 - Titoli e shock'!$C$26,2*((1+R95+G$5/100)^0.5-1),100,2,1)*$C$39,0)</f>
        <v>0</v>
      </c>
      <c r="S125" s="20">
        <f>IF(AND(S$75&lt;'1 - Titoli e shock'!$B$11,$B$39&gt;S$74),PRICE(S$74,$B$39,'1 - Titoli e shock'!$C$26,2*((1+S95+G$5/100)^0.5-1),100,2,1)*$C$39,0)</f>
        <v>0</v>
      </c>
      <c r="T125" s="20">
        <f>IF(AND(T$75&lt;'1 - Titoli e shock'!$B$11,$B$39&gt;T$74),PRICE(T$74,$B$39,'1 - Titoli e shock'!$C$26,2*((1+T95+G$5/100)^0.5-1),100,2,1)*$C$39,0)</f>
        <v>0</v>
      </c>
      <c r="U125" s="20">
        <f>IF(AND(U$75&lt;'1 - Titoli e shock'!$B$11,$B$39&gt;U$74),PRICE(U$74,$B$39,'1 - Titoli e shock'!$C$26,2*((1+U95+G$5/100)^0.5-1),100,2,1)*$C$39,0)</f>
        <v>0</v>
      </c>
    </row>
    <row r="126" spans="1:21">
      <c r="A126" s="22" t="str">
        <f t="shared" si="32"/>
        <v>BTP 4,35% nov 2033</v>
      </c>
      <c r="F126" s="20">
        <f>IF(AND(F$75&lt;'1 - Titoli e shock'!$B$11,$B$40&gt;F$74),'1 - Titoli e shock'!$E$27*$C$40,0)</f>
        <v>19608.425910060352</v>
      </c>
      <c r="G126" s="20">
        <f>IF(AND(G$75&lt;'1 - Titoli e shock'!$B$11,$B$40&gt;G$74),PRICE(G$74,$B$40,'1 - Titoli e shock'!$C$27,2*((1+G96+G$5/100)^0.5-1),100,2,1)*$C$40,0)</f>
        <v>19718.903297677865</v>
      </c>
      <c r="H126" s="20">
        <f>IF(AND(H$75&lt;'1 - Titoli e shock'!$B$11,$B$40&gt;H$74),PRICE(H$74,$B$40,'1 - Titoli e shock'!$C$27,2*((1+H96+G$5/100)^0.5-1),100,2,1)*$C$40,0)</f>
        <v>19767.210803738617</v>
      </c>
      <c r="I126" s="20">
        <f>IF(AND(I$75&lt;'1 - Titoli e shock'!$B$11,$B$40&gt;I$74),PRICE(I$74,$B$40,'1 - Titoli e shock'!$C$27,2*((1+I96+G$5/100)^0.5-1),100,2,1)*$C$40,0)</f>
        <v>19769.065129657385</v>
      </c>
      <c r="J126" s="20">
        <f>IF(AND(J$75&lt;'1 - Titoli e shock'!$B$11,$B$40&gt;J$74),PRICE(J$74,$B$40,'1 - Titoli e shock'!$C$27,2*((1+J96+G$5/100)^0.5-1),100,2,1)*$C$40,0)</f>
        <v>19767.184411025301</v>
      </c>
      <c r="K126" s="20">
        <f>IF(AND(K$75&lt;'1 - Titoli e shock'!$B$11,$B$40&gt;K$74),PRICE(K$74,$B$40,'1 - Titoli e shock'!$C$27,2*((1+K96+G$5/100)^0.5-1),100,2,1)*$C$40,0)</f>
        <v>19740.680094662195</v>
      </c>
      <c r="L126" s="20">
        <f>IF(AND(L$75&lt;'1 - Titoli e shock'!$B$11,$B$40&gt;L$74),PRICE(L$74,$B$40,'1 - Titoli e shock'!$C$27,2*((1+L96+G$5/100)^0.5-1),100,2,1)*$C$40,0)</f>
        <v>19603.127669431913</v>
      </c>
      <c r="M126" s="20">
        <f>IF(AND(M$75&lt;'1 - Titoli e shock'!$B$11,$B$40&gt;M$74),PRICE(M$74,$B$40,'1 - Titoli e shock'!$C$27,2*((1+M96+G$5/100)^0.5-1),100,2,1)*$C$40,0)</f>
        <v>19379.789381127768</v>
      </c>
      <c r="N126" s="20">
        <f>IF(AND(N$75&lt;'1 - Titoli e shock'!$B$11,$B$40&gt;N$74),PRICE(N$74,$B$40,'1 - Titoli e shock'!$C$27,2*((1+N96+G$5/100)^0.5-1),100,2,1)*$C$40,0)</f>
        <v>0</v>
      </c>
      <c r="O126" s="20">
        <f>IF(AND(O$75&lt;'1 - Titoli e shock'!$B$11,$B$40&gt;O$74),PRICE(O$74,$B$40,'1 - Titoli e shock'!$C$27,2*((1+O96+G$5/100)^0.5-1),100,2,1)*$C$40,0)</f>
        <v>0</v>
      </c>
      <c r="P126" s="20">
        <f>IF(AND(P$75&lt;'1 - Titoli e shock'!$B$11,$B$40&gt;P$74),PRICE(P$74,$B$40,'1 - Titoli e shock'!$C$27,2*((1+P96+G$5/100)^0.5-1),100,2,1)*$C$40,0)</f>
        <v>0</v>
      </c>
      <c r="Q126" s="20">
        <f>IF(AND(Q$75&lt;'1 - Titoli e shock'!$B$11,$B$40&gt;Q$74),PRICE(Q$74,$B$40,'1 - Titoli e shock'!$C$27,2*((1+Q96+G$5/100)^0.5-1),100,2,1)*$C$40,0)</f>
        <v>0</v>
      </c>
      <c r="R126" s="20">
        <f>IF(AND(R$75&lt;'1 - Titoli e shock'!$B$11,$B$40&gt;R$74),PRICE(R$74,$B$40,'1 - Titoli e shock'!$C$27,2*((1+R96+G$5/100)^0.5-1),100,2,1)*$C$40,0)</f>
        <v>0</v>
      </c>
      <c r="S126" s="20">
        <f>IF(AND(S$75&lt;'1 - Titoli e shock'!$B$11,$B$40&gt;S$74),PRICE(S$74,$B$40,'1 - Titoli e shock'!$C$27,2*((1+S96+G$5/100)^0.5-1),100,2,1)*$C$40,0)</f>
        <v>0</v>
      </c>
      <c r="T126" s="20">
        <f>IF(AND(T$75&lt;'1 - Titoli e shock'!$B$11,$B$40&gt;T$74),PRICE(T$74,$B$40,'1 - Titoli e shock'!$C$27,2*((1+T96+G$5/100)^0.5-1),100,2,1)*$C$40,0)</f>
        <v>0</v>
      </c>
      <c r="U126" s="20">
        <f>IF(AND(U$75&lt;'1 - Titoli e shock'!$B$11,$B$40&gt;U$74),PRICE(U$74,$B$40,'1 - Titoli e shock'!$C$27,2*((1+U96+G$5/100)^0.5-1),100,2,1)*$C$40,0)</f>
        <v>0</v>
      </c>
    </row>
    <row r="127" spans="1:21">
      <c r="A127" s="22" t="str">
        <f t="shared" si="32"/>
        <v>BTP 3,85% feb 2035</v>
      </c>
      <c r="F127" s="20">
        <f>IF(AND(F$75&lt;'1 - Titoli e shock'!$B$11,$B$41&gt;F$74),'1 - Titoli e shock'!$E$28*$C$41,0)</f>
        <v>19830.872885528777</v>
      </c>
      <c r="G127" s="20">
        <f>IF(AND(G$75&lt;'1 - Titoli e shock'!$B$11,$B$41&gt;G$74),PRICE(G$74,$B$41,'1 - Titoli e shock'!$C$28,2*((1+G97+G$5/100)^0.5-1),100,2,1)*$C$41,0)</f>
        <v>20044.423770000591</v>
      </c>
      <c r="H127" s="20">
        <f>IF(AND(H$75&lt;'1 - Titoli e shock'!$B$11,$B$41&gt;H$74),PRICE(H$74,$B$41,'1 - Titoli e shock'!$C$28,2*((1+H97+G$5/100)^0.5-1),100,2,1)*$C$41,0)</f>
        <v>20241.755743522648</v>
      </c>
      <c r="I127" s="20">
        <f>IF(AND(I$75&lt;'1 - Titoli e shock'!$B$11,$B$41&gt;I$74),PRICE(I$74,$B$41,'1 - Titoli e shock'!$C$28,2*((1+I97+G$5/100)^0.5-1),100,2,1)*$C$41,0)</f>
        <v>20386.957010768936</v>
      </c>
      <c r="J127" s="20">
        <f>IF(AND(J$75&lt;'1 - Titoli e shock'!$B$11,$B$41&gt;J$74),PRICE(J$74,$B$41,'1 - Titoli e shock'!$C$28,2*((1+J97+G$5/100)^0.5-1),100,2,1)*$C$41,0)</f>
        <v>20483.951259657762</v>
      </c>
      <c r="K127" s="20">
        <f>IF(AND(K$75&lt;'1 - Titoli e shock'!$B$11,$B$41&gt;K$74),PRICE(K$74,$B$41,'1 - Titoli e shock'!$C$28,2*((1+K97+G$5/100)^0.5-1),100,2,1)*$C$41,0)</f>
        <v>20571.302191361166</v>
      </c>
      <c r="L127" s="20">
        <f>IF(AND(L$75&lt;'1 - Titoli e shock'!$B$11,$B$41&gt;L$74),PRICE(L$74,$B$41,'1 - Titoli e shock'!$C$28,2*((1+L97+G$5/100)^0.5-1),100,2,1)*$C$41,0)</f>
        <v>20646.642643403389</v>
      </c>
      <c r="M127" s="20">
        <f>IF(AND(M$75&lt;'1 - Titoli e shock'!$B$11,$B$41&gt;M$74),PRICE(M$74,$B$41,'1 - Titoli e shock'!$C$28,2*((1+M97+G$5/100)^0.5-1),100,2,1)*$C$41,0)</f>
        <v>20623.345340057531</v>
      </c>
      <c r="N127" s="20">
        <f>IF(AND(N$75&lt;'1 - Titoli e shock'!$B$11,$B$41&gt;N$74),PRICE(N$74,$B$41,'1 - Titoli e shock'!$C$28,2*((1+N97+G$5/100)^0.5-1),100,2,1)*$C$41,0)</f>
        <v>20501.642736491543</v>
      </c>
      <c r="O127" s="20">
        <f>IF(AND(O$75&lt;'1 - Titoli e shock'!$B$11,$B$41&gt;O$74),PRICE(O$74,$B$41,'1 - Titoli e shock'!$C$28,2*((1+O97+G$5/100)^0.5-1),100,2,1)*$C$41,0)</f>
        <v>0</v>
      </c>
      <c r="P127" s="20">
        <f>IF(AND(P$75&lt;'1 - Titoli e shock'!$B$11,$B$41&gt;P$74),PRICE(P$74,$B$41,'1 - Titoli e shock'!$C$28,2*((1+P97+G$5/100)^0.5-1),100,2,1)*$C$41,0)</f>
        <v>0</v>
      </c>
      <c r="Q127" s="20">
        <f>IF(AND(Q$75&lt;'1 - Titoli e shock'!$B$11,$B$41&gt;Q$74),PRICE(Q$74,$B$41,'1 - Titoli e shock'!$C$28,2*((1+Q97+G$5/100)^0.5-1),100,2,1)*$C$41,0)</f>
        <v>0</v>
      </c>
      <c r="R127" s="20">
        <f>IF(AND(R$75&lt;'1 - Titoli e shock'!$B$11,$B$41&gt;R$74),PRICE(R$74,$B$41,'1 - Titoli e shock'!$C$28,2*((1+R97+G$5/100)^0.5-1),100,2,1)*$C$41,0)</f>
        <v>0</v>
      </c>
      <c r="S127" s="20">
        <f>IF(AND(S$75&lt;'1 - Titoli e shock'!$B$11,$B$41&gt;S$74),PRICE(S$74,$B$41,'1 - Titoli e shock'!$C$28,2*((1+S97+G$5/100)^0.5-1),100,2,1)*$C$41,0)</f>
        <v>0</v>
      </c>
      <c r="T127" s="20">
        <f>IF(AND(T$75&lt;'1 - Titoli e shock'!$B$11,$B$41&gt;T$74),PRICE(T$74,$B$41,'1 - Titoli e shock'!$C$28,2*((1+T97+G$5/100)^0.5-1),100,2,1)*$C$41,0)</f>
        <v>0</v>
      </c>
      <c r="U127" s="20">
        <f>IF(AND(U$75&lt;'1 - Titoli e shock'!$B$11,$B$41&gt;U$74),PRICE(U$74,$B$41,'1 - Titoli e shock'!$C$28,2*((1+U97+G$5/100)^0.5-1),100,2,1)*$C$41,0)</f>
        <v>0</v>
      </c>
    </row>
    <row r="128" spans="1:21">
      <c r="A128" s="22" t="str">
        <f t="shared" si="32"/>
        <v>BTP 3,60% ott 2035</v>
      </c>
      <c r="F128" s="20">
        <f>IF(AND(F$75&lt;'1 - Titoli e shock'!$B$11,$B$42&gt;F$74),'1 - Titoli e shock'!$E$29*$C$42,0)</f>
        <v>19962.394233782514</v>
      </c>
      <c r="G128" s="20">
        <f>IF(AND(G$75&lt;'1 - Titoli e shock'!$B$11,$B$42&gt;G$74),PRICE(G$74,$B$42,'1 - Titoli e shock'!$C$29,2*((1+G98+G$5/100)^0.5-1),100,2,1)*$C$42,0)</f>
        <v>20196.653156051267</v>
      </c>
      <c r="H128" s="20">
        <f>IF(AND(H$75&lt;'1 - Titoli e shock'!$B$11,$B$42&gt;H$74),PRICE(H$74,$B$42,'1 - Titoli e shock'!$C$29,2*((1+H98+G$5/100)^0.5-1),100,2,1)*$C$42,0)</f>
        <v>20445.816864148564</v>
      </c>
      <c r="I128" s="20">
        <f>IF(AND(I$75&lt;'1 - Titoli e shock'!$B$11,$B$42&gt;I$74),PRICE(I$74,$B$42,'1 - Titoli e shock'!$C$29,2*((1+I98+G$5/100)^0.5-1),100,2,1)*$C$42,0)</f>
        <v>20677.243697687423</v>
      </c>
      <c r="J128" s="20">
        <f>IF(AND(J$75&lt;'1 - Titoli e shock'!$B$11,$B$42&gt;J$74),PRICE(J$74,$B$42,'1 - Titoli e shock'!$C$29,2*((1+J98+G$5/100)^0.5-1),100,2,1)*$C$42,0)</f>
        <v>20849.579756681196</v>
      </c>
      <c r="K128" s="20">
        <f>IF(AND(K$75&lt;'1 - Titoli e shock'!$B$11,$B$42&gt;K$74),PRICE(K$74,$B$42,'1 - Titoli e shock'!$C$29,2*((1+K98+G$5/100)^0.5-1),100,2,1)*$C$42,0)</f>
        <v>20979.136786895946</v>
      </c>
      <c r="L128" s="20">
        <f>IF(AND(L$75&lt;'1 - Titoli e shock'!$B$11,$B$42&gt;L$74),PRICE(L$74,$B$42,'1 - Titoli e shock'!$C$29,2*((1+L98+G$5/100)^0.5-1),100,2,1)*$C$42,0)</f>
        <v>21112.965165137761</v>
      </c>
      <c r="M128" s="20">
        <f>IF(AND(M$75&lt;'1 - Titoli e shock'!$B$11,$B$42&gt;M$74),PRICE(M$74,$B$42,'1 - Titoli e shock'!$C$29,2*((1+M98+G$5/100)^0.5-1),100,2,1)*$C$42,0)</f>
        <v>21220.374923391577</v>
      </c>
      <c r="N128" s="20">
        <f>IF(AND(N$75&lt;'1 - Titoli e shock'!$B$11,$B$42&gt;N$74),PRICE(N$74,$B$42,'1 - Titoli e shock'!$C$29,2*((1+N98+G$5/100)^0.5-1),100,2,1)*$C$42,0)</f>
        <v>21210.46878368115</v>
      </c>
      <c r="O128" s="20">
        <f>IF(AND(O$75&lt;'1 - Titoli e shock'!$B$11,$B$42&gt;O$74),PRICE(O$74,$B$42,'1 - Titoli e shock'!$C$29,2*((1+O98+G$5/100)^0.5-1),100,2,1)*$C$42,0)</f>
        <v>0</v>
      </c>
      <c r="P128" s="20">
        <f>IF(AND(P$75&lt;'1 - Titoli e shock'!$B$11,$B$42&gt;P$74),PRICE(P$74,$B$42,'1 - Titoli e shock'!$C$29,2*((1+P98+G$5/100)^0.5-1),100,2,1)*$C$42,0)</f>
        <v>0</v>
      </c>
      <c r="Q128" s="20">
        <f>IF(AND(Q$75&lt;'1 - Titoli e shock'!$B$11,$B$42&gt;Q$74),PRICE(Q$74,$B$42,'1 - Titoli e shock'!$C$29,2*((1+Q98+G$5/100)^0.5-1),100,2,1)*$C$42,0)</f>
        <v>0</v>
      </c>
      <c r="R128" s="20">
        <f>IF(AND(R$75&lt;'1 - Titoli e shock'!$B$11,$B$42&gt;R$74),PRICE(R$74,$B$42,'1 - Titoli e shock'!$C$29,2*((1+R98+G$5/100)^0.5-1),100,2,1)*$C$42,0)</f>
        <v>0</v>
      </c>
      <c r="S128" s="20">
        <f>IF(AND(S$75&lt;'1 - Titoli e shock'!$B$11,$B$42&gt;S$74),PRICE(S$74,$B$42,'1 - Titoli e shock'!$C$29,2*((1+S98+G$5/100)^0.5-1),100,2,1)*$C$42,0)</f>
        <v>0</v>
      </c>
      <c r="T128" s="20">
        <f>IF(AND(T$75&lt;'1 - Titoli e shock'!$B$11,$B$42&gt;T$74),PRICE(T$74,$B$42,'1 - Titoli e shock'!$C$29,2*((1+T98+G$5/100)^0.5-1),100,2,1)*$C$42,0)</f>
        <v>0</v>
      </c>
      <c r="U128" s="20">
        <f>IF(AND(U$75&lt;'1 - Titoli e shock'!$B$11,$B$42&gt;U$74),PRICE(U$74,$B$42,'1 - Titoli e shock'!$C$29,2*((1+U98+G$5/100)^0.5-1),100,2,1)*$C$42,0)</f>
        <v>0</v>
      </c>
    </row>
    <row r="129" spans="1:21">
      <c r="A129" s="22" t="str">
        <f t="shared" si="32"/>
        <v>BTP 4,00% ott 2036</v>
      </c>
      <c r="F129" s="20">
        <f>IF(AND(F$75&lt;'1 - Titoli e shock'!$B$11,$B$43&gt;F$74),'1 - Titoli e shock'!$E$30*$C$43,0)</f>
        <v>19959.088584578669</v>
      </c>
      <c r="G129" s="20">
        <f>IF(AND(G$75&lt;'1 - Titoli e shock'!$B$11,$B$43&gt;G$74),PRICE(G$74,$B$43,'1 - Titoli e shock'!$C$30,2*((1+G99+G$5/100)^0.5-1),100,2,1)*$C$43,0)</f>
        <v>20153.029305045267</v>
      </c>
      <c r="H129" s="20">
        <f>IF(AND(H$75&lt;'1 - Titoli e shock'!$B$11,$B$43&gt;H$74),PRICE(H$74,$B$43,'1 - Titoli e shock'!$C$30,2*((1+H99+G$5/100)^0.5-1),100,2,1)*$C$43,0)</f>
        <v>20327.877058585367</v>
      </c>
      <c r="I129" s="20">
        <f>IF(AND(I$75&lt;'1 - Titoli e shock'!$B$11,$B$43&gt;I$74),PRICE(I$74,$B$43,'1 - Titoli e shock'!$C$30,2*((1+I99+G$5/100)^0.5-1),100,2,1)*$C$43,0)</f>
        <v>20513.609892343986</v>
      </c>
      <c r="J129" s="20">
        <f>IF(AND(J$75&lt;'1 - Titoli e shock'!$B$11,$B$43&gt;J$74),PRICE(J$74,$B$43,'1 - Titoli e shock'!$C$30,2*((1+J99+G$5/100)^0.5-1),100,2,1)*$C$43,0)</f>
        <v>20679.198122228838</v>
      </c>
      <c r="K129" s="20">
        <f>IF(AND(K$75&lt;'1 - Titoli e shock'!$B$11,$B$43&gt;K$74),PRICE(K$74,$B$43,'1 - Titoli e shock'!$C$30,2*((1+K99+G$5/100)^0.5-1),100,2,1)*$C$43,0)</f>
        <v>20783.085428380284</v>
      </c>
      <c r="L129" s="20">
        <f>IF(AND(L$75&lt;'1 - Titoli e shock'!$B$11,$B$43&gt;L$74),PRICE(L$74,$B$43,'1 - Titoli e shock'!$C$30,2*((1+L99+G$5/100)^0.5-1),100,2,1)*$C$43,0)</f>
        <v>20841.828013459286</v>
      </c>
      <c r="M129" s="20">
        <f>IF(AND(M$75&lt;'1 - Titoli e shock'!$B$11,$B$43&gt;M$74),PRICE(M$74,$B$43,'1 - Titoli e shock'!$C$30,2*((1+M99+G$5/100)^0.5-1),100,2,1)*$C$43,0)</f>
        <v>20901.063036360443</v>
      </c>
      <c r="N129" s="20">
        <f>IF(AND(N$75&lt;'1 - Titoli e shock'!$B$11,$B$43&gt;N$74),PRICE(N$74,$B$43,'1 - Titoli e shock'!$C$30,2*((1+N99+G$5/100)^0.5-1),100,2,1)*$C$43,0)</f>
        <v>20931.833122890101</v>
      </c>
      <c r="O129" s="20">
        <f>IF(AND(O$75&lt;'1 - Titoli e shock'!$B$11,$B$43&gt;O$74),PRICE(O$74,$B$43,'1 - Titoli e shock'!$C$30,2*((1+O99+G$5/100)^0.5-1),100,2,1)*$C$43,0)</f>
        <v>20844.327080292602</v>
      </c>
      <c r="P129" s="20">
        <f>IF(AND(P$75&lt;'1 - Titoli e shock'!$B$11,$B$43&gt;P$74),PRICE(P$74,$B$43,'1 - Titoli e shock'!$C$30,2*((1+P99+G$5/100)^0.5-1),100,2,1)*$C$43,0)</f>
        <v>0</v>
      </c>
      <c r="Q129" s="20">
        <f>IF(AND(Q$75&lt;'1 - Titoli e shock'!$B$11,$B$43&gt;Q$74),PRICE(Q$74,$B$43,'1 - Titoli e shock'!$C$30,2*((1+Q99+G$5/100)^0.5-1),100,2,1)*$C$43,0)</f>
        <v>0</v>
      </c>
      <c r="R129" s="20">
        <f>IF(AND(R$75&lt;'1 - Titoli e shock'!$B$11,$B$43&gt;R$74),PRICE(R$74,$B$43,'1 - Titoli e shock'!$C$30,2*((1+R99+G$5/100)^0.5-1),100,2,1)*$C$43,0)</f>
        <v>0</v>
      </c>
      <c r="S129" s="20">
        <f>IF(AND(S$75&lt;'1 - Titoli e shock'!$B$11,$B$43&gt;S$74),PRICE(S$74,$B$43,'1 - Titoli e shock'!$C$30,2*((1+S99+G$5/100)^0.5-1),100,2,1)*$C$43,0)</f>
        <v>0</v>
      </c>
      <c r="T129" s="20">
        <f>IF(AND(T$75&lt;'1 - Titoli e shock'!$B$11,$B$43&gt;T$74),PRICE(T$74,$B$43,'1 - Titoli e shock'!$C$30,2*((1+T99+G$5/100)^0.5-1),100,2,1)*$C$43,0)</f>
        <v>0</v>
      </c>
      <c r="U129" s="20">
        <f>IF(AND(U$75&lt;'1 - Titoli e shock'!$B$11,$B$43&gt;U$74),PRICE(U$74,$B$43,'1 - Titoli e shock'!$C$30,2*((1+U99+G$5/100)^0.5-1),100,2,1)*$C$43,0)</f>
        <v>0</v>
      </c>
    </row>
    <row r="130" spans="1:21">
      <c r="A130" s="22" t="str">
        <f t="shared" si="32"/>
        <v>BTP 4,50% ott 2053</v>
      </c>
      <c r="F130" s="20">
        <f>IF(AND(F$75&lt;'1 - Titoli e shock'!$B$11,$B$44&gt;F$74),'1 - Titoli e shock'!$E$33*$C$44,0)</f>
        <v>199522.79339074739</v>
      </c>
      <c r="G130" s="20">
        <f>IF(AND(G$75&lt;'1 - Titoli e shock'!$B$11,$B$44&gt;G$74),PRICE(G$74,$B$44,'1 - Titoli e shock'!$C$33,2*((1+G100+G$5/100)^0.5-1),100,2,1)*$C$44,0)</f>
        <v>200318.81599747698</v>
      </c>
      <c r="H130" s="20">
        <f>IF(AND(H$75&lt;'1 - Titoli e shock'!$B$11,$B$44&gt;H$74),PRICE(H$74,$B$44,'1 - Titoli e shock'!$C$33,2*((1+H100+G$5/100)^0.5-1),100,2,1)*$C$44,0)</f>
        <v>201112.93494801881</v>
      </c>
      <c r="I130" s="20">
        <f>IF(AND(I$75&lt;'1 - Titoli e shock'!$B$11,$B$44&gt;I$74),PRICE(I$74,$B$44,'1 - Titoli e shock'!$C$33,2*((1+I100+G$5/100)^0.5-1),100,2,1)*$C$44,0)</f>
        <v>201900.98844516207</v>
      </c>
      <c r="J130" s="20">
        <f>IF(AND(J$75&lt;'1 - Titoli e shock'!$B$11,$B$44&gt;J$74),PRICE(J$74,$B$44,'1 - Titoli e shock'!$C$33,2*((1+J100+G$5/100)^0.5-1),100,2,1)*$C$44,0)</f>
        <v>202683.2069681556</v>
      </c>
      <c r="K130" s="20">
        <f>IF(AND(K$75&lt;'1 - Titoli e shock'!$B$11,$B$44&gt;K$74),PRICE(K$74,$B$44,'1 - Titoli e shock'!$C$33,2*((1+K100+G$5/100)^0.5-1),100,2,1)*$C$44,0)</f>
        <v>203458.19107890956</v>
      </c>
      <c r="L130" s="20">
        <f>IF(AND(L$75&lt;'1 - Titoli e shock'!$B$11,$B$44&gt;L$74),PRICE(L$74,$B$44,'1 - Titoli e shock'!$C$33,2*((1+L100+G$5/100)^0.5-1),100,2,1)*$C$44,0)</f>
        <v>204225.95777270308</v>
      </c>
      <c r="M130" s="20">
        <f>IF(AND(M$75&lt;'1 - Titoli e shock'!$B$11,$B$44&gt;M$74),PRICE(M$74,$B$44,'1 - Titoli e shock'!$C$33,2*((1+M100+G$5/100)^0.5-1),100,2,1)*$C$44,0)</f>
        <v>205009.59778275518</v>
      </c>
      <c r="N130" s="20">
        <f>IF(AND(N$75&lt;'1 - Titoli e shock'!$B$11,$B$44&gt;N$74),PRICE(N$74,$B$44,'1 - Titoli e shock'!$C$33,2*((1+N100+G$5/100)^0.5-1),100,2,1)*$C$44,0)</f>
        <v>205817.82168023507</v>
      </c>
      <c r="O130" s="20">
        <f>IF(AND(O$75&lt;'1 - Titoli e shock'!$B$11,$B$44&gt;O$74),PRICE(O$74,$B$44,'1 - Titoli e shock'!$C$33,2*((1+O100+G$5/100)^0.5-1),100,2,1)*$C$44,0)</f>
        <v>206608.55673765551</v>
      </c>
      <c r="P130" s="20">
        <f>IF(AND(P$75&lt;'1 - Titoli e shock'!$B$11,$B$44&gt;P$74),PRICE(P$74,$B$44,'1 - Titoli e shock'!$C$33,2*((1+P100+G$5/100)^0.5-1),100,2,1)*$C$44,0)</f>
        <v>0</v>
      </c>
      <c r="Q130" s="20">
        <f>IF(AND(Q$75&lt;'1 - Titoli e shock'!$B$11,$B$44&gt;Q$74),PRICE(Q$74,$B$44,'1 - Titoli e shock'!$C$33,2*((1+Q100+G$5/100)^0.5-1),100,2,1)*$C$44,0)</f>
        <v>0</v>
      </c>
      <c r="R130" s="20">
        <f>IF(AND(R$75&lt;'1 - Titoli e shock'!$B$11,$B$44&gt;R$74),PRICE(R$74,$B$44,'1 - Titoli e shock'!$C$33,2*((1+R100+G$5/100)^0.5-1),100,2,1)*$C$44,0)</f>
        <v>0</v>
      </c>
      <c r="S130" s="20">
        <f>IF(AND(S$75&lt;'1 - Titoli e shock'!$B$11,$B$44&gt;S$74),PRICE(S$74,$B$44,'1 - Titoli e shock'!$C$33,2*((1+S100+G$5/100)^0.5-1),100,2,1)*$C$44,0)</f>
        <v>0</v>
      </c>
      <c r="T130" s="20">
        <f>IF(AND(T$75&lt;'1 - Titoli e shock'!$B$11,$B$44&gt;T$74),PRICE(T$74,$B$44,'1 - Titoli e shock'!$C$33,2*((1+T100+G$5/100)^0.5-1),100,2,1)*$C$44,0)</f>
        <v>0</v>
      </c>
      <c r="U130" s="20">
        <f>IF(AND(U$75&lt;'1 - Titoli e shock'!$B$11,$B$44&gt;U$74),PRICE(U$74,$B$44,'1 - Titoli e shock'!$C$33,2*((1+U100+G$5/100)^0.5-1),100,2,1)*$C$44,0)</f>
        <v>0</v>
      </c>
    </row>
    <row r="131" spans="1:21">
      <c r="A131" s="5" t="s">
        <v>254</v>
      </c>
      <c r="F131" s="20">
        <f>SUM(F120:F129)+IF(F$75&lt;'1 - Titoli e shock'!$B$11,SUMPRODUCT(($B$34:$B$43&lt;=F$74)*($E$34:$E$43&gt;F$74)*$D$34:$D$43),0)</f>
        <v>198522.85277708061</v>
      </c>
      <c r="G131" s="20">
        <f>SUM(G120:G129)+IF(G$75&lt;'1 - Titoli e shock'!$B$11,SUMPRODUCT(($B$34:$B$43&lt;=G$74)*($E$34:$E$43&gt;G$74)*$D$34:$D$43),0)</f>
        <v>200448.90163893139</v>
      </c>
      <c r="H131" s="20">
        <f>SUM(H120:H129)+IF(H$75&lt;'1 - Titoli e shock'!$B$11,SUMPRODUCT(($B$34:$B$43&lt;=H$74)*($E$34:$E$43&gt;H$74)*$D$34:$D$43),0)</f>
        <v>201973.33022732596</v>
      </c>
      <c r="I131" s="20">
        <f>SUM(I120:I129)+IF(I$75&lt;'1 - Titoli e shock'!$B$11,SUMPRODUCT(($B$34:$B$43&lt;=I$74)*($E$34:$E$43&gt;I$74)*$D$34:$D$43),0)</f>
        <v>203057.25284125246</v>
      </c>
      <c r="J131" s="20">
        <f>SUM(J120:J129)+IF(J$75&lt;'1 - Titoli e shock'!$B$11,SUMPRODUCT(($B$34:$B$43&lt;=J$74)*($E$34:$E$43&gt;J$74)*$D$34:$D$43),0)</f>
        <v>203741.95441063857</v>
      </c>
      <c r="K131" s="20">
        <f>SUM(K120:K129)+IF(K$75&lt;'1 - Titoli e shock'!$B$11,SUMPRODUCT(($B$34:$B$43&lt;=K$74)*($E$34:$E$43&gt;K$74)*$D$34:$D$43),0)</f>
        <v>204111.1060551054</v>
      </c>
      <c r="L131" s="20">
        <f>SUM(L120:L129)+IF(L$75&lt;'1 - Titoli e shock'!$B$11,SUMPRODUCT(($B$34:$B$43&lt;=L$74)*($E$34:$E$43&gt;L$74)*$D$34:$D$43),0)</f>
        <v>204139.7734633722</v>
      </c>
      <c r="M131" s="20">
        <f>SUM(M120:M129)+IF(M$75&lt;'1 - Titoli e shock'!$B$11,SUMPRODUCT(($B$34:$B$43&lt;=M$74)*($E$34:$E$43&gt;M$74)*$D$34:$D$43),0)</f>
        <v>203953.71787507046</v>
      </c>
      <c r="N131" s="20">
        <f>SUM(N120:N129)+IF(N$75&lt;'1 - Titoli e shock'!$B$11,SUMPRODUCT(($B$34:$B$43&lt;=N$74)*($E$34:$E$43&gt;N$74)*$D$34:$D$43),0)</f>
        <v>203845.17629250159</v>
      </c>
      <c r="O131" s="20">
        <f>SUM(O120:O129)+IF(O$75&lt;'1 - Titoli e shock'!$B$11,SUMPRODUCT(($B$34:$B$43&lt;=O$74)*($E$34:$E$43&gt;O$74)*$D$34:$D$43),0)</f>
        <v>203408.70263196039</v>
      </c>
      <c r="P131" s="20">
        <f>SUM(P120:P129)+IF(P$75&lt;'1 - Titoli e shock'!$B$11,SUMPRODUCT(($B$34:$B$43&lt;=P$74)*($E$34:$E$43&gt;P$74)*$D$34:$D$43),0)</f>
        <v>0</v>
      </c>
      <c r="Q131" s="20">
        <f>SUM(Q120:Q129)+IF(Q$75&lt;'1 - Titoli e shock'!$B$11,SUMPRODUCT(($B$34:$B$43&lt;=Q$74)*($E$34:$E$43&gt;Q$74)*$D$34:$D$43),0)</f>
        <v>0</v>
      </c>
      <c r="R131" s="20">
        <f>SUM(R120:R129)+IF(R$75&lt;'1 - Titoli e shock'!$B$11,SUMPRODUCT(($B$34:$B$43&lt;=R$74)*($E$34:$E$43&gt;R$74)*$D$34:$D$43),0)</f>
        <v>0</v>
      </c>
      <c r="S131" s="20">
        <f>SUM(S120:S129)+IF(S$75&lt;'1 - Titoli e shock'!$B$11,SUMPRODUCT(($B$34:$B$43&lt;=S$74)*($E$34:$E$43&gt;S$74)*$D$34:$D$43),0)</f>
        <v>0</v>
      </c>
      <c r="T131" s="20">
        <f>SUM(T120:T129)+IF(T$75&lt;'1 - Titoli e shock'!$B$11,SUMPRODUCT(($B$34:$B$43&lt;=T$74)*($E$34:$E$43&gt;T$74)*$D$34:$D$43),0)</f>
        <v>0</v>
      </c>
      <c r="U131" s="20">
        <f>SUM(U120:U129)+IF(U$75&lt;'1 - Titoli e shock'!$B$11,SUMPRODUCT(($B$34:$B$43&lt;=U$74)*($E$34:$E$43&gt;U$74)*$D$34:$D$43),0)</f>
        <v>0</v>
      </c>
    </row>
    <row r="132" spans="1:21">
      <c r="A132" s="5" t="s">
        <v>255</v>
      </c>
      <c r="F132" s="20">
        <f t="shared" ref="F132:U132" si="33">F130</f>
        <v>199522.79339074739</v>
      </c>
      <c r="G132" s="20">
        <f t="shared" si="33"/>
        <v>200318.81599747698</v>
      </c>
      <c r="H132" s="20">
        <f t="shared" si="33"/>
        <v>201112.93494801881</v>
      </c>
      <c r="I132" s="20">
        <f t="shared" si="33"/>
        <v>201900.98844516207</v>
      </c>
      <c r="J132" s="20">
        <f t="shared" si="33"/>
        <v>202683.2069681556</v>
      </c>
      <c r="K132" s="20">
        <f t="shared" si="33"/>
        <v>203458.19107890956</v>
      </c>
      <c r="L132" s="20">
        <f t="shared" si="33"/>
        <v>204225.95777270308</v>
      </c>
      <c r="M132" s="20">
        <f t="shared" si="33"/>
        <v>205009.59778275518</v>
      </c>
      <c r="N132" s="20">
        <f t="shared" si="33"/>
        <v>205817.82168023507</v>
      </c>
      <c r="O132" s="20">
        <f t="shared" si="33"/>
        <v>206608.55673765551</v>
      </c>
      <c r="P132" s="20">
        <f t="shared" si="33"/>
        <v>0</v>
      </c>
      <c r="Q132" s="20">
        <f t="shared" si="33"/>
        <v>0</v>
      </c>
      <c r="R132" s="20">
        <f t="shared" si="33"/>
        <v>0</v>
      </c>
      <c r="S132" s="20">
        <f t="shared" si="33"/>
        <v>0</v>
      </c>
      <c r="T132" s="20">
        <f t="shared" si="33"/>
        <v>0</v>
      </c>
      <c r="U132" s="20">
        <f t="shared" si="33"/>
        <v>0</v>
      </c>
    </row>
    <row r="135" spans="1:21">
      <c r="A135" s="36" t="s">
        <v>257</v>
      </c>
      <c r="B135" s="33"/>
      <c r="C135" s="33"/>
      <c r="D135" s="33"/>
      <c r="E135" s="33"/>
      <c r="F135" s="33"/>
      <c r="G135" s="33"/>
      <c r="H135" s="33"/>
      <c r="I135" s="33"/>
      <c r="J135" s="33"/>
    </row>
    <row r="136" spans="1:21">
      <c r="A136" s="22" t="str">
        <f t="shared" ref="A136:A146" si="34">A34</f>
        <v>BTP 2,70% ott 2027</v>
      </c>
      <c r="F136" s="20">
        <f>IF(AND(F$75&lt;'1 - Titoli e shock'!$B$11,$B$34&gt;F$74),'1 - Titoli e shock'!$E$21*$C$34,0)</f>
        <v>19994.041245176722</v>
      </c>
      <c r="G136" s="20">
        <f>IF(AND(G$75&lt;'1 - Titoli e shock'!$B$11,$B$34&gt;G$74),PRICE(G$74,$B$34,'1 - Titoli e shock'!$C$21,2*((1+G90+H$5/100)^0.5-1),100,2,1)*$C$34,0)</f>
        <v>0</v>
      </c>
      <c r="H136" s="20">
        <f>IF(AND(H$75&lt;'1 - Titoli e shock'!$B$11,$B$34&gt;H$74),PRICE(H$74,$B$34,'1 - Titoli e shock'!$C$21,2*((1+H90+H$5/100)^0.5-1),100,2,1)*$C$34,0)</f>
        <v>0</v>
      </c>
      <c r="I136" s="20">
        <f>IF(AND(I$75&lt;'1 - Titoli e shock'!$B$11,$B$34&gt;I$74),PRICE(I$74,$B$34,'1 - Titoli e shock'!$C$21,2*((1+I90+H$5/100)^0.5-1),100,2,1)*$C$34,0)</f>
        <v>0</v>
      </c>
      <c r="J136" s="20">
        <f>IF(AND(J$75&lt;'1 - Titoli e shock'!$B$11,$B$34&gt;J$74),PRICE(J$74,$B$34,'1 - Titoli e shock'!$C$21,2*((1+J90+H$5/100)^0.5-1),100,2,1)*$C$34,0)</f>
        <v>0</v>
      </c>
      <c r="K136" s="20">
        <f>IF(AND(K$75&lt;'1 - Titoli e shock'!$B$11,$B$34&gt;K$74),PRICE(K$74,$B$34,'1 - Titoli e shock'!$C$21,2*((1+K90+H$5/100)^0.5-1),100,2,1)*$C$34,0)</f>
        <v>0</v>
      </c>
      <c r="L136" s="20">
        <f>IF(AND(L$75&lt;'1 - Titoli e shock'!$B$11,$B$34&gt;L$74),PRICE(L$74,$B$34,'1 - Titoli e shock'!$C$21,2*((1+L90+H$5/100)^0.5-1),100,2,1)*$C$34,0)</f>
        <v>0</v>
      </c>
      <c r="M136" s="20">
        <f>IF(AND(M$75&lt;'1 - Titoli e shock'!$B$11,$B$34&gt;M$74),PRICE(M$74,$B$34,'1 - Titoli e shock'!$C$21,2*((1+M90+H$5/100)^0.5-1),100,2,1)*$C$34,0)</f>
        <v>0</v>
      </c>
      <c r="N136" s="20">
        <f>IF(AND(N$75&lt;'1 - Titoli e shock'!$B$11,$B$34&gt;N$74),PRICE(N$74,$B$34,'1 - Titoli e shock'!$C$21,2*((1+N90+H$5/100)^0.5-1),100,2,1)*$C$34,0)</f>
        <v>0</v>
      </c>
      <c r="O136" s="20">
        <f>IF(AND(O$75&lt;'1 - Titoli e shock'!$B$11,$B$34&gt;O$74),PRICE(O$74,$B$34,'1 - Titoli e shock'!$C$21,2*((1+O90+H$5/100)^0.5-1),100,2,1)*$C$34,0)</f>
        <v>0</v>
      </c>
      <c r="P136" s="20">
        <f>IF(AND(P$75&lt;'1 - Titoli e shock'!$B$11,$B$34&gt;P$74),PRICE(P$74,$B$34,'1 - Titoli e shock'!$C$21,2*((1+P90+H$5/100)^0.5-1),100,2,1)*$C$34,0)</f>
        <v>0</v>
      </c>
      <c r="Q136" s="20">
        <f>IF(AND(Q$75&lt;'1 - Titoli e shock'!$B$11,$B$34&gt;Q$74),PRICE(Q$74,$B$34,'1 - Titoli e shock'!$C$21,2*((1+Q90+H$5/100)^0.5-1),100,2,1)*$C$34,0)</f>
        <v>0</v>
      </c>
      <c r="R136" s="20">
        <f>IF(AND(R$75&lt;'1 - Titoli e shock'!$B$11,$B$34&gt;R$74),PRICE(R$74,$B$34,'1 - Titoli e shock'!$C$21,2*((1+R90+H$5/100)^0.5-1),100,2,1)*$C$34,0)</f>
        <v>0</v>
      </c>
      <c r="S136" s="20">
        <f>IF(AND(S$75&lt;'1 - Titoli e shock'!$B$11,$B$34&gt;S$74),PRICE(S$74,$B$34,'1 - Titoli e shock'!$C$21,2*((1+S90+H$5/100)^0.5-1),100,2,1)*$C$34,0)</f>
        <v>0</v>
      </c>
      <c r="T136" s="20">
        <f>IF(AND(T$75&lt;'1 - Titoli e shock'!$B$11,$B$34&gt;T$74),PRICE(T$74,$B$34,'1 - Titoli e shock'!$C$21,2*((1+T90+H$5/100)^0.5-1),100,2,1)*$C$34,0)</f>
        <v>0</v>
      </c>
      <c r="U136" s="20">
        <f>IF(AND(U$75&lt;'1 - Titoli e shock'!$B$11,$B$34&gt;U$74),PRICE(U$74,$B$34,'1 - Titoli e shock'!$C$21,2*((1+U90+H$5/100)^0.5-1),100,2,1)*$C$34,0)</f>
        <v>0</v>
      </c>
    </row>
    <row r="137" spans="1:21">
      <c r="A137" s="22" t="str">
        <f t="shared" si="34"/>
        <v>BTP 2,80% dic 2028</v>
      </c>
      <c r="F137" s="20">
        <f>IF(AND(F$75&lt;'1 - Titoli e shock'!$B$11,$B$35&gt;F$74),'1 - Titoli e shock'!$E$22*$C$35,0)</f>
        <v>19785.515747083671</v>
      </c>
      <c r="G137" s="20">
        <f>IF(AND(G$75&lt;'1 - Titoli e shock'!$B$11,$B$35&gt;G$74),PRICE(G$74,$B$35,'1 - Titoli e shock'!$C$22,2*((1+G91+H$5/100)^0.5-1),100,2,1)*$C$35,0)</f>
        <v>19729.151287370983</v>
      </c>
      <c r="H137" s="20">
        <f>IF(AND(H$75&lt;'1 - Titoli e shock'!$B$11,$B$35&gt;H$74),PRICE(H$74,$B$35,'1 - Titoli e shock'!$C$22,2*((1+H91+H$5/100)^0.5-1),100,2,1)*$C$35,0)</f>
        <v>19993.380930531039</v>
      </c>
      <c r="I137" s="20">
        <f>IF(AND(I$75&lt;'1 - Titoli e shock'!$B$11,$B$35&gt;I$74),PRICE(I$74,$B$35,'1 - Titoli e shock'!$C$22,2*((1+I91+H$5/100)^0.5-1),100,2,1)*$C$35,0)</f>
        <v>0</v>
      </c>
      <c r="J137" s="20">
        <f>IF(AND(J$75&lt;'1 - Titoli e shock'!$B$11,$B$35&gt;J$74),PRICE(J$74,$B$35,'1 - Titoli e shock'!$C$22,2*((1+J91+H$5/100)^0.5-1),100,2,1)*$C$35,0)</f>
        <v>0</v>
      </c>
      <c r="K137" s="20">
        <f>IF(AND(K$75&lt;'1 - Titoli e shock'!$B$11,$B$35&gt;K$74),PRICE(K$74,$B$35,'1 - Titoli e shock'!$C$22,2*((1+K91+H$5/100)^0.5-1),100,2,1)*$C$35,0)</f>
        <v>0</v>
      </c>
      <c r="L137" s="20">
        <f>IF(AND(L$75&lt;'1 - Titoli e shock'!$B$11,$B$35&gt;L$74),PRICE(L$74,$B$35,'1 - Titoli e shock'!$C$22,2*((1+L91+H$5/100)^0.5-1),100,2,1)*$C$35,0)</f>
        <v>0</v>
      </c>
      <c r="M137" s="20">
        <f>IF(AND(M$75&lt;'1 - Titoli e shock'!$B$11,$B$35&gt;M$74),PRICE(M$74,$B$35,'1 - Titoli e shock'!$C$22,2*((1+M91+H$5/100)^0.5-1),100,2,1)*$C$35,0)</f>
        <v>0</v>
      </c>
      <c r="N137" s="20">
        <f>IF(AND(N$75&lt;'1 - Titoli e shock'!$B$11,$B$35&gt;N$74),PRICE(N$74,$B$35,'1 - Titoli e shock'!$C$22,2*((1+N91+H$5/100)^0.5-1),100,2,1)*$C$35,0)</f>
        <v>0</v>
      </c>
      <c r="O137" s="20">
        <f>IF(AND(O$75&lt;'1 - Titoli e shock'!$B$11,$B$35&gt;O$74),PRICE(O$74,$B$35,'1 - Titoli e shock'!$C$22,2*((1+O91+H$5/100)^0.5-1),100,2,1)*$C$35,0)</f>
        <v>0</v>
      </c>
      <c r="P137" s="20">
        <f>IF(AND(P$75&lt;'1 - Titoli e shock'!$B$11,$B$35&gt;P$74),PRICE(P$74,$B$35,'1 - Titoli e shock'!$C$22,2*((1+P91+H$5/100)^0.5-1),100,2,1)*$C$35,0)</f>
        <v>0</v>
      </c>
      <c r="Q137" s="20">
        <f>IF(AND(Q$75&lt;'1 - Titoli e shock'!$B$11,$B$35&gt;Q$74),PRICE(Q$74,$B$35,'1 - Titoli e shock'!$C$22,2*((1+Q91+H$5/100)^0.5-1),100,2,1)*$C$35,0)</f>
        <v>0</v>
      </c>
      <c r="R137" s="20">
        <f>IF(AND(R$75&lt;'1 - Titoli e shock'!$B$11,$B$35&gt;R$74),PRICE(R$74,$B$35,'1 - Titoli e shock'!$C$22,2*((1+R91+H$5/100)^0.5-1),100,2,1)*$C$35,0)</f>
        <v>0</v>
      </c>
      <c r="S137" s="20">
        <f>IF(AND(S$75&lt;'1 - Titoli e shock'!$B$11,$B$35&gt;S$74),PRICE(S$74,$B$35,'1 - Titoli e shock'!$C$22,2*((1+S91+H$5/100)^0.5-1),100,2,1)*$C$35,0)</f>
        <v>0</v>
      </c>
      <c r="T137" s="20">
        <f>IF(AND(T$75&lt;'1 - Titoli e shock'!$B$11,$B$35&gt;T$74),PRICE(T$74,$B$35,'1 - Titoli e shock'!$C$22,2*((1+T91+H$5/100)^0.5-1),100,2,1)*$C$35,0)</f>
        <v>0</v>
      </c>
      <c r="U137" s="20">
        <f>IF(AND(U$75&lt;'1 - Titoli e shock'!$B$11,$B$35&gt;U$74),PRICE(U$74,$B$35,'1 - Titoli e shock'!$C$22,2*((1+U91+H$5/100)^0.5-1),100,2,1)*$C$35,0)</f>
        <v>0</v>
      </c>
    </row>
    <row r="138" spans="1:21">
      <c r="A138" s="22" t="str">
        <f t="shared" si="34"/>
        <v>BTP 3,00% ott 2029</v>
      </c>
      <c r="F138" s="20">
        <f>IF(AND(F$75&lt;'1 - Titoli e shock'!$B$11,$B$36&gt;F$74),'1 - Titoli e shock'!$E$23*$C$36,0)</f>
        <v>19969.855911255803</v>
      </c>
      <c r="G138" s="20">
        <f>IF(AND(G$75&lt;'1 - Titoli e shock'!$B$11,$B$36&gt;G$74),PRICE(G$74,$B$36,'1 - Titoli e shock'!$C$23,2*((1+G92+H$5/100)^0.5-1),100,2,1)*$C$36,0)</f>
        <v>19815.735575139472</v>
      </c>
      <c r="H138" s="20">
        <f>IF(AND(H$75&lt;'1 - Titoli e shock'!$B$11,$B$36&gt;H$74),PRICE(H$74,$B$36,'1 - Titoli e shock'!$C$23,2*((1+H92+H$5/100)^0.5-1),100,2,1)*$C$36,0)</f>
        <v>20105.070098170327</v>
      </c>
      <c r="I138" s="20">
        <f>IF(AND(I$75&lt;'1 - Titoli e shock'!$B$11,$B$36&gt;I$74),PRICE(I$74,$B$36,'1 - Titoli e shock'!$C$23,2*((1+I92+H$5/100)^0.5-1),100,2,1)*$C$36,0)</f>
        <v>0</v>
      </c>
      <c r="J138" s="20">
        <f>IF(AND(J$75&lt;'1 - Titoli e shock'!$B$11,$B$36&gt;J$74),PRICE(J$74,$B$36,'1 - Titoli e shock'!$C$23,2*((1+J92+H$5/100)^0.5-1),100,2,1)*$C$36,0)</f>
        <v>0</v>
      </c>
      <c r="K138" s="20">
        <f>IF(AND(K$75&lt;'1 - Titoli e shock'!$B$11,$B$36&gt;K$74),PRICE(K$74,$B$36,'1 - Titoli e shock'!$C$23,2*((1+K92+H$5/100)^0.5-1),100,2,1)*$C$36,0)</f>
        <v>0</v>
      </c>
      <c r="L138" s="20">
        <f>IF(AND(L$75&lt;'1 - Titoli e shock'!$B$11,$B$36&gt;L$74),PRICE(L$74,$B$36,'1 - Titoli e shock'!$C$23,2*((1+L92+H$5/100)^0.5-1),100,2,1)*$C$36,0)</f>
        <v>0</v>
      </c>
      <c r="M138" s="20">
        <f>IF(AND(M$75&lt;'1 - Titoli e shock'!$B$11,$B$36&gt;M$74),PRICE(M$74,$B$36,'1 - Titoli e shock'!$C$23,2*((1+M92+H$5/100)^0.5-1),100,2,1)*$C$36,0)</f>
        <v>0</v>
      </c>
      <c r="N138" s="20">
        <f>IF(AND(N$75&lt;'1 - Titoli e shock'!$B$11,$B$36&gt;N$74),PRICE(N$74,$B$36,'1 - Titoli e shock'!$C$23,2*((1+N92+H$5/100)^0.5-1),100,2,1)*$C$36,0)</f>
        <v>0</v>
      </c>
      <c r="O138" s="20">
        <f>IF(AND(O$75&lt;'1 - Titoli e shock'!$B$11,$B$36&gt;O$74),PRICE(O$74,$B$36,'1 - Titoli e shock'!$C$23,2*((1+O92+H$5/100)^0.5-1),100,2,1)*$C$36,0)</f>
        <v>0</v>
      </c>
      <c r="P138" s="20">
        <f>IF(AND(P$75&lt;'1 - Titoli e shock'!$B$11,$B$36&gt;P$74),PRICE(P$74,$B$36,'1 - Titoli e shock'!$C$23,2*((1+P92+H$5/100)^0.5-1),100,2,1)*$C$36,0)</f>
        <v>0</v>
      </c>
      <c r="Q138" s="20">
        <f>IF(AND(Q$75&lt;'1 - Titoli e shock'!$B$11,$B$36&gt;Q$74),PRICE(Q$74,$B$36,'1 - Titoli e shock'!$C$23,2*((1+Q92+H$5/100)^0.5-1),100,2,1)*$C$36,0)</f>
        <v>0</v>
      </c>
      <c r="R138" s="20">
        <f>IF(AND(R$75&lt;'1 - Titoli e shock'!$B$11,$B$36&gt;R$74),PRICE(R$74,$B$36,'1 - Titoli e shock'!$C$23,2*((1+R92+H$5/100)^0.5-1),100,2,1)*$C$36,0)</f>
        <v>0</v>
      </c>
      <c r="S138" s="20">
        <f>IF(AND(S$75&lt;'1 - Titoli e shock'!$B$11,$B$36&gt;S$74),PRICE(S$74,$B$36,'1 - Titoli e shock'!$C$23,2*((1+S92+H$5/100)^0.5-1),100,2,1)*$C$36,0)</f>
        <v>0</v>
      </c>
      <c r="T138" s="20">
        <f>IF(AND(T$75&lt;'1 - Titoli e shock'!$B$11,$B$36&gt;T$74),PRICE(T$74,$B$36,'1 - Titoli e shock'!$C$23,2*((1+T92+H$5/100)^0.5-1),100,2,1)*$C$36,0)</f>
        <v>0</v>
      </c>
      <c r="U138" s="20">
        <f>IF(AND(U$75&lt;'1 - Titoli e shock'!$B$11,$B$36&gt;U$74),PRICE(U$74,$B$36,'1 - Titoli e shock'!$C$23,2*((1+U92+H$5/100)^0.5-1),100,2,1)*$C$36,0)</f>
        <v>0</v>
      </c>
    </row>
    <row r="139" spans="1:21">
      <c r="A139" s="22" t="str">
        <f t="shared" si="34"/>
        <v>BTP 2,70% ott 2030</v>
      </c>
      <c r="F139" s="20">
        <f>IF(AND(F$75&lt;'1 - Titoli e shock'!$B$11,$B$37&gt;F$74),'1 - Titoli e shock'!$E$24*$C$37,0)</f>
        <v>19972.234251507405</v>
      </c>
      <c r="G139" s="20">
        <f>IF(AND(G$75&lt;'1 - Titoli e shock'!$B$11,$B$37&gt;G$74),PRICE(G$74,$B$37,'1 - Titoli e shock'!$C$24,2*((1+G93+H$5/100)^0.5-1),100,2,1)*$C$37,0)</f>
        <v>19717.122456158249</v>
      </c>
      <c r="H139" s="20">
        <f>IF(AND(H$75&lt;'1 - Titoli e shock'!$B$11,$B$37&gt;H$74),PRICE(H$74,$B$37,'1 - Titoli e shock'!$C$24,2*((1+H93+H$5/100)^0.5-1),100,2,1)*$C$37,0)</f>
        <v>20165.145306320264</v>
      </c>
      <c r="I139" s="20">
        <f>IF(AND(I$75&lt;'1 - Titoli e shock'!$B$11,$B$37&gt;I$74),PRICE(I$74,$B$37,'1 - Titoli e shock'!$C$24,2*((1+I93+H$5/100)^0.5-1),100,2,1)*$C$37,0)</f>
        <v>20518.904002470903</v>
      </c>
      <c r="J139" s="20">
        <f>IF(AND(J$75&lt;'1 - Titoli e shock'!$B$11,$B$37&gt;J$74),PRICE(J$74,$B$37,'1 - Titoli e shock'!$C$24,2*((1+J93+H$5/100)^0.5-1),100,2,1)*$C$37,0)</f>
        <v>0</v>
      </c>
      <c r="K139" s="20">
        <f>IF(AND(K$75&lt;'1 - Titoli e shock'!$B$11,$B$37&gt;K$74),PRICE(K$74,$B$37,'1 - Titoli e shock'!$C$24,2*((1+K93+H$5/100)^0.5-1),100,2,1)*$C$37,0)</f>
        <v>0</v>
      </c>
      <c r="L139" s="20">
        <f>IF(AND(L$75&lt;'1 - Titoli e shock'!$B$11,$B$37&gt;L$74),PRICE(L$74,$B$37,'1 - Titoli e shock'!$C$24,2*((1+L93+H$5/100)^0.5-1),100,2,1)*$C$37,0)</f>
        <v>0</v>
      </c>
      <c r="M139" s="20">
        <f>IF(AND(M$75&lt;'1 - Titoli e shock'!$B$11,$B$37&gt;M$74),PRICE(M$74,$B$37,'1 - Titoli e shock'!$C$24,2*((1+M93+H$5/100)^0.5-1),100,2,1)*$C$37,0)</f>
        <v>0</v>
      </c>
      <c r="N139" s="20">
        <f>IF(AND(N$75&lt;'1 - Titoli e shock'!$B$11,$B$37&gt;N$74),PRICE(N$74,$B$37,'1 - Titoli e shock'!$C$24,2*((1+N93+H$5/100)^0.5-1),100,2,1)*$C$37,0)</f>
        <v>0</v>
      </c>
      <c r="O139" s="20">
        <f>IF(AND(O$75&lt;'1 - Titoli e shock'!$B$11,$B$37&gt;O$74),PRICE(O$74,$B$37,'1 - Titoli e shock'!$C$24,2*((1+O93+H$5/100)^0.5-1),100,2,1)*$C$37,0)</f>
        <v>0</v>
      </c>
      <c r="P139" s="20">
        <f>IF(AND(P$75&lt;'1 - Titoli e shock'!$B$11,$B$37&gt;P$74),PRICE(P$74,$B$37,'1 - Titoli e shock'!$C$24,2*((1+P93+H$5/100)^0.5-1),100,2,1)*$C$37,0)</f>
        <v>0</v>
      </c>
      <c r="Q139" s="20">
        <f>IF(AND(Q$75&lt;'1 - Titoli e shock'!$B$11,$B$37&gt;Q$74),PRICE(Q$74,$B$37,'1 - Titoli e shock'!$C$24,2*((1+Q93+H$5/100)^0.5-1),100,2,1)*$C$37,0)</f>
        <v>0</v>
      </c>
      <c r="R139" s="20">
        <f>IF(AND(R$75&lt;'1 - Titoli e shock'!$B$11,$B$37&gt;R$74),PRICE(R$74,$B$37,'1 - Titoli e shock'!$C$24,2*((1+R93+H$5/100)^0.5-1),100,2,1)*$C$37,0)</f>
        <v>0</v>
      </c>
      <c r="S139" s="20">
        <f>IF(AND(S$75&lt;'1 - Titoli e shock'!$B$11,$B$37&gt;S$74),PRICE(S$74,$B$37,'1 - Titoli e shock'!$C$24,2*((1+S93+H$5/100)^0.5-1),100,2,1)*$C$37,0)</f>
        <v>0</v>
      </c>
      <c r="T139" s="20">
        <f>IF(AND(T$75&lt;'1 - Titoli e shock'!$B$11,$B$37&gt;T$74),PRICE(T$74,$B$37,'1 - Titoli e shock'!$C$24,2*((1+T93+H$5/100)^0.5-1),100,2,1)*$C$37,0)</f>
        <v>0</v>
      </c>
      <c r="U139" s="20">
        <f>IF(AND(U$75&lt;'1 - Titoli e shock'!$B$11,$B$37&gt;U$74),PRICE(U$74,$B$37,'1 - Titoli e shock'!$C$24,2*((1+U93+H$5/100)^0.5-1),100,2,1)*$C$37,0)</f>
        <v>0</v>
      </c>
    </row>
    <row r="140" spans="1:21">
      <c r="A140" s="22" t="str">
        <f t="shared" si="34"/>
        <v>BTP 3,15% nov 2031</v>
      </c>
      <c r="F140" s="20">
        <f>IF(AND(F$75&lt;'1 - Titoli e shock'!$B$11,$B$38&gt;F$74),'1 - Titoli e shock'!$E$25*$C$38,0)</f>
        <v>19725.468328937292</v>
      </c>
      <c r="G140" s="20">
        <f>IF(AND(G$75&lt;'1 - Titoli e shock'!$B$11,$B$38&gt;G$74),PRICE(G$74,$B$38,'1 - Titoli e shock'!$C$25,2*((1+G94+H$5/100)^0.5-1),100,2,1)*$C$38,0)</f>
        <v>19208.360061997108</v>
      </c>
      <c r="H140" s="20">
        <f>IF(AND(H$75&lt;'1 - Titoli e shock'!$B$11,$B$38&gt;H$74),PRICE(H$74,$B$38,'1 - Titoli e shock'!$C$25,2*((1+H94+H$5/100)^0.5-1),100,2,1)*$C$38,0)</f>
        <v>19576.69597381385</v>
      </c>
      <c r="I140" s="20">
        <f>IF(AND(I$75&lt;'1 - Titoli e shock'!$B$11,$B$38&gt;I$74),PRICE(I$74,$B$38,'1 - Titoli e shock'!$C$25,2*((1+I94+H$5/100)^0.5-1),100,2,1)*$C$38,0)</f>
        <v>19941.786383756305</v>
      </c>
      <c r="J140" s="20">
        <f>IF(AND(J$75&lt;'1 - Titoli e shock'!$B$11,$B$38&gt;J$74),PRICE(J$74,$B$38,'1 - Titoli e shock'!$C$25,2*((1+J94+H$5/100)^0.5-1),100,2,1)*$C$38,0)</f>
        <v>20213.642409313092</v>
      </c>
      <c r="K140" s="20">
        <f>IF(AND(K$75&lt;'1 - Titoli e shock'!$B$11,$B$38&gt;K$74),PRICE(K$74,$B$38,'1 - Titoli e shock'!$C$25,2*((1+K94+H$5/100)^0.5-1),100,2,1)*$C$38,0)</f>
        <v>20412.553135926995</v>
      </c>
      <c r="L140" s="20">
        <f>IF(AND(L$75&lt;'1 - Titoli e shock'!$B$11,$B$38&gt;L$74),PRICE(L$74,$B$38,'1 - Titoli e shock'!$C$25,2*((1+L94+H$5/100)^0.5-1),100,2,1)*$C$38,0)</f>
        <v>0</v>
      </c>
      <c r="M140" s="20">
        <f>IF(AND(M$75&lt;'1 - Titoli e shock'!$B$11,$B$38&gt;M$74),PRICE(M$74,$B$38,'1 - Titoli e shock'!$C$25,2*((1+M94+H$5/100)^0.5-1),100,2,1)*$C$38,0)</f>
        <v>0</v>
      </c>
      <c r="N140" s="20">
        <f>IF(AND(N$75&lt;'1 - Titoli e shock'!$B$11,$B$38&gt;N$74),PRICE(N$74,$B$38,'1 - Titoli e shock'!$C$25,2*((1+N94+H$5/100)^0.5-1),100,2,1)*$C$38,0)</f>
        <v>0</v>
      </c>
      <c r="O140" s="20">
        <f>IF(AND(O$75&lt;'1 - Titoli e shock'!$B$11,$B$38&gt;O$74),PRICE(O$74,$B$38,'1 - Titoli e shock'!$C$25,2*((1+O94+H$5/100)^0.5-1),100,2,1)*$C$38,0)</f>
        <v>0</v>
      </c>
      <c r="P140" s="20">
        <f>IF(AND(P$75&lt;'1 - Titoli e shock'!$B$11,$B$38&gt;P$74),PRICE(P$74,$B$38,'1 - Titoli e shock'!$C$25,2*((1+P94+H$5/100)^0.5-1),100,2,1)*$C$38,0)</f>
        <v>0</v>
      </c>
      <c r="Q140" s="20">
        <f>IF(AND(Q$75&lt;'1 - Titoli e shock'!$B$11,$B$38&gt;Q$74),PRICE(Q$74,$B$38,'1 - Titoli e shock'!$C$25,2*((1+Q94+H$5/100)^0.5-1),100,2,1)*$C$38,0)</f>
        <v>0</v>
      </c>
      <c r="R140" s="20">
        <f>IF(AND(R$75&lt;'1 - Titoli e shock'!$B$11,$B$38&gt;R$74),PRICE(R$74,$B$38,'1 - Titoli e shock'!$C$25,2*((1+R94+H$5/100)^0.5-1),100,2,1)*$C$38,0)</f>
        <v>0</v>
      </c>
      <c r="S140" s="20">
        <f>IF(AND(S$75&lt;'1 - Titoli e shock'!$B$11,$B$38&gt;S$74),PRICE(S$74,$B$38,'1 - Titoli e shock'!$C$25,2*((1+S94+H$5/100)^0.5-1),100,2,1)*$C$38,0)</f>
        <v>0</v>
      </c>
      <c r="T140" s="20">
        <f>IF(AND(T$75&lt;'1 - Titoli e shock'!$B$11,$B$38&gt;T$74),PRICE(T$74,$B$38,'1 - Titoli e shock'!$C$25,2*((1+T94+H$5/100)^0.5-1),100,2,1)*$C$38,0)</f>
        <v>0</v>
      </c>
      <c r="U140" s="20">
        <f>IF(AND(U$75&lt;'1 - Titoli e shock'!$B$11,$B$38&gt;U$74),PRICE(U$74,$B$38,'1 - Titoli e shock'!$C$25,2*((1+U94+H$5/100)^0.5-1),100,2,1)*$C$38,0)</f>
        <v>0</v>
      </c>
    </row>
    <row r="141" spans="1:21">
      <c r="A141" s="22" t="str">
        <f t="shared" si="34"/>
        <v>BTP 3,25% nov 2032</v>
      </c>
      <c r="F141" s="20">
        <f>IF(AND(F$75&lt;'1 - Titoli e shock'!$B$11,$B$39&gt;F$74),'1 - Titoli e shock'!$E$26*$C$39,0)</f>
        <v>19714.955679169416</v>
      </c>
      <c r="G141" s="20">
        <f>IF(AND(G$75&lt;'1 - Titoli e shock'!$B$11,$B$39&gt;G$74),PRICE(G$74,$B$39,'1 - Titoli e shock'!$C$26,2*((1+G95+H$5/100)^0.5-1),100,2,1)*$C$39,0)</f>
        <v>19065.25324729189</v>
      </c>
      <c r="H141" s="20">
        <f>IF(AND(H$75&lt;'1 - Titoli e shock'!$B$11,$B$39&gt;H$74),PRICE(H$74,$B$39,'1 - Titoli e shock'!$C$26,2*((1+H95+H$5/100)^0.5-1),100,2,1)*$C$39,0)</f>
        <v>19405.512327978653</v>
      </c>
      <c r="I141" s="20">
        <f>IF(AND(I$75&lt;'1 - Titoli e shock'!$B$11,$B$39&gt;I$74),PRICE(I$74,$B$39,'1 - Titoli e shock'!$C$26,2*((1+I95+H$5/100)^0.5-1),100,2,1)*$C$39,0)</f>
        <v>19758.921415707959</v>
      </c>
      <c r="J141" s="20">
        <f>IF(AND(J$75&lt;'1 - Titoli e shock'!$B$11,$B$39&gt;J$74),PRICE(J$74,$B$39,'1 - Titoli e shock'!$C$26,2*((1+J95+H$5/100)^0.5-1),100,2,1)*$C$39,0)</f>
        <v>20108.426369543282</v>
      </c>
      <c r="K141" s="20">
        <f>IF(AND(K$75&lt;'1 - Titoli e shock'!$B$11,$B$39&gt;K$74),PRICE(K$74,$B$39,'1 - Titoli e shock'!$C$26,2*((1+K95+H$5/100)^0.5-1),100,2,1)*$C$39,0)</f>
        <v>20363.141723853405</v>
      </c>
      <c r="L141" s="20">
        <f>IF(AND(L$75&lt;'1 - Titoli e shock'!$B$11,$B$39&gt;L$74),PRICE(L$74,$B$39,'1 - Titoli e shock'!$C$26,2*((1+L95+H$5/100)^0.5-1),100,2,1)*$C$39,0)</f>
        <v>20543.559255549262</v>
      </c>
      <c r="M141" s="20">
        <f>IF(AND(M$75&lt;'1 - Titoli e shock'!$B$11,$B$39&gt;M$74),PRICE(M$74,$B$39,'1 - Titoli e shock'!$C$26,2*((1+M95+H$5/100)^0.5-1),100,2,1)*$C$39,0)</f>
        <v>0</v>
      </c>
      <c r="N141" s="20">
        <f>IF(AND(N$75&lt;'1 - Titoli e shock'!$B$11,$B$39&gt;N$74),PRICE(N$74,$B$39,'1 - Titoli e shock'!$C$26,2*((1+N95+H$5/100)^0.5-1),100,2,1)*$C$39,0)</f>
        <v>0</v>
      </c>
      <c r="O141" s="20">
        <f>IF(AND(O$75&lt;'1 - Titoli e shock'!$B$11,$B$39&gt;O$74),PRICE(O$74,$B$39,'1 - Titoli e shock'!$C$26,2*((1+O95+H$5/100)^0.5-1),100,2,1)*$C$39,0)</f>
        <v>0</v>
      </c>
      <c r="P141" s="20">
        <f>IF(AND(P$75&lt;'1 - Titoli e shock'!$B$11,$B$39&gt;P$74),PRICE(P$74,$B$39,'1 - Titoli e shock'!$C$26,2*((1+P95+H$5/100)^0.5-1),100,2,1)*$C$39,0)</f>
        <v>0</v>
      </c>
      <c r="Q141" s="20">
        <f>IF(AND(Q$75&lt;'1 - Titoli e shock'!$B$11,$B$39&gt;Q$74),PRICE(Q$74,$B$39,'1 - Titoli e shock'!$C$26,2*((1+Q95+H$5/100)^0.5-1),100,2,1)*$C$39,0)</f>
        <v>0</v>
      </c>
      <c r="R141" s="20">
        <f>IF(AND(R$75&lt;'1 - Titoli e shock'!$B$11,$B$39&gt;R$74),PRICE(R$74,$B$39,'1 - Titoli e shock'!$C$26,2*((1+R95+H$5/100)^0.5-1),100,2,1)*$C$39,0)</f>
        <v>0</v>
      </c>
      <c r="S141" s="20">
        <f>IF(AND(S$75&lt;'1 - Titoli e shock'!$B$11,$B$39&gt;S$74),PRICE(S$74,$B$39,'1 - Titoli e shock'!$C$26,2*((1+S95+H$5/100)^0.5-1),100,2,1)*$C$39,0)</f>
        <v>0</v>
      </c>
      <c r="T141" s="20">
        <f>IF(AND(T$75&lt;'1 - Titoli e shock'!$B$11,$B$39&gt;T$74),PRICE(T$74,$B$39,'1 - Titoli e shock'!$C$26,2*((1+T95+H$5/100)^0.5-1),100,2,1)*$C$39,0)</f>
        <v>0</v>
      </c>
      <c r="U141" s="20">
        <f>IF(AND(U$75&lt;'1 - Titoli e shock'!$B$11,$B$39&gt;U$74),PRICE(U$74,$B$39,'1 - Titoli e shock'!$C$26,2*((1+U95+H$5/100)^0.5-1),100,2,1)*$C$39,0)</f>
        <v>0</v>
      </c>
    </row>
    <row r="142" spans="1:21">
      <c r="A142" s="22" t="str">
        <f t="shared" si="34"/>
        <v>BTP 4,35% nov 2033</v>
      </c>
      <c r="F142" s="20">
        <f>IF(AND(F$75&lt;'1 - Titoli e shock'!$B$11,$B$40&gt;F$74),'1 - Titoli e shock'!$E$27*$C$40,0)</f>
        <v>19608.425910060352</v>
      </c>
      <c r="G142" s="20">
        <f>IF(AND(G$75&lt;'1 - Titoli e shock'!$B$11,$B$40&gt;G$74),PRICE(G$74,$B$40,'1 - Titoli e shock'!$C$27,2*((1+G96+H$5/100)^0.5-1),100,2,1)*$C$40,0)</f>
        <v>18731.702836530792</v>
      </c>
      <c r="H142" s="20">
        <f>IF(AND(H$75&lt;'1 - Titoli e shock'!$B$11,$B$40&gt;H$74),PRICE(H$74,$B$40,'1 - Titoli e shock'!$C$27,2*((1+H96+H$5/100)^0.5-1),100,2,1)*$C$40,0)</f>
        <v>18919.800751267099</v>
      </c>
      <c r="I142" s="20">
        <f>IF(AND(I$75&lt;'1 - Titoli e shock'!$B$11,$B$40&gt;I$74),PRICE(I$74,$B$40,'1 - Titoli e shock'!$C$27,2*((1+I96+H$5/100)^0.5-1),100,2,1)*$C$40,0)</f>
        <v>19072.005010251236</v>
      </c>
      <c r="J142" s="20">
        <f>IF(AND(J$75&lt;'1 - Titoli e shock'!$B$11,$B$40&gt;J$74),PRICE(J$74,$B$40,'1 - Titoli e shock'!$C$27,2*((1+J96+H$5/100)^0.5-1),100,2,1)*$C$40,0)</f>
        <v>19228.666721084734</v>
      </c>
      <c r="K142" s="20">
        <f>IF(AND(K$75&lt;'1 - Titoli e shock'!$B$11,$B$40&gt;K$74),PRICE(K$74,$B$40,'1 - Titoli e shock'!$C$27,2*((1+K96+H$5/100)^0.5-1),100,2,1)*$C$40,0)</f>
        <v>19369.823382092658</v>
      </c>
      <c r="L142" s="20">
        <f>IF(AND(L$75&lt;'1 - Titoli e shock'!$B$11,$B$40&gt;L$74),PRICE(L$74,$B$40,'1 - Titoli e shock'!$C$27,2*((1+L96+H$5/100)^0.5-1),100,2,1)*$C$40,0)</f>
        <v>19410.504182213655</v>
      </c>
      <c r="M142" s="20">
        <f>IF(AND(M$75&lt;'1 - Titoli e shock'!$B$11,$B$40&gt;M$74),PRICE(M$74,$B$40,'1 - Titoli e shock'!$C$27,2*((1+M96+H$5/100)^0.5-1),100,2,1)*$C$40,0)</f>
        <v>19372.940144874723</v>
      </c>
      <c r="N142" s="20">
        <f>IF(AND(N$75&lt;'1 - Titoli e shock'!$B$11,$B$40&gt;N$74),PRICE(N$74,$B$40,'1 - Titoli e shock'!$C$27,2*((1+N96+H$5/100)^0.5-1),100,2,1)*$C$40,0)</f>
        <v>0</v>
      </c>
      <c r="O142" s="20">
        <f>IF(AND(O$75&lt;'1 - Titoli e shock'!$B$11,$B$40&gt;O$74),PRICE(O$74,$B$40,'1 - Titoli e shock'!$C$27,2*((1+O96+H$5/100)^0.5-1),100,2,1)*$C$40,0)</f>
        <v>0</v>
      </c>
      <c r="P142" s="20">
        <f>IF(AND(P$75&lt;'1 - Titoli e shock'!$B$11,$B$40&gt;P$74),PRICE(P$74,$B$40,'1 - Titoli e shock'!$C$27,2*((1+P96+H$5/100)^0.5-1),100,2,1)*$C$40,0)</f>
        <v>0</v>
      </c>
      <c r="Q142" s="20">
        <f>IF(AND(Q$75&lt;'1 - Titoli e shock'!$B$11,$B$40&gt;Q$74),PRICE(Q$74,$B$40,'1 - Titoli e shock'!$C$27,2*((1+Q96+H$5/100)^0.5-1),100,2,1)*$C$40,0)</f>
        <v>0</v>
      </c>
      <c r="R142" s="20">
        <f>IF(AND(R$75&lt;'1 - Titoli e shock'!$B$11,$B$40&gt;R$74),PRICE(R$74,$B$40,'1 - Titoli e shock'!$C$27,2*((1+R96+H$5/100)^0.5-1),100,2,1)*$C$40,0)</f>
        <v>0</v>
      </c>
      <c r="S142" s="20">
        <f>IF(AND(S$75&lt;'1 - Titoli e shock'!$B$11,$B$40&gt;S$74),PRICE(S$74,$B$40,'1 - Titoli e shock'!$C$27,2*((1+S96+H$5/100)^0.5-1),100,2,1)*$C$40,0)</f>
        <v>0</v>
      </c>
      <c r="T142" s="20">
        <f>IF(AND(T$75&lt;'1 - Titoli e shock'!$B$11,$B$40&gt;T$74),PRICE(T$74,$B$40,'1 - Titoli e shock'!$C$27,2*((1+T96+H$5/100)^0.5-1),100,2,1)*$C$40,0)</f>
        <v>0</v>
      </c>
      <c r="U142" s="20">
        <f>IF(AND(U$75&lt;'1 - Titoli e shock'!$B$11,$B$40&gt;U$74),PRICE(U$74,$B$40,'1 - Titoli e shock'!$C$27,2*((1+U96+H$5/100)^0.5-1),100,2,1)*$C$40,0)</f>
        <v>0</v>
      </c>
    </row>
    <row r="143" spans="1:21">
      <c r="A143" s="22" t="str">
        <f t="shared" si="34"/>
        <v>BTP 3,85% feb 2035</v>
      </c>
      <c r="F143" s="20">
        <f>IF(AND(F$75&lt;'1 - Titoli e shock'!$B$11,$B$41&gt;F$74),'1 - Titoli e shock'!$E$28*$C$41,0)</f>
        <v>19830.872885528777</v>
      </c>
      <c r="G143" s="20">
        <f>IF(AND(G$75&lt;'1 - Titoli e shock'!$B$11,$B$41&gt;G$74),PRICE(G$74,$B$41,'1 - Titoli e shock'!$C$28,2*((1+G97+H$5/100)^0.5-1),100,2,1)*$C$41,0)</f>
        <v>18856.856815102634</v>
      </c>
      <c r="H143" s="20">
        <f>IF(AND(H$75&lt;'1 - Titoli e shock'!$B$11,$B$41&gt;H$74),PRICE(H$74,$B$41,'1 - Titoli e shock'!$C$28,2*((1+H97+H$5/100)^0.5-1),100,2,1)*$C$41,0)</f>
        <v>19181.160908425296</v>
      </c>
      <c r="I143" s="20">
        <f>IF(AND(I$75&lt;'1 - Titoli e shock'!$B$11,$B$41&gt;I$74),PRICE(I$74,$B$41,'1 - Titoli e shock'!$C$28,2*((1+I97+H$5/100)^0.5-1),100,2,1)*$C$41,0)</f>
        <v>19466.472418537</v>
      </c>
      <c r="J143" s="20">
        <f>IF(AND(J$75&lt;'1 - Titoli e shock'!$B$11,$B$41&gt;J$74),PRICE(J$74,$B$41,'1 - Titoli e shock'!$C$28,2*((1+J97+H$5/100)^0.5-1),100,2,1)*$C$41,0)</f>
        <v>19715.663708326592</v>
      </c>
      <c r="K143" s="20">
        <f>IF(AND(K$75&lt;'1 - Titoli e shock'!$B$11,$B$41&gt;K$74),PRICE(K$74,$B$41,'1 - Titoli e shock'!$C$28,2*((1+K97+H$5/100)^0.5-1),100,2,1)*$C$41,0)</f>
        <v>19964.96181017422</v>
      </c>
      <c r="L143" s="20">
        <f>IF(AND(L$75&lt;'1 - Titoli e shock'!$B$11,$B$41&gt;L$74),PRICE(L$74,$B$41,'1 - Titoli e shock'!$C$28,2*((1+L97+H$5/100)^0.5-1),100,2,1)*$C$41,0)</f>
        <v>20212.249485683355</v>
      </c>
      <c r="M143" s="20">
        <f>IF(AND(M$75&lt;'1 - Titoli e shock'!$B$11,$B$41&gt;M$74),PRICE(M$74,$B$41,'1 - Titoli e shock'!$C$28,2*((1+M97+H$5/100)^0.5-1),100,2,1)*$C$41,0)</f>
        <v>20372.899381641993</v>
      </c>
      <c r="N143" s="20">
        <f>IF(AND(N$75&lt;'1 - Titoli e shock'!$B$11,$B$41&gt;N$74),PRICE(N$74,$B$41,'1 - Titoli e shock'!$C$28,2*((1+N97+H$5/100)^0.5-1),100,2,1)*$C$41,0)</f>
        <v>20444.397241041574</v>
      </c>
      <c r="O143" s="20">
        <f>IF(AND(O$75&lt;'1 - Titoli e shock'!$B$11,$B$41&gt;O$74),PRICE(O$74,$B$41,'1 - Titoli e shock'!$C$28,2*((1+O97+H$5/100)^0.5-1),100,2,1)*$C$41,0)</f>
        <v>0</v>
      </c>
      <c r="P143" s="20">
        <f>IF(AND(P$75&lt;'1 - Titoli e shock'!$B$11,$B$41&gt;P$74),PRICE(P$74,$B$41,'1 - Titoli e shock'!$C$28,2*((1+P97+H$5/100)^0.5-1),100,2,1)*$C$41,0)</f>
        <v>0</v>
      </c>
      <c r="Q143" s="20">
        <f>IF(AND(Q$75&lt;'1 - Titoli e shock'!$B$11,$B$41&gt;Q$74),PRICE(Q$74,$B$41,'1 - Titoli e shock'!$C$28,2*((1+Q97+H$5/100)^0.5-1),100,2,1)*$C$41,0)</f>
        <v>0</v>
      </c>
      <c r="R143" s="20">
        <f>IF(AND(R$75&lt;'1 - Titoli e shock'!$B$11,$B$41&gt;R$74),PRICE(R$74,$B$41,'1 - Titoli e shock'!$C$28,2*((1+R97+H$5/100)^0.5-1),100,2,1)*$C$41,0)</f>
        <v>0</v>
      </c>
      <c r="S143" s="20">
        <f>IF(AND(S$75&lt;'1 - Titoli e shock'!$B$11,$B$41&gt;S$74),PRICE(S$74,$B$41,'1 - Titoli e shock'!$C$28,2*((1+S97+H$5/100)^0.5-1),100,2,1)*$C$41,0)</f>
        <v>0</v>
      </c>
      <c r="T143" s="20">
        <f>IF(AND(T$75&lt;'1 - Titoli e shock'!$B$11,$B$41&gt;T$74),PRICE(T$74,$B$41,'1 - Titoli e shock'!$C$28,2*((1+T97+H$5/100)^0.5-1),100,2,1)*$C$41,0)</f>
        <v>0</v>
      </c>
      <c r="U143" s="20">
        <f>IF(AND(U$75&lt;'1 - Titoli e shock'!$B$11,$B$41&gt;U$74),PRICE(U$74,$B$41,'1 - Titoli e shock'!$C$28,2*((1+U97+H$5/100)^0.5-1),100,2,1)*$C$41,0)</f>
        <v>0</v>
      </c>
    </row>
    <row r="144" spans="1:21">
      <c r="A144" s="22" t="str">
        <f t="shared" si="34"/>
        <v>BTP 3,60% ott 2035</v>
      </c>
      <c r="F144" s="20">
        <f>IF(AND(F$75&lt;'1 - Titoli e shock'!$B$11,$B$42&gt;F$74),'1 - Titoli e shock'!$E$29*$C$42,0)</f>
        <v>19962.394233782514</v>
      </c>
      <c r="G144" s="20">
        <f>IF(AND(G$75&lt;'1 - Titoli e shock'!$B$11,$B$42&gt;G$74),PRICE(G$74,$B$42,'1 - Titoli e shock'!$C$29,2*((1+G98+H$5/100)^0.5-1),100,2,1)*$C$42,0)</f>
        <v>18902.981682305206</v>
      </c>
      <c r="H144" s="20">
        <f>IF(AND(H$75&lt;'1 - Titoli e shock'!$B$11,$B$42&gt;H$74),PRICE(H$74,$B$42,'1 - Titoli e shock'!$C$29,2*((1+H98+H$5/100)^0.5-1),100,2,1)*$C$42,0)</f>
        <v>19273.219610500772</v>
      </c>
      <c r="I144" s="20">
        <f>IF(AND(I$75&lt;'1 - Titoli e shock'!$B$11,$B$42&gt;I$74),PRICE(I$74,$B$42,'1 - Titoli e shock'!$C$29,2*((1+I98+H$5/100)^0.5-1),100,2,1)*$C$42,0)</f>
        <v>19637.463348587164</v>
      </c>
      <c r="J144" s="20">
        <f>IF(AND(J$75&lt;'1 - Titoli e shock'!$B$11,$B$42&gt;J$74),PRICE(J$74,$B$42,'1 - Titoli e shock'!$C$29,2*((1+J98+H$5/100)^0.5-1),100,2,1)*$C$42,0)</f>
        <v>19956.6420417304</v>
      </c>
      <c r="K144" s="20">
        <f>IF(AND(K$75&lt;'1 - Titoli e shock'!$B$11,$B$42&gt;K$74),PRICE(K$74,$B$42,'1 - Titoli e shock'!$C$29,2*((1+K98+H$5/100)^0.5-1),100,2,1)*$C$42,0)</f>
        <v>20245.225665429138</v>
      </c>
      <c r="L144" s="20">
        <f>IF(AND(L$75&lt;'1 - Titoli e shock'!$B$11,$B$42&gt;L$74),PRICE(L$74,$B$42,'1 - Titoli e shock'!$C$29,2*((1+L98+H$5/100)^0.5-1),100,2,1)*$C$42,0)</f>
        <v>20547.990725664084</v>
      </c>
      <c r="M144" s="20">
        <f>IF(AND(M$75&lt;'1 - Titoli e shock'!$B$11,$B$42&gt;M$74),PRICE(M$74,$B$42,'1 - Titoli e shock'!$C$29,2*((1+M98+H$5/100)^0.5-1),100,2,1)*$C$42,0)</f>
        <v>20835.511838070706</v>
      </c>
      <c r="N144" s="20">
        <f>IF(AND(N$75&lt;'1 - Titoli e shock'!$B$11,$B$42&gt;N$74),PRICE(N$74,$B$42,'1 - Titoli e shock'!$C$29,2*((1+N98+H$5/100)^0.5-1),100,2,1)*$C$42,0)</f>
        <v>21018.356556537405</v>
      </c>
      <c r="O144" s="20">
        <f>IF(AND(O$75&lt;'1 - Titoli e shock'!$B$11,$B$42&gt;O$74),PRICE(O$74,$B$42,'1 - Titoli e shock'!$C$29,2*((1+O98+H$5/100)^0.5-1),100,2,1)*$C$42,0)</f>
        <v>0</v>
      </c>
      <c r="P144" s="20">
        <f>IF(AND(P$75&lt;'1 - Titoli e shock'!$B$11,$B$42&gt;P$74),PRICE(P$74,$B$42,'1 - Titoli e shock'!$C$29,2*((1+P98+H$5/100)^0.5-1),100,2,1)*$C$42,0)</f>
        <v>0</v>
      </c>
      <c r="Q144" s="20">
        <f>IF(AND(Q$75&lt;'1 - Titoli e shock'!$B$11,$B$42&gt;Q$74),PRICE(Q$74,$B$42,'1 - Titoli e shock'!$C$29,2*((1+Q98+H$5/100)^0.5-1),100,2,1)*$C$42,0)</f>
        <v>0</v>
      </c>
      <c r="R144" s="20">
        <f>IF(AND(R$75&lt;'1 - Titoli e shock'!$B$11,$B$42&gt;R$74),PRICE(R$74,$B$42,'1 - Titoli e shock'!$C$29,2*((1+R98+H$5/100)^0.5-1),100,2,1)*$C$42,0)</f>
        <v>0</v>
      </c>
      <c r="S144" s="20">
        <f>IF(AND(S$75&lt;'1 - Titoli e shock'!$B$11,$B$42&gt;S$74),PRICE(S$74,$B$42,'1 - Titoli e shock'!$C$29,2*((1+S98+H$5/100)^0.5-1),100,2,1)*$C$42,0)</f>
        <v>0</v>
      </c>
      <c r="T144" s="20">
        <f>IF(AND(T$75&lt;'1 - Titoli e shock'!$B$11,$B$42&gt;T$74),PRICE(T$74,$B$42,'1 - Titoli e shock'!$C$29,2*((1+T98+H$5/100)^0.5-1),100,2,1)*$C$42,0)</f>
        <v>0</v>
      </c>
      <c r="U144" s="20">
        <f>IF(AND(U$75&lt;'1 - Titoli e shock'!$B$11,$B$42&gt;U$74),PRICE(U$74,$B$42,'1 - Titoli e shock'!$C$29,2*((1+U98+H$5/100)^0.5-1),100,2,1)*$C$42,0)</f>
        <v>0</v>
      </c>
    </row>
    <row r="145" spans="1:21">
      <c r="A145" s="22" t="str">
        <f t="shared" si="34"/>
        <v>BTP 4,00% ott 2036</v>
      </c>
      <c r="F145" s="20">
        <f>IF(AND(F$75&lt;'1 - Titoli e shock'!$B$11,$B$43&gt;F$74),'1 - Titoli e shock'!$E$30*$C$43,0)</f>
        <v>19959.088584578669</v>
      </c>
      <c r="G145" s="20">
        <f>IF(AND(G$75&lt;'1 - Titoli e shock'!$B$11,$B$43&gt;G$74),PRICE(G$74,$B$43,'1 - Titoli e shock'!$C$30,2*((1+G99+H$5/100)^0.5-1),100,2,1)*$C$43,0)</f>
        <v>18751.635594580686</v>
      </c>
      <c r="H145" s="20">
        <f>IF(AND(H$75&lt;'1 - Titoli e shock'!$B$11,$B$43&gt;H$74),PRICE(H$74,$B$43,'1 - Titoli e shock'!$C$30,2*((1+H99+H$5/100)^0.5-1),100,2,1)*$C$43,0)</f>
        <v>19040.641768678313</v>
      </c>
      <c r="I145" s="20">
        <f>IF(AND(I$75&lt;'1 - Titoli e shock'!$B$11,$B$43&gt;I$74),PRICE(I$74,$B$43,'1 - Titoli e shock'!$C$30,2*((1+I99+H$5/100)^0.5-1),100,2,1)*$C$43,0)</f>
        <v>19349.045701507144</v>
      </c>
      <c r="J145" s="20">
        <f>IF(AND(J$75&lt;'1 - Titoli e shock'!$B$11,$B$43&gt;J$74),PRICE(J$74,$B$43,'1 - Titoli e shock'!$C$30,2*((1+J99+H$5/100)^0.5-1),100,2,1)*$C$43,0)</f>
        <v>19648.480322636482</v>
      </c>
      <c r="K145" s="20">
        <f>IF(AND(K$75&lt;'1 - Titoli e shock'!$B$11,$B$43&gt;K$74),PRICE(K$74,$B$43,'1 - Titoli e shock'!$C$30,2*((1+K99+H$5/100)^0.5-1),100,2,1)*$C$43,0)</f>
        <v>19899.550678091262</v>
      </c>
      <c r="L145" s="20">
        <f>IF(AND(L$75&lt;'1 - Titoli e shock'!$B$11,$B$43&gt;L$74),PRICE(L$74,$B$43,'1 - Titoli e shock'!$C$30,2*((1+L99+H$5/100)^0.5-1),100,2,1)*$C$43,0)</f>
        <v>20117.083935319984</v>
      </c>
      <c r="M145" s="20">
        <f>IF(AND(M$75&lt;'1 - Titoli e shock'!$B$11,$B$43&gt;M$74),PRICE(M$74,$B$43,'1 - Titoli e shock'!$C$30,2*((1+M99+H$5/100)^0.5-1),100,2,1)*$C$43,0)</f>
        <v>20344.187333399743</v>
      </c>
      <c r="N145" s="20">
        <f>IF(AND(N$75&lt;'1 - Titoli e shock'!$B$11,$B$43&gt;N$74),PRICE(N$74,$B$43,'1 - Titoli e shock'!$C$30,2*((1+N99+H$5/100)^0.5-1),100,2,1)*$C$43,0)</f>
        <v>20553.205932060882</v>
      </c>
      <c r="O145" s="20">
        <f>IF(AND(O$75&lt;'1 - Titoli e shock'!$B$11,$B$43&gt;O$74),PRICE(O$74,$B$43,'1 - Titoli e shock'!$C$30,2*((1+O99+H$5/100)^0.5-1),100,2,1)*$C$43,0)</f>
        <v>20655.631997709956</v>
      </c>
      <c r="P145" s="20">
        <f>IF(AND(P$75&lt;'1 - Titoli e shock'!$B$11,$B$43&gt;P$74),PRICE(P$74,$B$43,'1 - Titoli e shock'!$C$30,2*((1+P99+H$5/100)^0.5-1),100,2,1)*$C$43,0)</f>
        <v>0</v>
      </c>
      <c r="Q145" s="20">
        <f>IF(AND(Q$75&lt;'1 - Titoli e shock'!$B$11,$B$43&gt;Q$74),PRICE(Q$74,$B$43,'1 - Titoli e shock'!$C$30,2*((1+Q99+H$5/100)^0.5-1),100,2,1)*$C$43,0)</f>
        <v>0</v>
      </c>
      <c r="R145" s="20">
        <f>IF(AND(R$75&lt;'1 - Titoli e shock'!$B$11,$B$43&gt;R$74),PRICE(R$74,$B$43,'1 - Titoli e shock'!$C$30,2*((1+R99+H$5/100)^0.5-1),100,2,1)*$C$43,0)</f>
        <v>0</v>
      </c>
      <c r="S145" s="20">
        <f>IF(AND(S$75&lt;'1 - Titoli e shock'!$B$11,$B$43&gt;S$74),PRICE(S$74,$B$43,'1 - Titoli e shock'!$C$30,2*((1+S99+H$5/100)^0.5-1),100,2,1)*$C$43,0)</f>
        <v>0</v>
      </c>
      <c r="T145" s="20">
        <f>IF(AND(T$75&lt;'1 - Titoli e shock'!$B$11,$B$43&gt;T$74),PRICE(T$74,$B$43,'1 - Titoli e shock'!$C$30,2*((1+T99+H$5/100)^0.5-1),100,2,1)*$C$43,0)</f>
        <v>0</v>
      </c>
      <c r="U145" s="20">
        <f>IF(AND(U$75&lt;'1 - Titoli e shock'!$B$11,$B$43&gt;U$74),PRICE(U$74,$B$43,'1 - Titoli e shock'!$C$30,2*((1+U99+H$5/100)^0.5-1),100,2,1)*$C$43,0)</f>
        <v>0</v>
      </c>
    </row>
    <row r="146" spans="1:21">
      <c r="A146" s="22" t="str">
        <f t="shared" si="34"/>
        <v>BTP 4,50% ott 2053</v>
      </c>
      <c r="F146" s="20">
        <f>IF(AND(F$75&lt;'1 - Titoli e shock'!$B$11,$B$44&gt;F$74),'1 - Titoli e shock'!$E$33*$C$44,0)</f>
        <v>199522.79339074739</v>
      </c>
      <c r="G146" s="20">
        <f>IF(AND(G$75&lt;'1 - Titoli e shock'!$B$11,$B$44&gt;G$74),PRICE(G$74,$B$44,'1 - Titoli e shock'!$C$33,2*((1+G100+H$5/100)^0.5-1),100,2,1)*$C$44,0)</f>
        <v>174146.1195068231</v>
      </c>
      <c r="H146" s="20">
        <f>IF(AND(H$75&lt;'1 - Titoli e shock'!$B$11,$B$44&gt;H$74),PRICE(H$74,$B$44,'1 - Titoli e shock'!$C$33,2*((1+H100+H$5/100)^0.5-1),100,2,1)*$C$44,0)</f>
        <v>175252.36300489571</v>
      </c>
      <c r="I146" s="20">
        <f>IF(AND(I$75&lt;'1 - Titoli e shock'!$B$11,$B$44&gt;I$74),PRICE(I$74,$B$44,'1 - Titoli e shock'!$C$33,2*((1+I100+H$5/100)^0.5-1),100,2,1)*$C$44,0)</f>
        <v>176387.9736968927</v>
      </c>
      <c r="J146" s="20">
        <f>IF(AND(J$75&lt;'1 - Titoli e shock'!$B$11,$B$44&gt;J$74),PRICE(J$74,$B$44,'1 - Titoli e shock'!$C$33,2*((1+J100+H$5/100)^0.5-1),100,2,1)*$C$44,0)</f>
        <v>177555.09702173399</v>
      </c>
      <c r="K146" s="20">
        <f>IF(AND(K$75&lt;'1 - Titoli e shock'!$B$11,$B$44&gt;K$74),PRICE(K$74,$B$44,'1 - Titoli e shock'!$C$33,2*((1+K100+H$5/100)^0.5-1),100,2,1)*$C$44,0)</f>
        <v>178754.36043222222</v>
      </c>
      <c r="L146" s="20">
        <f>IF(AND(L$75&lt;'1 - Titoli e shock'!$B$11,$B$44&gt;L$74),PRICE(L$74,$B$44,'1 - Titoli e shock'!$C$33,2*((1+L100+H$5/100)^0.5-1),100,2,1)*$C$44,0)</f>
        <v>179988.23081319802</v>
      </c>
      <c r="M146" s="20">
        <f>IF(AND(M$75&lt;'1 - Titoli e shock'!$B$11,$B$44&gt;M$74),PRICE(M$74,$B$44,'1 - Titoli e shock'!$C$33,2*((1+M100+H$5/100)^0.5-1),100,2,1)*$C$44,0)</f>
        <v>181277.88241498254</v>
      </c>
      <c r="N146" s="20">
        <f>IF(AND(N$75&lt;'1 - Titoli e shock'!$B$11,$B$44&gt;N$74),PRICE(N$74,$B$44,'1 - Titoli e shock'!$C$33,2*((1+N100+H$5/100)^0.5-1),100,2,1)*$C$44,0)</f>
        <v>182633.4677209206</v>
      </c>
      <c r="O146" s="20">
        <f>IF(AND(O$75&lt;'1 - Titoli e shock'!$B$11,$B$44&gt;O$74),PRICE(O$74,$B$44,'1 - Titoli e shock'!$C$33,2*((1+O100+H$5/100)^0.5-1),100,2,1)*$C$44,0)</f>
        <v>184021.69413690994</v>
      </c>
      <c r="P146" s="20">
        <f>IF(AND(P$75&lt;'1 - Titoli e shock'!$B$11,$B$44&gt;P$74),PRICE(P$74,$B$44,'1 - Titoli e shock'!$C$33,2*((1+P100+H$5/100)^0.5-1),100,2,1)*$C$44,0)</f>
        <v>0</v>
      </c>
      <c r="Q146" s="20">
        <f>IF(AND(Q$75&lt;'1 - Titoli e shock'!$B$11,$B$44&gt;Q$74),PRICE(Q$74,$B$44,'1 - Titoli e shock'!$C$33,2*((1+Q100+H$5/100)^0.5-1),100,2,1)*$C$44,0)</f>
        <v>0</v>
      </c>
      <c r="R146" s="20">
        <f>IF(AND(R$75&lt;'1 - Titoli e shock'!$B$11,$B$44&gt;R$74),PRICE(R$74,$B$44,'1 - Titoli e shock'!$C$33,2*((1+R100+H$5/100)^0.5-1),100,2,1)*$C$44,0)</f>
        <v>0</v>
      </c>
      <c r="S146" s="20">
        <f>IF(AND(S$75&lt;'1 - Titoli e shock'!$B$11,$B$44&gt;S$74),PRICE(S$74,$B$44,'1 - Titoli e shock'!$C$33,2*((1+S100+H$5/100)^0.5-1),100,2,1)*$C$44,0)</f>
        <v>0</v>
      </c>
      <c r="T146" s="20">
        <f>IF(AND(T$75&lt;'1 - Titoli e shock'!$B$11,$B$44&gt;T$74),PRICE(T$74,$B$44,'1 - Titoli e shock'!$C$33,2*((1+T100+H$5/100)^0.5-1),100,2,1)*$C$44,0)</f>
        <v>0</v>
      </c>
      <c r="U146" s="20">
        <f>IF(AND(U$75&lt;'1 - Titoli e shock'!$B$11,$B$44&gt;U$74),PRICE(U$74,$B$44,'1 - Titoli e shock'!$C$33,2*((1+U100+H$5/100)^0.5-1),100,2,1)*$C$44,0)</f>
        <v>0</v>
      </c>
    </row>
    <row r="147" spans="1:21">
      <c r="A147" s="5" t="s">
        <v>254</v>
      </c>
      <c r="F147" s="20">
        <f>SUM(F136:F145)+IF(F$75&lt;'1 - Titoli e shock'!$B$11,SUMPRODUCT(($B$34:$B$43&lt;=F$74)*($E$34:$E$43&gt;F$74)*$D$34:$D$43),0)</f>
        <v>198522.85277708061</v>
      </c>
      <c r="G147" s="20">
        <f>SUM(G136:G145)+IF(G$75&lt;'1 - Titoli e shock'!$B$11,SUMPRODUCT(($B$34:$B$43&lt;=G$74)*($E$34:$E$43&gt;G$74)*$D$34:$D$43),0)</f>
        <v>192850.86407522589</v>
      </c>
      <c r="H147" s="20">
        <f>SUM(H136:H145)+IF(H$75&lt;'1 - Titoli e shock'!$B$11,SUMPRODUCT(($B$34:$B$43&lt;=H$74)*($E$34:$E$43&gt;H$74)*$D$34:$D$43),0)</f>
        <v>195732.69219443452</v>
      </c>
      <c r="I147" s="20">
        <f>SUM(I136:I145)+IF(I$75&lt;'1 - Titoli e shock'!$B$11,SUMPRODUCT(($B$34:$B$43&lt;=I$74)*($E$34:$E$43&gt;I$74)*$D$34:$D$43),0)</f>
        <v>198088.11182535419</v>
      </c>
      <c r="J147" s="20">
        <f>SUM(J136:J145)+IF(J$75&lt;'1 - Titoli e shock'!$B$11,SUMPRODUCT(($B$34:$B$43&lt;=J$74)*($E$34:$E$43&gt;J$74)*$D$34:$D$43),0)</f>
        <v>199907.84196011405</v>
      </c>
      <c r="K147" s="20">
        <f>SUM(K136:K145)+IF(K$75&lt;'1 - Titoli e shock'!$B$11,SUMPRODUCT(($B$34:$B$43&lt;=K$74)*($E$34:$E$43&gt;K$74)*$D$34:$D$43),0)</f>
        <v>201291.57678304714</v>
      </c>
      <c r="L147" s="20">
        <f>SUM(L136:L145)+IF(L$75&lt;'1 - Titoli e shock'!$B$11,SUMPRODUCT(($B$34:$B$43&lt;=L$74)*($E$34:$E$43&gt;L$74)*$D$34:$D$43),0)</f>
        <v>202208.06507124996</v>
      </c>
      <c r="M147" s="20">
        <f>SUM(M136:M145)+IF(M$75&lt;'1 - Titoli e shock'!$B$11,SUMPRODUCT(($B$34:$B$43&lt;=M$74)*($E$34:$E$43&gt;M$74)*$D$34:$D$43),0)</f>
        <v>202754.68389212032</v>
      </c>
      <c r="N147" s="20">
        <f>SUM(N136:N145)+IF(N$75&lt;'1 - Titoli e shock'!$B$11,SUMPRODUCT(($B$34:$B$43&lt;=N$74)*($E$34:$E$43&gt;N$74)*$D$34:$D$43),0)</f>
        <v>203217.19137907866</v>
      </c>
      <c r="O147" s="20">
        <f>SUM(O136:O145)+IF(O$75&lt;'1 - Titoli e shock'!$B$11,SUMPRODUCT(($B$34:$B$43&lt;=O$74)*($E$34:$E$43&gt;O$74)*$D$34:$D$43),0)</f>
        <v>203220.00754937774</v>
      </c>
      <c r="P147" s="20">
        <f>SUM(P136:P145)+IF(P$75&lt;'1 - Titoli e shock'!$B$11,SUMPRODUCT(($B$34:$B$43&lt;=P$74)*($E$34:$E$43&gt;P$74)*$D$34:$D$43),0)</f>
        <v>0</v>
      </c>
      <c r="Q147" s="20">
        <f>SUM(Q136:Q145)+IF(Q$75&lt;'1 - Titoli e shock'!$B$11,SUMPRODUCT(($B$34:$B$43&lt;=Q$74)*($E$34:$E$43&gt;Q$74)*$D$34:$D$43),0)</f>
        <v>0</v>
      </c>
      <c r="R147" s="20">
        <f>SUM(R136:R145)+IF(R$75&lt;'1 - Titoli e shock'!$B$11,SUMPRODUCT(($B$34:$B$43&lt;=R$74)*($E$34:$E$43&gt;R$74)*$D$34:$D$43),0)</f>
        <v>0</v>
      </c>
      <c r="S147" s="20">
        <f>SUM(S136:S145)+IF(S$75&lt;'1 - Titoli e shock'!$B$11,SUMPRODUCT(($B$34:$B$43&lt;=S$74)*($E$34:$E$43&gt;S$74)*$D$34:$D$43),0)</f>
        <v>0</v>
      </c>
      <c r="T147" s="20">
        <f>SUM(T136:T145)+IF(T$75&lt;'1 - Titoli e shock'!$B$11,SUMPRODUCT(($B$34:$B$43&lt;=T$74)*($E$34:$E$43&gt;T$74)*$D$34:$D$43),0)</f>
        <v>0</v>
      </c>
      <c r="U147" s="20">
        <f>SUM(U136:U145)+IF(U$75&lt;'1 - Titoli e shock'!$B$11,SUMPRODUCT(($B$34:$B$43&lt;=U$74)*($E$34:$E$43&gt;U$74)*$D$34:$D$43),0)</f>
        <v>0</v>
      </c>
    </row>
    <row r="148" spans="1:21">
      <c r="A148" s="5" t="s">
        <v>255</v>
      </c>
      <c r="F148" s="20">
        <f t="shared" ref="F148:U148" si="35">F146</f>
        <v>199522.79339074739</v>
      </c>
      <c r="G148" s="20">
        <f t="shared" si="35"/>
        <v>174146.1195068231</v>
      </c>
      <c r="H148" s="20">
        <f t="shared" si="35"/>
        <v>175252.36300489571</v>
      </c>
      <c r="I148" s="20">
        <f t="shared" si="35"/>
        <v>176387.9736968927</v>
      </c>
      <c r="J148" s="20">
        <f t="shared" si="35"/>
        <v>177555.09702173399</v>
      </c>
      <c r="K148" s="20">
        <f t="shared" si="35"/>
        <v>178754.36043222222</v>
      </c>
      <c r="L148" s="20">
        <f t="shared" si="35"/>
        <v>179988.23081319802</v>
      </c>
      <c r="M148" s="20">
        <f t="shared" si="35"/>
        <v>181277.88241498254</v>
      </c>
      <c r="N148" s="20">
        <f t="shared" si="35"/>
        <v>182633.4677209206</v>
      </c>
      <c r="O148" s="20">
        <f t="shared" si="35"/>
        <v>184021.69413690994</v>
      </c>
      <c r="P148" s="20">
        <f t="shared" si="35"/>
        <v>0</v>
      </c>
      <c r="Q148" s="20">
        <f t="shared" si="35"/>
        <v>0</v>
      </c>
      <c r="R148" s="20">
        <f t="shared" si="35"/>
        <v>0</v>
      </c>
      <c r="S148" s="20">
        <f t="shared" si="35"/>
        <v>0</v>
      </c>
      <c r="T148" s="20">
        <f t="shared" si="35"/>
        <v>0</v>
      </c>
      <c r="U148" s="20">
        <f t="shared" si="35"/>
        <v>0</v>
      </c>
    </row>
    <row r="151" spans="1:21">
      <c r="A151" s="36" t="s">
        <v>258</v>
      </c>
      <c r="B151" s="33"/>
      <c r="C151" s="33"/>
      <c r="D151" s="33"/>
      <c r="E151" s="33"/>
      <c r="F151" s="33"/>
      <c r="G151" s="33"/>
      <c r="H151" s="33"/>
      <c r="I151" s="33"/>
      <c r="J151" s="33"/>
    </row>
    <row r="152" spans="1:21">
      <c r="A152" s="22" t="str">
        <f t="shared" ref="A152:A162" si="36">A34</f>
        <v>BTP 2,70% ott 2027</v>
      </c>
      <c r="F152" s="20">
        <f>IF(AND(F$75&lt;'1 - Titoli e shock'!$B$11,$B$34&gt;F$74),'1 - Titoli e shock'!$E$21*$C$34,0)</f>
        <v>19994.041245176722</v>
      </c>
      <c r="G152" s="20">
        <f>IF(AND(G$75&lt;'1 - Titoli e shock'!$B$11,$B$34&gt;G$74),PRICE(G$74,$B$34,'1 - Titoli e shock'!$C$21,2*((1+G90+I$5/100)^0.5-1),100,2,1)*$C$34,0)</f>
        <v>0</v>
      </c>
      <c r="H152" s="20">
        <f>IF(AND(H$75&lt;'1 - Titoli e shock'!$B$11,$B$34&gt;H$74),PRICE(H$74,$B$34,'1 - Titoli e shock'!$C$21,2*((1+H90+I$5/100)^0.5-1),100,2,1)*$C$34,0)</f>
        <v>0</v>
      </c>
      <c r="I152" s="20">
        <f>IF(AND(I$75&lt;'1 - Titoli e shock'!$B$11,$B$34&gt;I$74),PRICE(I$74,$B$34,'1 - Titoli e shock'!$C$21,2*((1+I90+I$5/100)^0.5-1),100,2,1)*$C$34,0)</f>
        <v>0</v>
      </c>
      <c r="J152" s="20">
        <f>IF(AND(J$75&lt;'1 - Titoli e shock'!$B$11,$B$34&gt;J$74),PRICE(J$74,$B$34,'1 - Titoli e shock'!$C$21,2*((1+J90+I$5/100)^0.5-1),100,2,1)*$C$34,0)</f>
        <v>0</v>
      </c>
      <c r="K152" s="20">
        <f>IF(AND(K$75&lt;'1 - Titoli e shock'!$B$11,$B$34&gt;K$74),PRICE(K$74,$B$34,'1 - Titoli e shock'!$C$21,2*((1+K90+I$5/100)^0.5-1),100,2,1)*$C$34,0)</f>
        <v>0</v>
      </c>
      <c r="L152" s="20">
        <f>IF(AND(L$75&lt;'1 - Titoli e shock'!$B$11,$B$34&gt;L$74),PRICE(L$74,$B$34,'1 - Titoli e shock'!$C$21,2*((1+L90+I$5/100)^0.5-1),100,2,1)*$C$34,0)</f>
        <v>0</v>
      </c>
      <c r="M152" s="20">
        <f>IF(AND(M$75&lt;'1 - Titoli e shock'!$B$11,$B$34&gt;M$74),PRICE(M$74,$B$34,'1 - Titoli e shock'!$C$21,2*((1+M90+I$5/100)^0.5-1),100,2,1)*$C$34,0)</f>
        <v>0</v>
      </c>
      <c r="N152" s="20">
        <f>IF(AND(N$75&lt;'1 - Titoli e shock'!$B$11,$B$34&gt;N$74),PRICE(N$74,$B$34,'1 - Titoli e shock'!$C$21,2*((1+N90+I$5/100)^0.5-1),100,2,1)*$C$34,0)</f>
        <v>0</v>
      </c>
      <c r="O152" s="20">
        <f>IF(AND(O$75&lt;'1 - Titoli e shock'!$B$11,$B$34&gt;O$74),PRICE(O$74,$B$34,'1 - Titoli e shock'!$C$21,2*((1+O90+I$5/100)^0.5-1),100,2,1)*$C$34,0)</f>
        <v>0</v>
      </c>
      <c r="P152" s="20">
        <f>IF(AND(P$75&lt;'1 - Titoli e shock'!$B$11,$B$34&gt;P$74),PRICE(P$74,$B$34,'1 - Titoli e shock'!$C$21,2*((1+P90+I$5/100)^0.5-1),100,2,1)*$C$34,0)</f>
        <v>0</v>
      </c>
      <c r="Q152" s="20">
        <f>IF(AND(Q$75&lt;'1 - Titoli e shock'!$B$11,$B$34&gt;Q$74),PRICE(Q$74,$B$34,'1 - Titoli e shock'!$C$21,2*((1+Q90+I$5/100)^0.5-1),100,2,1)*$C$34,0)</f>
        <v>0</v>
      </c>
      <c r="R152" s="20">
        <f>IF(AND(R$75&lt;'1 - Titoli e shock'!$B$11,$B$34&gt;R$74),PRICE(R$74,$B$34,'1 - Titoli e shock'!$C$21,2*((1+R90+I$5/100)^0.5-1),100,2,1)*$C$34,0)</f>
        <v>0</v>
      </c>
      <c r="S152" s="20">
        <f>IF(AND(S$75&lt;'1 - Titoli e shock'!$B$11,$B$34&gt;S$74),PRICE(S$74,$B$34,'1 - Titoli e shock'!$C$21,2*((1+S90+I$5/100)^0.5-1),100,2,1)*$C$34,0)</f>
        <v>0</v>
      </c>
      <c r="T152" s="20">
        <f>IF(AND(T$75&lt;'1 - Titoli e shock'!$B$11,$B$34&gt;T$74),PRICE(T$74,$B$34,'1 - Titoli e shock'!$C$21,2*((1+T90+I$5/100)^0.5-1),100,2,1)*$C$34,0)</f>
        <v>0</v>
      </c>
      <c r="U152" s="20">
        <f>IF(AND(U$75&lt;'1 - Titoli e shock'!$B$11,$B$34&gt;U$74),PRICE(U$74,$B$34,'1 - Titoli e shock'!$C$21,2*((1+U90+I$5/100)^0.5-1),100,2,1)*$C$34,0)</f>
        <v>0</v>
      </c>
    </row>
    <row r="153" spans="1:21">
      <c r="A153" s="22" t="str">
        <f t="shared" si="36"/>
        <v>BTP 2,80% dic 2028</v>
      </c>
      <c r="F153" s="20">
        <f>IF(AND(F$75&lt;'1 - Titoli e shock'!$B$11,$B$35&gt;F$74),'1 - Titoli e shock'!$E$22*$C$35,0)</f>
        <v>19785.515747083671</v>
      </c>
      <c r="G153" s="20">
        <f>IF(AND(G$75&lt;'1 - Titoli e shock'!$B$11,$B$35&gt;G$74),PRICE(G$74,$B$35,'1 - Titoli e shock'!$C$22,2*((1+G91+I$5/100)^0.5-1),100,2,1)*$C$35,0)</f>
        <v>19521.385319358476</v>
      </c>
      <c r="H153" s="20">
        <f>IF(AND(H$75&lt;'1 - Titoli e shock'!$B$11,$B$35&gt;H$74),PRICE(H$74,$B$35,'1 - Titoli e shock'!$C$22,2*((1+H91+I$5/100)^0.5-1),100,2,1)*$C$35,0)</f>
        <v>19970.315346626303</v>
      </c>
      <c r="I153" s="20">
        <f>IF(AND(I$75&lt;'1 - Titoli e shock'!$B$11,$B$35&gt;I$74),PRICE(I$74,$B$35,'1 - Titoli e shock'!$C$22,2*((1+I91+I$5/100)^0.5-1),100,2,1)*$C$35,0)</f>
        <v>0</v>
      </c>
      <c r="J153" s="20">
        <f>IF(AND(J$75&lt;'1 - Titoli e shock'!$B$11,$B$35&gt;J$74),PRICE(J$74,$B$35,'1 - Titoli e shock'!$C$22,2*((1+J91+I$5/100)^0.5-1),100,2,1)*$C$35,0)</f>
        <v>0</v>
      </c>
      <c r="K153" s="20">
        <f>IF(AND(K$75&lt;'1 - Titoli e shock'!$B$11,$B$35&gt;K$74),PRICE(K$74,$B$35,'1 - Titoli e shock'!$C$22,2*((1+K91+I$5/100)^0.5-1),100,2,1)*$C$35,0)</f>
        <v>0</v>
      </c>
      <c r="L153" s="20">
        <f>IF(AND(L$75&lt;'1 - Titoli e shock'!$B$11,$B$35&gt;L$74),PRICE(L$74,$B$35,'1 - Titoli e shock'!$C$22,2*((1+L91+I$5/100)^0.5-1),100,2,1)*$C$35,0)</f>
        <v>0</v>
      </c>
      <c r="M153" s="20">
        <f>IF(AND(M$75&lt;'1 - Titoli e shock'!$B$11,$B$35&gt;M$74),PRICE(M$74,$B$35,'1 - Titoli e shock'!$C$22,2*((1+M91+I$5/100)^0.5-1),100,2,1)*$C$35,0)</f>
        <v>0</v>
      </c>
      <c r="N153" s="20">
        <f>IF(AND(N$75&lt;'1 - Titoli e shock'!$B$11,$B$35&gt;N$74),PRICE(N$74,$B$35,'1 - Titoli e shock'!$C$22,2*((1+N91+I$5/100)^0.5-1),100,2,1)*$C$35,0)</f>
        <v>0</v>
      </c>
      <c r="O153" s="20">
        <f>IF(AND(O$75&lt;'1 - Titoli e shock'!$B$11,$B$35&gt;O$74),PRICE(O$74,$B$35,'1 - Titoli e shock'!$C$22,2*((1+O91+I$5/100)^0.5-1),100,2,1)*$C$35,0)</f>
        <v>0</v>
      </c>
      <c r="P153" s="20">
        <f>IF(AND(P$75&lt;'1 - Titoli e shock'!$B$11,$B$35&gt;P$74),PRICE(P$74,$B$35,'1 - Titoli e shock'!$C$22,2*((1+P91+I$5/100)^0.5-1),100,2,1)*$C$35,0)</f>
        <v>0</v>
      </c>
      <c r="Q153" s="20">
        <f>IF(AND(Q$75&lt;'1 - Titoli e shock'!$B$11,$B$35&gt;Q$74),PRICE(Q$74,$B$35,'1 - Titoli e shock'!$C$22,2*((1+Q91+I$5/100)^0.5-1),100,2,1)*$C$35,0)</f>
        <v>0</v>
      </c>
      <c r="R153" s="20">
        <f>IF(AND(R$75&lt;'1 - Titoli e shock'!$B$11,$B$35&gt;R$74),PRICE(R$74,$B$35,'1 - Titoli e shock'!$C$22,2*((1+R91+I$5/100)^0.5-1),100,2,1)*$C$35,0)</f>
        <v>0</v>
      </c>
      <c r="S153" s="20">
        <f>IF(AND(S$75&lt;'1 - Titoli e shock'!$B$11,$B$35&gt;S$74),PRICE(S$74,$B$35,'1 - Titoli e shock'!$C$22,2*((1+S91+I$5/100)^0.5-1),100,2,1)*$C$35,0)</f>
        <v>0</v>
      </c>
      <c r="T153" s="20">
        <f>IF(AND(T$75&lt;'1 - Titoli e shock'!$B$11,$B$35&gt;T$74),PRICE(T$74,$B$35,'1 - Titoli e shock'!$C$22,2*((1+T91+I$5/100)^0.5-1),100,2,1)*$C$35,0)</f>
        <v>0</v>
      </c>
      <c r="U153" s="20">
        <f>IF(AND(U$75&lt;'1 - Titoli e shock'!$B$11,$B$35&gt;U$74),PRICE(U$74,$B$35,'1 - Titoli e shock'!$C$22,2*((1+U91+I$5/100)^0.5-1),100,2,1)*$C$35,0)</f>
        <v>0</v>
      </c>
    </row>
    <row r="154" spans="1:21">
      <c r="A154" s="22" t="str">
        <f t="shared" si="36"/>
        <v>BTP 3,00% ott 2029</v>
      </c>
      <c r="F154" s="20">
        <f>IF(AND(F$75&lt;'1 - Titoli e shock'!$B$11,$B$36&gt;F$74),'1 - Titoli e shock'!$E$23*$C$36,0)</f>
        <v>19969.855911255803</v>
      </c>
      <c r="G154" s="20">
        <f>IF(AND(G$75&lt;'1 - Titoli e shock'!$B$11,$B$36&gt;G$74),PRICE(G$74,$B$36,'1 - Titoli e shock'!$C$23,2*((1+G92+I$5/100)^0.5-1),100,2,1)*$C$36,0)</f>
        <v>19458.3435083769</v>
      </c>
      <c r="H154" s="20">
        <f>IF(AND(H$75&lt;'1 - Titoli e shock'!$B$11,$B$36&gt;H$74),PRICE(H$74,$B$36,'1 - Titoli e shock'!$C$23,2*((1+H92+I$5/100)^0.5-1),100,2,1)*$C$36,0)</f>
        <v>19924.484949661928</v>
      </c>
      <c r="I154" s="20">
        <f>IF(AND(I$75&lt;'1 - Titoli e shock'!$B$11,$B$36&gt;I$74),PRICE(I$74,$B$36,'1 - Titoli e shock'!$C$23,2*((1+I92+I$5/100)^0.5-1),100,2,1)*$C$36,0)</f>
        <v>0</v>
      </c>
      <c r="J154" s="20">
        <f>IF(AND(J$75&lt;'1 - Titoli e shock'!$B$11,$B$36&gt;J$74),PRICE(J$74,$B$36,'1 - Titoli e shock'!$C$23,2*((1+J92+I$5/100)^0.5-1),100,2,1)*$C$36,0)</f>
        <v>0</v>
      </c>
      <c r="K154" s="20">
        <f>IF(AND(K$75&lt;'1 - Titoli e shock'!$B$11,$B$36&gt;K$74),PRICE(K$74,$B$36,'1 - Titoli e shock'!$C$23,2*((1+K92+I$5/100)^0.5-1),100,2,1)*$C$36,0)</f>
        <v>0</v>
      </c>
      <c r="L154" s="20">
        <f>IF(AND(L$75&lt;'1 - Titoli e shock'!$B$11,$B$36&gt;L$74),PRICE(L$74,$B$36,'1 - Titoli e shock'!$C$23,2*((1+L92+I$5/100)^0.5-1),100,2,1)*$C$36,0)</f>
        <v>0</v>
      </c>
      <c r="M154" s="20">
        <f>IF(AND(M$75&lt;'1 - Titoli e shock'!$B$11,$B$36&gt;M$74),PRICE(M$74,$B$36,'1 - Titoli e shock'!$C$23,2*((1+M92+I$5/100)^0.5-1),100,2,1)*$C$36,0)</f>
        <v>0</v>
      </c>
      <c r="N154" s="20">
        <f>IF(AND(N$75&lt;'1 - Titoli e shock'!$B$11,$B$36&gt;N$74),PRICE(N$74,$B$36,'1 - Titoli e shock'!$C$23,2*((1+N92+I$5/100)^0.5-1),100,2,1)*$C$36,0)</f>
        <v>0</v>
      </c>
      <c r="O154" s="20">
        <f>IF(AND(O$75&lt;'1 - Titoli e shock'!$B$11,$B$36&gt;O$74),PRICE(O$74,$B$36,'1 - Titoli e shock'!$C$23,2*((1+O92+I$5/100)^0.5-1),100,2,1)*$C$36,0)</f>
        <v>0</v>
      </c>
      <c r="P154" s="20">
        <f>IF(AND(P$75&lt;'1 - Titoli e shock'!$B$11,$B$36&gt;P$74),PRICE(P$74,$B$36,'1 - Titoli e shock'!$C$23,2*((1+P92+I$5/100)^0.5-1),100,2,1)*$C$36,0)</f>
        <v>0</v>
      </c>
      <c r="Q154" s="20">
        <f>IF(AND(Q$75&lt;'1 - Titoli e shock'!$B$11,$B$36&gt;Q$74),PRICE(Q$74,$B$36,'1 - Titoli e shock'!$C$23,2*((1+Q92+I$5/100)^0.5-1),100,2,1)*$C$36,0)</f>
        <v>0</v>
      </c>
      <c r="R154" s="20">
        <f>IF(AND(R$75&lt;'1 - Titoli e shock'!$B$11,$B$36&gt;R$74),PRICE(R$74,$B$36,'1 - Titoli e shock'!$C$23,2*((1+R92+I$5/100)^0.5-1),100,2,1)*$C$36,0)</f>
        <v>0</v>
      </c>
      <c r="S154" s="20">
        <f>IF(AND(S$75&lt;'1 - Titoli e shock'!$B$11,$B$36&gt;S$74),PRICE(S$74,$B$36,'1 - Titoli e shock'!$C$23,2*((1+S92+I$5/100)^0.5-1),100,2,1)*$C$36,0)</f>
        <v>0</v>
      </c>
      <c r="T154" s="20">
        <f>IF(AND(T$75&lt;'1 - Titoli e shock'!$B$11,$B$36&gt;T$74),PRICE(T$74,$B$36,'1 - Titoli e shock'!$C$23,2*((1+T92+I$5/100)^0.5-1),100,2,1)*$C$36,0)</f>
        <v>0</v>
      </c>
      <c r="U154" s="20">
        <f>IF(AND(U$75&lt;'1 - Titoli e shock'!$B$11,$B$36&gt;U$74),PRICE(U$74,$B$36,'1 - Titoli e shock'!$C$23,2*((1+U92+I$5/100)^0.5-1),100,2,1)*$C$36,0)</f>
        <v>0</v>
      </c>
    </row>
    <row r="155" spans="1:21">
      <c r="A155" s="22" t="str">
        <f t="shared" si="36"/>
        <v>BTP 2,70% ott 2030</v>
      </c>
      <c r="F155" s="20">
        <f>IF(AND(F$75&lt;'1 - Titoli e shock'!$B$11,$B$37&gt;F$74),'1 - Titoli e shock'!$E$24*$C$37,0)</f>
        <v>19972.234251507405</v>
      </c>
      <c r="G155" s="20">
        <f>IF(AND(G$75&lt;'1 - Titoli e shock'!$B$11,$B$37&gt;G$74),PRICE(G$74,$B$37,'1 - Titoli e shock'!$C$24,2*((1+G93+I$5/100)^0.5-1),100,2,1)*$C$37,0)</f>
        <v>19189.413372734969</v>
      </c>
      <c r="H155" s="20">
        <f>IF(AND(H$75&lt;'1 - Titoli e shock'!$B$11,$B$37&gt;H$74),PRICE(H$74,$B$37,'1 - Titoli e shock'!$C$24,2*((1+H93+I$5/100)^0.5-1),100,2,1)*$C$37,0)</f>
        <v>19800.747844827245</v>
      </c>
      <c r="I155" s="20">
        <f>IF(AND(I$75&lt;'1 - Titoli e shock'!$B$11,$B$37&gt;I$74),PRICE(I$74,$B$37,'1 - Titoli e shock'!$C$24,2*((1+I93+I$5/100)^0.5-1),100,2,1)*$C$37,0)</f>
        <v>20334.487649809424</v>
      </c>
      <c r="J155" s="20">
        <f>IF(AND(J$75&lt;'1 - Titoli e shock'!$B$11,$B$37&gt;J$74),PRICE(J$74,$B$37,'1 - Titoli e shock'!$C$24,2*((1+J93+I$5/100)^0.5-1),100,2,1)*$C$37,0)</f>
        <v>0</v>
      </c>
      <c r="K155" s="20">
        <f>IF(AND(K$75&lt;'1 - Titoli e shock'!$B$11,$B$37&gt;K$74),PRICE(K$74,$B$37,'1 - Titoli e shock'!$C$24,2*((1+K93+I$5/100)^0.5-1),100,2,1)*$C$37,0)</f>
        <v>0</v>
      </c>
      <c r="L155" s="20">
        <f>IF(AND(L$75&lt;'1 - Titoli e shock'!$B$11,$B$37&gt;L$74),PRICE(L$74,$B$37,'1 - Titoli e shock'!$C$24,2*((1+L93+I$5/100)^0.5-1),100,2,1)*$C$37,0)</f>
        <v>0</v>
      </c>
      <c r="M155" s="20">
        <f>IF(AND(M$75&lt;'1 - Titoli e shock'!$B$11,$B$37&gt;M$74),PRICE(M$74,$B$37,'1 - Titoli e shock'!$C$24,2*((1+M93+I$5/100)^0.5-1),100,2,1)*$C$37,0)</f>
        <v>0</v>
      </c>
      <c r="N155" s="20">
        <f>IF(AND(N$75&lt;'1 - Titoli e shock'!$B$11,$B$37&gt;N$74),PRICE(N$74,$B$37,'1 - Titoli e shock'!$C$24,2*((1+N93+I$5/100)^0.5-1),100,2,1)*$C$37,0)</f>
        <v>0</v>
      </c>
      <c r="O155" s="20">
        <f>IF(AND(O$75&lt;'1 - Titoli e shock'!$B$11,$B$37&gt;O$74),PRICE(O$74,$B$37,'1 - Titoli e shock'!$C$24,2*((1+O93+I$5/100)^0.5-1),100,2,1)*$C$37,0)</f>
        <v>0</v>
      </c>
      <c r="P155" s="20">
        <f>IF(AND(P$75&lt;'1 - Titoli e shock'!$B$11,$B$37&gt;P$74),PRICE(P$74,$B$37,'1 - Titoli e shock'!$C$24,2*((1+P93+I$5/100)^0.5-1),100,2,1)*$C$37,0)</f>
        <v>0</v>
      </c>
      <c r="Q155" s="20">
        <f>IF(AND(Q$75&lt;'1 - Titoli e shock'!$B$11,$B$37&gt;Q$74),PRICE(Q$74,$B$37,'1 - Titoli e shock'!$C$24,2*((1+Q93+I$5/100)^0.5-1),100,2,1)*$C$37,0)</f>
        <v>0</v>
      </c>
      <c r="R155" s="20">
        <f>IF(AND(R$75&lt;'1 - Titoli e shock'!$B$11,$B$37&gt;R$74),PRICE(R$74,$B$37,'1 - Titoli e shock'!$C$24,2*((1+R93+I$5/100)^0.5-1),100,2,1)*$C$37,0)</f>
        <v>0</v>
      </c>
      <c r="S155" s="20">
        <f>IF(AND(S$75&lt;'1 - Titoli e shock'!$B$11,$B$37&gt;S$74),PRICE(S$74,$B$37,'1 - Titoli e shock'!$C$24,2*((1+S93+I$5/100)^0.5-1),100,2,1)*$C$37,0)</f>
        <v>0</v>
      </c>
      <c r="T155" s="20">
        <f>IF(AND(T$75&lt;'1 - Titoli e shock'!$B$11,$B$37&gt;T$74),PRICE(T$74,$B$37,'1 - Titoli e shock'!$C$24,2*((1+T93+I$5/100)^0.5-1),100,2,1)*$C$37,0)</f>
        <v>0</v>
      </c>
      <c r="U155" s="20">
        <f>IF(AND(U$75&lt;'1 - Titoli e shock'!$B$11,$B$37&gt;U$74),PRICE(U$74,$B$37,'1 - Titoli e shock'!$C$24,2*((1+U93+I$5/100)^0.5-1),100,2,1)*$C$37,0)</f>
        <v>0</v>
      </c>
    </row>
    <row r="156" spans="1:21">
      <c r="A156" s="22" t="str">
        <f t="shared" si="36"/>
        <v>BTP 3,15% nov 2031</v>
      </c>
      <c r="F156" s="20">
        <f>IF(AND(F$75&lt;'1 - Titoli e shock'!$B$11,$B$38&gt;F$74),'1 - Titoli e shock'!$E$25*$C$38,0)</f>
        <v>19725.468328937292</v>
      </c>
      <c r="G156" s="20">
        <f>IF(AND(G$75&lt;'1 - Titoli e shock'!$B$11,$B$38&gt;G$74),PRICE(G$74,$B$38,'1 - Titoli e shock'!$C$25,2*((1+G94+I$5/100)^0.5-1),100,2,1)*$C$38,0)</f>
        <v>18519.963732344568</v>
      </c>
      <c r="H156" s="20">
        <f>IF(AND(H$75&lt;'1 - Titoli e shock'!$B$11,$B$38&gt;H$74),PRICE(H$74,$B$38,'1 - Titoli e shock'!$C$25,2*((1+H94+I$5/100)^0.5-1),100,2,1)*$C$38,0)</f>
        <v>19035.254783622066</v>
      </c>
      <c r="I156" s="20">
        <f>IF(AND(I$75&lt;'1 - Titoli e shock'!$B$11,$B$38&gt;I$74),PRICE(I$74,$B$38,'1 - Titoli e shock'!$C$25,2*((1+I94+I$5/100)^0.5-1),100,2,1)*$C$38,0)</f>
        <v>19560.94097555336</v>
      </c>
      <c r="J156" s="20">
        <f>IF(AND(J$75&lt;'1 - Titoli e shock'!$B$11,$B$38&gt;J$74),PRICE(J$74,$B$38,'1 - Titoli e shock'!$C$25,2*((1+J94+I$5/100)^0.5-1),100,2,1)*$C$38,0)</f>
        <v>20009.211658976626</v>
      </c>
      <c r="K156" s="20">
        <f>IF(AND(K$75&lt;'1 - Titoli e shock'!$B$11,$B$38&gt;K$74),PRICE(K$74,$B$38,'1 - Titoli e shock'!$C$25,2*((1+K94+I$5/100)^0.5-1),100,2,1)*$C$38,0)</f>
        <v>20397.774040501692</v>
      </c>
      <c r="L156" s="20">
        <f>IF(AND(L$75&lt;'1 - Titoli e shock'!$B$11,$B$38&gt;L$74),PRICE(L$74,$B$38,'1 - Titoli e shock'!$C$25,2*((1+L94+I$5/100)^0.5-1),100,2,1)*$C$38,0)</f>
        <v>0</v>
      </c>
      <c r="M156" s="20">
        <f>IF(AND(M$75&lt;'1 - Titoli e shock'!$B$11,$B$38&gt;M$74),PRICE(M$74,$B$38,'1 - Titoli e shock'!$C$25,2*((1+M94+I$5/100)^0.5-1),100,2,1)*$C$38,0)</f>
        <v>0</v>
      </c>
      <c r="N156" s="20">
        <f>IF(AND(N$75&lt;'1 - Titoli e shock'!$B$11,$B$38&gt;N$74),PRICE(N$74,$B$38,'1 - Titoli e shock'!$C$25,2*((1+N94+I$5/100)^0.5-1),100,2,1)*$C$38,0)</f>
        <v>0</v>
      </c>
      <c r="O156" s="20">
        <f>IF(AND(O$75&lt;'1 - Titoli e shock'!$B$11,$B$38&gt;O$74),PRICE(O$74,$B$38,'1 - Titoli e shock'!$C$25,2*((1+O94+I$5/100)^0.5-1),100,2,1)*$C$38,0)</f>
        <v>0</v>
      </c>
      <c r="P156" s="20">
        <f>IF(AND(P$75&lt;'1 - Titoli e shock'!$B$11,$B$38&gt;P$74),PRICE(P$74,$B$38,'1 - Titoli e shock'!$C$25,2*((1+P94+I$5/100)^0.5-1),100,2,1)*$C$38,0)</f>
        <v>0</v>
      </c>
      <c r="Q156" s="20">
        <f>IF(AND(Q$75&lt;'1 - Titoli e shock'!$B$11,$B$38&gt;Q$74),PRICE(Q$74,$B$38,'1 - Titoli e shock'!$C$25,2*((1+Q94+I$5/100)^0.5-1),100,2,1)*$C$38,0)</f>
        <v>0</v>
      </c>
      <c r="R156" s="20">
        <f>IF(AND(R$75&lt;'1 - Titoli e shock'!$B$11,$B$38&gt;R$74),PRICE(R$74,$B$38,'1 - Titoli e shock'!$C$25,2*((1+R94+I$5/100)^0.5-1),100,2,1)*$C$38,0)</f>
        <v>0</v>
      </c>
      <c r="S156" s="20">
        <f>IF(AND(S$75&lt;'1 - Titoli e shock'!$B$11,$B$38&gt;S$74),PRICE(S$74,$B$38,'1 - Titoli e shock'!$C$25,2*((1+S94+I$5/100)^0.5-1),100,2,1)*$C$38,0)</f>
        <v>0</v>
      </c>
      <c r="T156" s="20">
        <f>IF(AND(T$75&lt;'1 - Titoli e shock'!$B$11,$B$38&gt;T$74),PRICE(T$74,$B$38,'1 - Titoli e shock'!$C$25,2*((1+T94+I$5/100)^0.5-1),100,2,1)*$C$38,0)</f>
        <v>0</v>
      </c>
      <c r="U156" s="20">
        <f>IF(AND(U$75&lt;'1 - Titoli e shock'!$B$11,$B$38&gt;U$74),PRICE(U$74,$B$38,'1 - Titoli e shock'!$C$25,2*((1+U94+I$5/100)^0.5-1),100,2,1)*$C$38,0)</f>
        <v>0</v>
      </c>
    </row>
    <row r="157" spans="1:21">
      <c r="A157" s="22" t="str">
        <f t="shared" si="36"/>
        <v>BTP 3,25% nov 2032</v>
      </c>
      <c r="F157" s="20">
        <f>IF(AND(F$75&lt;'1 - Titoli e shock'!$B$11,$B$39&gt;F$74),'1 - Titoli e shock'!$E$26*$C$39,0)</f>
        <v>19714.955679169416</v>
      </c>
      <c r="G157" s="20">
        <f>IF(AND(G$75&lt;'1 - Titoli e shock'!$B$11,$B$39&gt;G$74),PRICE(G$74,$B$39,'1 - Titoli e shock'!$C$26,2*((1+G95+I$5/100)^0.5-1),100,2,1)*$C$39,0)</f>
        <v>18234.665986877815</v>
      </c>
      <c r="H157" s="20">
        <f>IF(AND(H$75&lt;'1 - Titoli e shock'!$B$11,$B$39&gt;H$74),PRICE(H$74,$B$39,'1 - Titoli e shock'!$C$26,2*((1+H95+I$5/100)^0.5-1),100,2,1)*$C$39,0)</f>
        <v>18711.17756253864</v>
      </c>
      <c r="I157" s="20">
        <f>IF(AND(I$75&lt;'1 - Titoli e shock'!$B$11,$B$39&gt;I$74),PRICE(I$74,$B$39,'1 - Titoli e shock'!$C$26,2*((1+I95+I$5/100)^0.5-1),100,2,1)*$C$39,0)</f>
        <v>19213.090624285414</v>
      </c>
      <c r="J157" s="20">
        <f>IF(AND(J$75&lt;'1 - Titoli e shock'!$B$11,$B$39&gt;J$74),PRICE(J$74,$B$39,'1 - Titoli e shock'!$C$26,2*((1+J95+I$5/100)^0.5-1),100,2,1)*$C$39,0)</f>
        <v>19724.682038875548</v>
      </c>
      <c r="K157" s="20">
        <f>IF(AND(K$75&lt;'1 - Titoli e shock'!$B$11,$B$39&gt;K$74),PRICE(K$74,$B$39,'1 - Titoli e shock'!$C$26,2*((1+K95+I$5/100)^0.5-1),100,2,1)*$C$39,0)</f>
        <v>20157.253753606914</v>
      </c>
      <c r="L157" s="20">
        <f>IF(AND(L$75&lt;'1 - Titoli e shock'!$B$11,$B$39&gt;L$74),PRICE(L$74,$B$39,'1 - Titoli e shock'!$C$26,2*((1+L95+I$5/100)^0.5-1),100,2,1)*$C$39,0)</f>
        <v>20528.679057459336</v>
      </c>
      <c r="M157" s="20">
        <f>IF(AND(M$75&lt;'1 - Titoli e shock'!$B$11,$B$39&gt;M$74),PRICE(M$74,$B$39,'1 - Titoli e shock'!$C$26,2*((1+M95+I$5/100)^0.5-1),100,2,1)*$C$39,0)</f>
        <v>0</v>
      </c>
      <c r="N157" s="20">
        <f>IF(AND(N$75&lt;'1 - Titoli e shock'!$B$11,$B$39&gt;N$74),PRICE(N$74,$B$39,'1 - Titoli e shock'!$C$26,2*((1+N95+I$5/100)^0.5-1),100,2,1)*$C$39,0)</f>
        <v>0</v>
      </c>
      <c r="O157" s="20">
        <f>IF(AND(O$75&lt;'1 - Titoli e shock'!$B$11,$B$39&gt;O$74),PRICE(O$74,$B$39,'1 - Titoli e shock'!$C$26,2*((1+O95+I$5/100)^0.5-1),100,2,1)*$C$39,0)</f>
        <v>0</v>
      </c>
      <c r="P157" s="20">
        <f>IF(AND(P$75&lt;'1 - Titoli e shock'!$B$11,$B$39&gt;P$74),PRICE(P$74,$B$39,'1 - Titoli e shock'!$C$26,2*((1+P95+I$5/100)^0.5-1),100,2,1)*$C$39,0)</f>
        <v>0</v>
      </c>
      <c r="Q157" s="20">
        <f>IF(AND(Q$75&lt;'1 - Titoli e shock'!$B$11,$B$39&gt;Q$74),PRICE(Q$74,$B$39,'1 - Titoli e shock'!$C$26,2*((1+Q95+I$5/100)^0.5-1),100,2,1)*$C$39,0)</f>
        <v>0</v>
      </c>
      <c r="R157" s="20">
        <f>IF(AND(R$75&lt;'1 - Titoli e shock'!$B$11,$B$39&gt;R$74),PRICE(R$74,$B$39,'1 - Titoli e shock'!$C$26,2*((1+R95+I$5/100)^0.5-1),100,2,1)*$C$39,0)</f>
        <v>0</v>
      </c>
      <c r="S157" s="20">
        <f>IF(AND(S$75&lt;'1 - Titoli e shock'!$B$11,$B$39&gt;S$74),PRICE(S$74,$B$39,'1 - Titoli e shock'!$C$26,2*((1+S95+I$5/100)^0.5-1),100,2,1)*$C$39,0)</f>
        <v>0</v>
      </c>
      <c r="T157" s="20">
        <f>IF(AND(T$75&lt;'1 - Titoli e shock'!$B$11,$B$39&gt;T$74),PRICE(T$74,$B$39,'1 - Titoli e shock'!$C$26,2*((1+T95+I$5/100)^0.5-1),100,2,1)*$C$39,0)</f>
        <v>0</v>
      </c>
      <c r="U157" s="20">
        <f>IF(AND(U$75&lt;'1 - Titoli e shock'!$B$11,$B$39&gt;U$74),PRICE(U$74,$B$39,'1 - Titoli e shock'!$C$26,2*((1+U95+I$5/100)^0.5-1),100,2,1)*$C$39,0)</f>
        <v>0</v>
      </c>
    </row>
    <row r="158" spans="1:21">
      <c r="A158" s="22" t="str">
        <f t="shared" si="36"/>
        <v>BTP 4,35% nov 2033</v>
      </c>
      <c r="F158" s="20">
        <f>IF(AND(F$75&lt;'1 - Titoli e shock'!$B$11,$B$40&gt;F$74),'1 - Titoli e shock'!$E$27*$C$40,0)</f>
        <v>19608.425910060352</v>
      </c>
      <c r="G158" s="20">
        <f>IF(AND(G$75&lt;'1 - Titoli e shock'!$B$11,$B$40&gt;G$74),PRICE(G$74,$B$40,'1 - Titoli e shock'!$C$27,2*((1+G96+I$5/100)^0.5-1),100,2,1)*$C$40,0)</f>
        <v>17806.128598293122</v>
      </c>
      <c r="H158" s="20">
        <f>IF(AND(H$75&lt;'1 - Titoli e shock'!$B$11,$B$40&gt;H$74),PRICE(H$74,$B$40,'1 - Titoli e shock'!$C$27,2*((1+H96+I$5/100)^0.5-1),100,2,1)*$C$40,0)</f>
        <v>18118.362945751927</v>
      </c>
      <c r="I158" s="20">
        <f>IF(AND(I$75&lt;'1 - Titoli e shock'!$B$11,$B$40&gt;I$74),PRICE(I$74,$B$40,'1 - Titoli e shock'!$C$27,2*((1+I96+I$5/100)^0.5-1),100,2,1)*$C$40,0)</f>
        <v>18406.899041567958</v>
      </c>
      <c r="J158" s="20">
        <f>IF(AND(J$75&lt;'1 - Titoli e shock'!$B$11,$B$40&gt;J$74),PRICE(J$74,$B$40,'1 - Titoli e shock'!$C$27,2*((1+J96+I$5/100)^0.5-1),100,2,1)*$C$40,0)</f>
        <v>18710.195422832832</v>
      </c>
      <c r="K158" s="20">
        <f>IF(AND(K$75&lt;'1 - Titoli e shock'!$B$11,$B$40&gt;K$74),PRICE(K$74,$B$40,'1 - Titoli e shock'!$C$27,2*((1+K96+I$5/100)^0.5-1),100,2,1)*$C$40,0)</f>
        <v>19009.49617021031</v>
      </c>
      <c r="L158" s="20">
        <f>IF(AND(L$75&lt;'1 - Titoli e shock'!$B$11,$B$40&gt;L$74),PRICE(L$74,$B$40,'1 - Titoli e shock'!$C$27,2*((1+L96+I$5/100)^0.5-1),100,2,1)*$C$40,0)</f>
        <v>19221.595587498712</v>
      </c>
      <c r="M158" s="20">
        <f>IF(AND(M$75&lt;'1 - Titoli e shock'!$B$11,$B$40&gt;M$74),PRICE(M$74,$B$40,'1 - Titoli e shock'!$C$27,2*((1+M96+I$5/100)^0.5-1),100,2,1)*$C$40,0)</f>
        <v>19366.128411091595</v>
      </c>
      <c r="N158" s="20">
        <f>IF(AND(N$75&lt;'1 - Titoli e shock'!$B$11,$B$40&gt;N$74),PRICE(N$74,$B$40,'1 - Titoli e shock'!$C$27,2*((1+N96+I$5/100)^0.5-1),100,2,1)*$C$40,0)</f>
        <v>0</v>
      </c>
      <c r="O158" s="20">
        <f>IF(AND(O$75&lt;'1 - Titoli e shock'!$B$11,$B$40&gt;O$74),PRICE(O$74,$B$40,'1 - Titoli e shock'!$C$27,2*((1+O96+I$5/100)^0.5-1),100,2,1)*$C$40,0)</f>
        <v>0</v>
      </c>
      <c r="P158" s="20">
        <f>IF(AND(P$75&lt;'1 - Titoli e shock'!$B$11,$B$40&gt;P$74),PRICE(P$74,$B$40,'1 - Titoli e shock'!$C$27,2*((1+P96+I$5/100)^0.5-1),100,2,1)*$C$40,0)</f>
        <v>0</v>
      </c>
      <c r="Q158" s="20">
        <f>IF(AND(Q$75&lt;'1 - Titoli e shock'!$B$11,$B$40&gt;Q$74),PRICE(Q$74,$B$40,'1 - Titoli e shock'!$C$27,2*((1+Q96+I$5/100)^0.5-1),100,2,1)*$C$40,0)</f>
        <v>0</v>
      </c>
      <c r="R158" s="20">
        <f>IF(AND(R$75&lt;'1 - Titoli e shock'!$B$11,$B$40&gt;R$74),PRICE(R$74,$B$40,'1 - Titoli e shock'!$C$27,2*((1+R96+I$5/100)^0.5-1),100,2,1)*$C$40,0)</f>
        <v>0</v>
      </c>
      <c r="S158" s="20">
        <f>IF(AND(S$75&lt;'1 - Titoli e shock'!$B$11,$B$40&gt;S$74),PRICE(S$74,$B$40,'1 - Titoli e shock'!$C$27,2*((1+S96+I$5/100)^0.5-1),100,2,1)*$C$40,0)</f>
        <v>0</v>
      </c>
      <c r="T158" s="20">
        <f>IF(AND(T$75&lt;'1 - Titoli e shock'!$B$11,$B$40&gt;T$74),PRICE(T$74,$B$40,'1 - Titoli e shock'!$C$27,2*((1+T96+I$5/100)^0.5-1),100,2,1)*$C$40,0)</f>
        <v>0</v>
      </c>
      <c r="U158" s="20">
        <f>IF(AND(U$75&lt;'1 - Titoli e shock'!$B$11,$B$40&gt;U$74),PRICE(U$74,$B$40,'1 - Titoli e shock'!$C$27,2*((1+U96+I$5/100)^0.5-1),100,2,1)*$C$40,0)</f>
        <v>0</v>
      </c>
    </row>
    <row r="159" spans="1:21">
      <c r="A159" s="22" t="str">
        <f t="shared" si="36"/>
        <v>BTP 3,85% feb 2035</v>
      </c>
      <c r="F159" s="20">
        <f>IF(AND(F$75&lt;'1 - Titoli e shock'!$B$11,$B$41&gt;F$74),'1 - Titoli e shock'!$E$28*$C$41,0)</f>
        <v>19830.872885528777</v>
      </c>
      <c r="G159" s="20">
        <f>IF(AND(G$75&lt;'1 - Titoli e shock'!$B$11,$B$41&gt;G$74),PRICE(G$74,$B$41,'1 - Titoli e shock'!$C$28,2*((1+G97+I$5/100)^0.5-1),100,2,1)*$C$41,0)</f>
        <v>17755.546606223794</v>
      </c>
      <c r="H159" s="20">
        <f>IF(AND(H$75&lt;'1 - Titoli e shock'!$B$11,$B$41&gt;H$74),PRICE(H$74,$B$41,'1 - Titoli e shock'!$C$28,2*((1+H97+I$5/100)^0.5-1),100,2,1)*$C$41,0)</f>
        <v>18189.163447105879</v>
      </c>
      <c r="I159" s="20">
        <f>IF(AND(I$75&lt;'1 - Titoli e shock'!$B$11,$B$41&gt;I$74),PRICE(I$74,$B$41,'1 - Titoli e shock'!$C$28,2*((1+I97+I$5/100)^0.5-1),100,2,1)*$C$41,0)</f>
        <v>18597.9886602197</v>
      </c>
      <c r="J159" s="20">
        <f>IF(AND(J$75&lt;'1 - Titoli e shock'!$B$11,$B$41&gt;J$74),PRICE(J$74,$B$41,'1 - Titoli e shock'!$C$28,2*((1+J97+I$5/100)^0.5-1),100,2,1)*$C$41,0)</f>
        <v>18984.31654839409</v>
      </c>
      <c r="K159" s="20">
        <f>IF(AND(K$75&lt;'1 - Titoli e shock'!$B$11,$B$41&gt;K$74),PRICE(K$74,$B$41,'1 - Titoli e shock'!$C$28,2*((1+K97+I$5/100)^0.5-1),100,2,1)*$C$41,0)</f>
        <v>19382.552380222834</v>
      </c>
      <c r="L159" s="20">
        <f>IF(AND(L$75&lt;'1 - Titoli e shock'!$B$11,$B$41&gt;L$74),PRICE(L$74,$B$41,'1 - Titoli e shock'!$C$28,2*((1+L97+I$5/100)^0.5-1),100,2,1)*$C$41,0)</f>
        <v>19791.172357094856</v>
      </c>
      <c r="M159" s="20">
        <f>IF(AND(M$75&lt;'1 - Titoli e shock'!$B$11,$B$41&gt;M$74),PRICE(M$74,$B$41,'1 - Titoli e shock'!$C$28,2*((1+M97+I$5/100)^0.5-1),100,2,1)*$C$41,0)</f>
        <v>20127.860483389588</v>
      </c>
      <c r="N159" s="20">
        <f>IF(AND(N$75&lt;'1 - Titoli e shock'!$B$11,$B$41&gt;N$74),PRICE(N$74,$B$41,'1 - Titoli e shock'!$C$28,2*((1+N97+I$5/100)^0.5-1),100,2,1)*$C$41,0)</f>
        <v>20387.739756585226</v>
      </c>
      <c r="O159" s="20">
        <f>IF(AND(O$75&lt;'1 - Titoli e shock'!$B$11,$B$41&gt;O$74),PRICE(O$74,$B$41,'1 - Titoli e shock'!$C$28,2*((1+O97+I$5/100)^0.5-1),100,2,1)*$C$41,0)</f>
        <v>0</v>
      </c>
      <c r="P159" s="20">
        <f>IF(AND(P$75&lt;'1 - Titoli e shock'!$B$11,$B$41&gt;P$74),PRICE(P$74,$B$41,'1 - Titoli e shock'!$C$28,2*((1+P97+I$5/100)^0.5-1),100,2,1)*$C$41,0)</f>
        <v>0</v>
      </c>
      <c r="Q159" s="20">
        <f>IF(AND(Q$75&lt;'1 - Titoli e shock'!$B$11,$B$41&gt;Q$74),PRICE(Q$74,$B$41,'1 - Titoli e shock'!$C$28,2*((1+Q97+I$5/100)^0.5-1),100,2,1)*$C$41,0)</f>
        <v>0</v>
      </c>
      <c r="R159" s="20">
        <f>IF(AND(R$75&lt;'1 - Titoli e shock'!$B$11,$B$41&gt;R$74),PRICE(R$74,$B$41,'1 - Titoli e shock'!$C$28,2*((1+R97+I$5/100)^0.5-1),100,2,1)*$C$41,0)</f>
        <v>0</v>
      </c>
      <c r="S159" s="20">
        <f>IF(AND(S$75&lt;'1 - Titoli e shock'!$B$11,$B$41&gt;S$74),PRICE(S$74,$B$41,'1 - Titoli e shock'!$C$28,2*((1+S97+I$5/100)^0.5-1),100,2,1)*$C$41,0)</f>
        <v>0</v>
      </c>
      <c r="T159" s="20">
        <f>IF(AND(T$75&lt;'1 - Titoli e shock'!$B$11,$B$41&gt;T$74),PRICE(T$74,$B$41,'1 - Titoli e shock'!$C$28,2*((1+T97+I$5/100)^0.5-1),100,2,1)*$C$41,0)</f>
        <v>0</v>
      </c>
      <c r="U159" s="20">
        <f>IF(AND(U$75&lt;'1 - Titoli e shock'!$B$11,$B$41&gt;U$74),PRICE(U$74,$B$41,'1 - Titoli e shock'!$C$28,2*((1+U97+I$5/100)^0.5-1),100,2,1)*$C$41,0)</f>
        <v>0</v>
      </c>
    </row>
    <row r="160" spans="1:21">
      <c r="A160" s="22" t="str">
        <f t="shared" si="36"/>
        <v>BTP 3,60% ott 2035</v>
      </c>
      <c r="F160" s="20">
        <f>IF(AND(F$75&lt;'1 - Titoli e shock'!$B$11,$B$42&gt;F$74),'1 - Titoli e shock'!$E$29*$C$42,0)</f>
        <v>19962.394233782514</v>
      </c>
      <c r="G160" s="20">
        <f>IF(AND(G$75&lt;'1 - Titoli e shock'!$B$11,$B$42&gt;G$74),PRICE(G$74,$B$42,'1 - Titoli e shock'!$C$29,2*((1+G98+I$5/100)^0.5-1),100,2,1)*$C$42,0)</f>
        <v>17710.246788248714</v>
      </c>
      <c r="H160" s="20">
        <f>IF(AND(H$75&lt;'1 - Titoli e shock'!$B$11,$B$42&gt;H$74),PRICE(H$74,$B$42,'1 - Titoli e shock'!$C$29,2*((1+H98+I$5/100)^0.5-1),100,2,1)*$C$42,0)</f>
        <v>18182.891361976133</v>
      </c>
      <c r="I160" s="20">
        <f>IF(AND(I$75&lt;'1 - Titoli e shock'!$B$11,$B$42&gt;I$74),PRICE(I$74,$B$42,'1 - Titoli e shock'!$C$29,2*((1+I98+I$5/100)^0.5-1),100,2,1)*$C$42,0)</f>
        <v>18662.243980639927</v>
      </c>
      <c r="J160" s="20">
        <f>IF(AND(J$75&lt;'1 - Titoli e shock'!$B$11,$B$42&gt;J$74),PRICE(J$74,$B$42,'1 - Titoli e shock'!$C$29,2*((1+J98+I$5/100)^0.5-1),100,2,1)*$C$42,0)</f>
        <v>19111.738531937299</v>
      </c>
      <c r="K160" s="20">
        <f>IF(AND(K$75&lt;'1 - Titoli e shock'!$B$11,$B$42&gt;K$74),PRICE(K$74,$B$42,'1 - Titoli e shock'!$C$29,2*((1+K98+I$5/100)^0.5-1),100,2,1)*$C$42,0)</f>
        <v>19544.546576301371</v>
      </c>
      <c r="L160" s="20">
        <f>IF(AND(L$75&lt;'1 - Titoli e shock'!$B$11,$B$42&gt;L$74),PRICE(L$74,$B$42,'1 - Titoli e shock'!$C$29,2*((1+L98+I$5/100)^0.5-1),100,2,1)*$C$42,0)</f>
        <v>20003.680019204694</v>
      </c>
      <c r="M160" s="20">
        <f>IF(AND(M$75&lt;'1 - Titoli e shock'!$B$11,$B$42&gt;M$74),PRICE(M$74,$B$42,'1 - Titoli e shock'!$C$29,2*((1+M98+I$5/100)^0.5-1),100,2,1)*$C$42,0)</f>
        <v>20461.297791637939</v>
      </c>
      <c r="N160" s="20">
        <f>IF(AND(N$75&lt;'1 - Titoli e shock'!$B$11,$B$42&gt;N$74),PRICE(N$74,$B$42,'1 - Titoli e shock'!$C$29,2*((1+N98+I$5/100)^0.5-1),100,2,1)*$C$42,0)</f>
        <v>20829.800048262754</v>
      </c>
      <c r="O160" s="20">
        <f>IF(AND(O$75&lt;'1 - Titoli e shock'!$B$11,$B$42&gt;O$74),PRICE(O$74,$B$42,'1 - Titoli e shock'!$C$29,2*((1+O98+I$5/100)^0.5-1),100,2,1)*$C$42,0)</f>
        <v>0</v>
      </c>
      <c r="P160" s="20">
        <f>IF(AND(P$75&lt;'1 - Titoli e shock'!$B$11,$B$42&gt;P$74),PRICE(P$74,$B$42,'1 - Titoli e shock'!$C$29,2*((1+P98+I$5/100)^0.5-1),100,2,1)*$C$42,0)</f>
        <v>0</v>
      </c>
      <c r="Q160" s="20">
        <f>IF(AND(Q$75&lt;'1 - Titoli e shock'!$B$11,$B$42&gt;Q$74),PRICE(Q$74,$B$42,'1 - Titoli e shock'!$C$29,2*((1+Q98+I$5/100)^0.5-1),100,2,1)*$C$42,0)</f>
        <v>0</v>
      </c>
      <c r="R160" s="20">
        <f>IF(AND(R$75&lt;'1 - Titoli e shock'!$B$11,$B$42&gt;R$74),PRICE(R$74,$B$42,'1 - Titoli e shock'!$C$29,2*((1+R98+I$5/100)^0.5-1),100,2,1)*$C$42,0)</f>
        <v>0</v>
      </c>
      <c r="S160" s="20">
        <f>IF(AND(S$75&lt;'1 - Titoli e shock'!$B$11,$B$42&gt;S$74),PRICE(S$74,$B$42,'1 - Titoli e shock'!$C$29,2*((1+S98+I$5/100)^0.5-1),100,2,1)*$C$42,0)</f>
        <v>0</v>
      </c>
      <c r="T160" s="20">
        <f>IF(AND(T$75&lt;'1 - Titoli e shock'!$B$11,$B$42&gt;T$74),PRICE(T$74,$B$42,'1 - Titoli e shock'!$C$29,2*((1+T98+I$5/100)^0.5-1),100,2,1)*$C$42,0)</f>
        <v>0</v>
      </c>
      <c r="U160" s="20">
        <f>IF(AND(U$75&lt;'1 - Titoli e shock'!$B$11,$B$42&gt;U$74),PRICE(U$74,$B$42,'1 - Titoli e shock'!$C$29,2*((1+U98+I$5/100)^0.5-1),100,2,1)*$C$42,0)</f>
        <v>0</v>
      </c>
    </row>
    <row r="161" spans="1:21">
      <c r="A161" s="22" t="str">
        <f t="shared" si="36"/>
        <v>BTP 4,00% ott 2036</v>
      </c>
      <c r="F161" s="20">
        <f>IF(AND(F$75&lt;'1 - Titoli e shock'!$B$11,$B$43&gt;F$74),'1 - Titoli e shock'!$E$30*$C$43,0)</f>
        <v>19959.088584578669</v>
      </c>
      <c r="G161" s="20">
        <f>IF(AND(G$75&lt;'1 - Titoli e shock'!$B$11,$B$43&gt;G$74),PRICE(G$74,$B$43,'1 - Titoli e shock'!$C$30,2*((1+G99+I$5/100)^0.5-1),100,2,1)*$C$43,0)</f>
        <v>17469.77285675739</v>
      </c>
      <c r="H161" s="20">
        <f>IF(AND(H$75&lt;'1 - Titoli e shock'!$B$11,$B$43&gt;H$74),PRICE(H$74,$B$43,'1 - Titoli e shock'!$C$30,2*((1+H99+I$5/100)^0.5-1),100,2,1)*$C$43,0)</f>
        <v>17853.421082132976</v>
      </c>
      <c r="I161" s="20">
        <f>IF(AND(I$75&lt;'1 - Titoli e shock'!$B$11,$B$43&gt;I$74),PRICE(I$74,$B$43,'1 - Titoli e shock'!$C$30,2*((1+I99+I$5/100)^0.5-1),100,2,1)*$C$43,0)</f>
        <v>18265.892250904079</v>
      </c>
      <c r="J161" s="20">
        <f>IF(AND(J$75&lt;'1 - Titoli e shock'!$B$11,$B$43&gt;J$74),PRICE(J$74,$B$43,'1 - Titoli e shock'!$C$30,2*((1+J99+I$5/100)^0.5-1),100,2,1)*$C$43,0)</f>
        <v>18681.56572227391</v>
      </c>
      <c r="K161" s="20">
        <f>IF(AND(K$75&lt;'1 - Titoli e shock'!$B$11,$B$43&gt;K$74),PRICE(K$74,$B$43,'1 - Titoli e shock'!$C$30,2*((1+K99+I$5/100)^0.5-1),100,2,1)*$C$43,0)</f>
        <v>19063.428204802902</v>
      </c>
      <c r="L161" s="20">
        <f>IF(AND(L$75&lt;'1 - Titoli e shock'!$B$11,$B$43&gt;L$74),PRICE(L$74,$B$43,'1 - Titoli e shock'!$C$30,2*((1+L99+I$5/100)^0.5-1),100,2,1)*$C$43,0)</f>
        <v>19425.092260897145</v>
      </c>
      <c r="M161" s="20">
        <f>IF(AND(M$75&lt;'1 - Titoli e shock'!$B$11,$B$43&gt;M$74),PRICE(M$74,$B$43,'1 - Titoli e shock'!$C$30,2*((1+M99+I$5/100)^0.5-1),100,2,1)*$C$43,0)</f>
        <v>19807.651694727654</v>
      </c>
      <c r="N161" s="20">
        <f>IF(AND(N$75&lt;'1 - Titoli e shock'!$B$11,$B$43&gt;N$74),PRICE(N$74,$B$43,'1 - Titoli e shock'!$C$30,2*((1+N99+I$5/100)^0.5-1),100,2,1)*$C$43,0)</f>
        <v>20185.047094336303</v>
      </c>
      <c r="O161" s="20">
        <f>IF(AND(O$75&lt;'1 - Titoli e shock'!$B$11,$B$43&gt;O$74),PRICE(O$74,$B$43,'1 - Titoli e shock'!$C$30,2*((1+O99+I$5/100)^0.5-1),100,2,1)*$C$43,0)</f>
        <v>20470.42905183437</v>
      </c>
      <c r="P161" s="20">
        <f>IF(AND(P$75&lt;'1 - Titoli e shock'!$B$11,$B$43&gt;P$74),PRICE(P$74,$B$43,'1 - Titoli e shock'!$C$30,2*((1+P99+I$5/100)^0.5-1),100,2,1)*$C$43,0)</f>
        <v>0</v>
      </c>
      <c r="Q161" s="20">
        <f>IF(AND(Q$75&lt;'1 - Titoli e shock'!$B$11,$B$43&gt;Q$74),PRICE(Q$74,$B$43,'1 - Titoli e shock'!$C$30,2*((1+Q99+I$5/100)^0.5-1),100,2,1)*$C$43,0)</f>
        <v>0</v>
      </c>
      <c r="R161" s="20">
        <f>IF(AND(R$75&lt;'1 - Titoli e shock'!$B$11,$B$43&gt;R$74),PRICE(R$74,$B$43,'1 - Titoli e shock'!$C$30,2*((1+R99+I$5/100)^0.5-1),100,2,1)*$C$43,0)</f>
        <v>0</v>
      </c>
      <c r="S161" s="20">
        <f>IF(AND(S$75&lt;'1 - Titoli e shock'!$B$11,$B$43&gt;S$74),PRICE(S$74,$B$43,'1 - Titoli e shock'!$C$30,2*((1+S99+I$5/100)^0.5-1),100,2,1)*$C$43,0)</f>
        <v>0</v>
      </c>
      <c r="T161" s="20">
        <f>IF(AND(T$75&lt;'1 - Titoli e shock'!$B$11,$B$43&gt;T$74),PRICE(T$74,$B$43,'1 - Titoli e shock'!$C$30,2*((1+T99+I$5/100)^0.5-1),100,2,1)*$C$43,0)</f>
        <v>0</v>
      </c>
      <c r="U161" s="20">
        <f>IF(AND(U$75&lt;'1 - Titoli e shock'!$B$11,$B$43&gt;U$74),PRICE(U$74,$B$43,'1 - Titoli e shock'!$C$30,2*((1+U99+I$5/100)^0.5-1),100,2,1)*$C$43,0)</f>
        <v>0</v>
      </c>
    </row>
    <row r="162" spans="1:21">
      <c r="A162" s="22" t="str">
        <f t="shared" si="36"/>
        <v>BTP 4,50% ott 2053</v>
      </c>
      <c r="F162" s="20">
        <f>IF(AND(F$75&lt;'1 - Titoli e shock'!$B$11,$B$44&gt;F$74),'1 - Titoli e shock'!$E$33*$C$44,0)</f>
        <v>199522.79339074739</v>
      </c>
      <c r="G162" s="20">
        <f>IF(AND(G$75&lt;'1 - Titoli e shock'!$B$11,$B$44&gt;G$74),PRICE(G$74,$B$44,'1 - Titoli e shock'!$C$33,2*((1+G100+I$5/100)^0.5-1),100,2,1)*$C$44,0)</f>
        <v>152755.04518867549</v>
      </c>
      <c r="H162" s="20">
        <f>IF(AND(H$75&lt;'1 - Titoli e shock'!$B$11,$B$44&gt;H$74),PRICE(H$74,$B$44,'1 - Titoli e shock'!$C$33,2*((1+H100+I$5/100)^0.5-1),100,2,1)*$C$44,0)</f>
        <v>154004.46459684614</v>
      </c>
      <c r="I162" s="20">
        <f>IF(AND(I$75&lt;'1 - Titoli e shock'!$B$11,$B$44&gt;I$74),PRICE(I$74,$B$44,'1 - Titoli e shock'!$C$33,2*((1+I100+I$5/100)^0.5-1),100,2,1)*$C$44,0)</f>
        <v>155310.94094107326</v>
      </c>
      <c r="J162" s="20">
        <f>IF(AND(J$75&lt;'1 - Titoli e shock'!$B$11,$B$44&gt;J$74),PRICE(J$74,$B$44,'1 - Titoli e shock'!$C$33,2*((1+J100+I$5/100)^0.5-1),100,2,1)*$C$44,0)</f>
        <v>156678.77426718047</v>
      </c>
      <c r="K162" s="20">
        <f>IF(AND(K$75&lt;'1 - Titoli e shock'!$B$11,$B$44&gt;K$74),PRICE(K$74,$B$44,'1 - Titoli e shock'!$C$33,2*((1+K100+I$5/100)^0.5-1),100,2,1)*$C$44,0)</f>
        <v>158110.97717010835</v>
      </c>
      <c r="L162" s="20">
        <f>IF(AND(L$75&lt;'1 - Titoli e shock'!$B$11,$B$44&gt;L$74),PRICE(L$74,$B$44,'1 - Titoli e shock'!$C$33,2*((1+L100+I$5/100)^0.5-1),100,2,1)*$C$44,0)</f>
        <v>159612.70969183932</v>
      </c>
      <c r="M162" s="20">
        <f>IF(AND(M$75&lt;'1 - Titoli e shock'!$B$11,$B$44&gt;M$74),PRICE(M$74,$B$44,'1 - Titoli e shock'!$C$33,2*((1+M100+I$5/100)^0.5-1),100,2,1)*$C$44,0)</f>
        <v>161204.51745953687</v>
      </c>
      <c r="N162" s="20">
        <f>IF(AND(N$75&lt;'1 - Titoli e shock'!$B$11,$B$44&gt;N$74),PRICE(N$74,$B$44,'1 - Titoli e shock'!$C$33,2*((1+N100+I$5/100)^0.5-1),100,2,1)*$C$44,0)</f>
        <v>162898.59097325191</v>
      </c>
      <c r="O162" s="20">
        <f>IF(AND(O$75&lt;'1 - Titoli e shock'!$B$11,$B$44&gt;O$74),PRICE(O$74,$B$44,'1 - Titoli e shock'!$C$33,2*((1+O100+I$5/100)^0.5-1),100,2,1)*$C$44,0)</f>
        <v>164669.97988146191</v>
      </c>
      <c r="P162" s="20">
        <f>IF(AND(P$75&lt;'1 - Titoli e shock'!$B$11,$B$44&gt;P$74),PRICE(P$74,$B$44,'1 - Titoli e shock'!$C$33,2*((1+P100+I$5/100)^0.5-1),100,2,1)*$C$44,0)</f>
        <v>0</v>
      </c>
      <c r="Q162" s="20">
        <f>IF(AND(Q$75&lt;'1 - Titoli e shock'!$B$11,$B$44&gt;Q$74),PRICE(Q$74,$B$44,'1 - Titoli e shock'!$C$33,2*((1+Q100+I$5/100)^0.5-1),100,2,1)*$C$44,0)</f>
        <v>0</v>
      </c>
      <c r="R162" s="20">
        <f>IF(AND(R$75&lt;'1 - Titoli e shock'!$B$11,$B$44&gt;R$74),PRICE(R$74,$B$44,'1 - Titoli e shock'!$C$33,2*((1+R100+I$5/100)^0.5-1),100,2,1)*$C$44,0)</f>
        <v>0</v>
      </c>
      <c r="S162" s="20">
        <f>IF(AND(S$75&lt;'1 - Titoli e shock'!$B$11,$B$44&gt;S$74),PRICE(S$74,$B$44,'1 - Titoli e shock'!$C$33,2*((1+S100+I$5/100)^0.5-1),100,2,1)*$C$44,0)</f>
        <v>0</v>
      </c>
      <c r="T162" s="20">
        <f>IF(AND(T$75&lt;'1 - Titoli e shock'!$B$11,$B$44&gt;T$74),PRICE(T$74,$B$44,'1 - Titoli e shock'!$C$33,2*((1+T100+I$5/100)^0.5-1),100,2,1)*$C$44,0)</f>
        <v>0</v>
      </c>
      <c r="U162" s="20">
        <f>IF(AND(U$75&lt;'1 - Titoli e shock'!$B$11,$B$44&gt;U$74),PRICE(U$74,$B$44,'1 - Titoli e shock'!$C$33,2*((1+U100+I$5/100)^0.5-1),100,2,1)*$C$44,0)</f>
        <v>0</v>
      </c>
    </row>
    <row r="163" spans="1:21">
      <c r="A163" s="5" t="s">
        <v>254</v>
      </c>
      <c r="F163" s="20">
        <f>SUM(F152:F161)+IF(F$75&lt;'1 - Titoli e shock'!$B$11,SUMPRODUCT(($B$34:$B$43&lt;=F$74)*($E$34:$E$43&gt;F$74)*$D$34:$D$43),0)</f>
        <v>198522.85277708061</v>
      </c>
      <c r="G163" s="20">
        <f>SUM(G152:G161)+IF(G$75&lt;'1 - Titoli e shock'!$B$11,SUMPRODUCT(($B$34:$B$43&lt;=G$74)*($E$34:$E$43&gt;G$74)*$D$34:$D$43),0)</f>
        <v>185737.53128796464</v>
      </c>
      <c r="H163" s="20">
        <f>SUM(H152:H161)+IF(H$75&lt;'1 - Titoli e shock'!$B$11,SUMPRODUCT(($B$34:$B$43&lt;=H$74)*($E$34:$E$43&gt;H$74)*$D$34:$D$43),0)</f>
        <v>189857.88384299201</v>
      </c>
      <c r="I163" s="20">
        <f>SUM(I152:I161)+IF(I$75&lt;'1 - Titoli e shock'!$B$11,SUMPRODUCT(($B$34:$B$43&lt;=I$74)*($E$34:$E$43&gt;I$74)*$D$34:$D$43),0)</f>
        <v>193385.05672751635</v>
      </c>
      <c r="J163" s="20">
        <f>SUM(J152:J161)+IF(J$75&lt;'1 - Titoli e shock'!$B$11,SUMPRODUCT(($B$34:$B$43&lt;=J$74)*($E$34:$E$43&gt;J$74)*$D$34:$D$43),0)</f>
        <v>196258.0303107698</v>
      </c>
      <c r="K163" s="20">
        <f>SUM(K152:K161)+IF(K$75&lt;'1 - Titoli e shock'!$B$11,SUMPRODUCT(($B$34:$B$43&lt;=K$74)*($E$34:$E$43&gt;K$74)*$D$34:$D$43),0)</f>
        <v>198591.37151312549</v>
      </c>
      <c r="L163" s="20">
        <f>SUM(L152:L161)+IF(L$75&lt;'1 - Titoli e shock'!$B$11,SUMPRODUCT(($B$34:$B$43&lt;=L$74)*($E$34:$E$43&gt;L$74)*$D$34:$D$43),0)</f>
        <v>200346.89676897437</v>
      </c>
      <c r="M163" s="20">
        <f>SUM(M152:M161)+IF(M$75&lt;'1 - Titoli e shock'!$B$11,SUMPRODUCT(($B$34:$B$43&lt;=M$74)*($E$34:$E$43&gt;M$74)*$D$34:$D$43),0)</f>
        <v>201592.08357497994</v>
      </c>
      <c r="N163" s="20">
        <f>SUM(N152:N161)+IF(N$75&lt;'1 - Titoli e shock'!$B$11,SUMPRODUCT(($B$34:$B$43&lt;=N$74)*($E$34:$E$43&gt;N$74)*$D$34:$D$43),0)</f>
        <v>202603.81854862306</v>
      </c>
      <c r="O163" s="20">
        <f>SUM(O152:O161)+IF(O$75&lt;'1 - Titoli e shock'!$B$11,SUMPRODUCT(($B$34:$B$43&lt;=O$74)*($E$34:$E$43&gt;O$74)*$D$34:$D$43),0)</f>
        <v>203034.80460350215</v>
      </c>
      <c r="P163" s="20">
        <f>SUM(P152:P161)+IF(P$75&lt;'1 - Titoli e shock'!$B$11,SUMPRODUCT(($B$34:$B$43&lt;=P$74)*($E$34:$E$43&gt;P$74)*$D$34:$D$43),0)</f>
        <v>0</v>
      </c>
      <c r="Q163" s="20">
        <f>SUM(Q152:Q161)+IF(Q$75&lt;'1 - Titoli e shock'!$B$11,SUMPRODUCT(($B$34:$B$43&lt;=Q$74)*($E$34:$E$43&gt;Q$74)*$D$34:$D$43),0)</f>
        <v>0</v>
      </c>
      <c r="R163" s="20">
        <f>SUM(R152:R161)+IF(R$75&lt;'1 - Titoli e shock'!$B$11,SUMPRODUCT(($B$34:$B$43&lt;=R$74)*($E$34:$E$43&gt;R$74)*$D$34:$D$43),0)</f>
        <v>0</v>
      </c>
      <c r="S163" s="20">
        <f>SUM(S152:S161)+IF(S$75&lt;'1 - Titoli e shock'!$B$11,SUMPRODUCT(($B$34:$B$43&lt;=S$74)*($E$34:$E$43&gt;S$74)*$D$34:$D$43),0)</f>
        <v>0</v>
      </c>
      <c r="T163" s="20">
        <f>SUM(T152:T161)+IF(T$75&lt;'1 - Titoli e shock'!$B$11,SUMPRODUCT(($B$34:$B$43&lt;=T$74)*($E$34:$E$43&gt;T$74)*$D$34:$D$43),0)</f>
        <v>0</v>
      </c>
      <c r="U163" s="20">
        <f>SUM(U152:U161)+IF(U$75&lt;'1 - Titoli e shock'!$B$11,SUMPRODUCT(($B$34:$B$43&lt;=U$74)*($E$34:$E$43&gt;U$74)*$D$34:$D$43),0)</f>
        <v>0</v>
      </c>
    </row>
    <row r="164" spans="1:21">
      <c r="A164" s="5" t="s">
        <v>255</v>
      </c>
      <c r="F164" s="20">
        <f t="shared" ref="F164:U164" si="37">F162</f>
        <v>199522.79339074739</v>
      </c>
      <c r="G164" s="20">
        <f t="shared" si="37"/>
        <v>152755.04518867549</v>
      </c>
      <c r="H164" s="20">
        <f t="shared" si="37"/>
        <v>154004.46459684614</v>
      </c>
      <c r="I164" s="20">
        <f t="shared" si="37"/>
        <v>155310.94094107326</v>
      </c>
      <c r="J164" s="20">
        <f t="shared" si="37"/>
        <v>156678.77426718047</v>
      </c>
      <c r="K164" s="20">
        <f t="shared" si="37"/>
        <v>158110.97717010835</v>
      </c>
      <c r="L164" s="20">
        <f t="shared" si="37"/>
        <v>159612.70969183932</v>
      </c>
      <c r="M164" s="20">
        <f t="shared" si="37"/>
        <v>161204.51745953687</v>
      </c>
      <c r="N164" s="20">
        <f t="shared" si="37"/>
        <v>162898.59097325191</v>
      </c>
      <c r="O164" s="20">
        <f t="shared" si="37"/>
        <v>164669.97988146191</v>
      </c>
      <c r="P164" s="20">
        <f t="shared" si="37"/>
        <v>0</v>
      </c>
      <c r="Q164" s="20">
        <f t="shared" si="37"/>
        <v>0</v>
      </c>
      <c r="R164" s="20">
        <f t="shared" si="37"/>
        <v>0</v>
      </c>
      <c r="S164" s="20">
        <f t="shared" si="37"/>
        <v>0</v>
      </c>
      <c r="T164" s="20">
        <f t="shared" si="37"/>
        <v>0</v>
      </c>
      <c r="U164" s="20">
        <f t="shared" si="37"/>
        <v>0</v>
      </c>
    </row>
    <row r="168" spans="1:21">
      <c r="A168" s="36" t="s">
        <v>259</v>
      </c>
      <c r="B168" s="33"/>
      <c r="C168" s="33"/>
      <c r="D168" s="33"/>
      <c r="E168" s="33"/>
      <c r="F168" s="33"/>
      <c r="G168" s="33"/>
      <c r="H168" s="33"/>
      <c r="I168" s="33"/>
      <c r="J168" s="33"/>
    </row>
    <row r="169" spans="1:21" ht="33.950000000000003" customHeight="1">
      <c r="A169" s="14" t="s">
        <v>260</v>
      </c>
      <c r="B169" s="14" t="s">
        <v>41</v>
      </c>
      <c r="C169" s="14" t="s">
        <v>261</v>
      </c>
      <c r="D169" s="14" t="s">
        <v>262</v>
      </c>
      <c r="E169" s="14" t="s">
        <v>263</v>
      </c>
      <c r="F169" s="21">
        <f t="shared" ref="F169:U169" si="38">F5</f>
        <v>-1</v>
      </c>
      <c r="G169" s="21">
        <f t="shared" si="38"/>
        <v>0</v>
      </c>
      <c r="H169" s="21">
        <f t="shared" si="38"/>
        <v>1</v>
      </c>
      <c r="I169" s="21">
        <f t="shared" si="38"/>
        <v>2</v>
      </c>
      <c r="J169" s="21">
        <f t="shared" si="38"/>
        <v>0.25</v>
      </c>
      <c r="K169" s="21">
        <f t="shared" si="38"/>
        <v>0.5</v>
      </c>
      <c r="L169" s="21">
        <f t="shared" si="38"/>
        <v>0.6</v>
      </c>
      <c r="M169" s="21">
        <f t="shared" si="38"/>
        <v>0.7</v>
      </c>
      <c r="N169" s="21">
        <f t="shared" si="38"/>
        <v>0.8</v>
      </c>
      <c r="O169" s="21">
        <f t="shared" si="38"/>
        <v>0.9</v>
      </c>
      <c r="P169" s="21">
        <f t="shared" si="38"/>
        <v>1.1000000000000001</v>
      </c>
      <c r="Q169" s="21">
        <f t="shared" si="38"/>
        <v>1.2</v>
      </c>
      <c r="R169" s="21">
        <f t="shared" si="38"/>
        <v>1.3</v>
      </c>
      <c r="S169" s="21">
        <f t="shared" si="38"/>
        <v>1.4</v>
      </c>
      <c r="T169" s="21">
        <f t="shared" si="38"/>
        <v>1.5</v>
      </c>
      <c r="U169" s="21">
        <f t="shared" si="38"/>
        <v>3</v>
      </c>
    </row>
    <row r="170" spans="1:21">
      <c r="A170" s="15" t="s">
        <v>264</v>
      </c>
      <c r="B170" s="15" t="s">
        <v>265</v>
      </c>
      <c r="C170" s="13">
        <f>'1 - Titoli e shock'!$B$6</f>
        <v>46314</v>
      </c>
      <c r="F170" s="20">
        <f>-'1 - Titoli e shock'!$B$7</f>
        <v>-200000</v>
      </c>
      <c r="G170" s="20">
        <f>-'1 - Titoli e shock'!$B$7</f>
        <v>-200000</v>
      </c>
      <c r="H170" s="20">
        <f>-'1 - Titoli e shock'!$B$7</f>
        <v>-200000</v>
      </c>
      <c r="I170" s="20">
        <f>-'1 - Titoli e shock'!$B$7</f>
        <v>-200000</v>
      </c>
      <c r="J170" s="20">
        <f>-'1 - Titoli e shock'!$B$7</f>
        <v>-200000</v>
      </c>
      <c r="K170" s="20">
        <f>-'1 - Titoli e shock'!$B$7</f>
        <v>-200000</v>
      </c>
      <c r="L170" s="20">
        <f>-'1 - Titoli e shock'!$B$7</f>
        <v>-200000</v>
      </c>
      <c r="M170" s="20">
        <f>-'1 - Titoli e shock'!$B$7</f>
        <v>-200000</v>
      </c>
      <c r="N170" s="20">
        <f>-'1 - Titoli e shock'!$B$7</f>
        <v>-200000</v>
      </c>
      <c r="O170" s="20">
        <f>-'1 - Titoli e shock'!$B$7</f>
        <v>-200000</v>
      </c>
      <c r="P170" s="20">
        <f>-'1 - Titoli e shock'!$B$7</f>
        <v>-200000</v>
      </c>
      <c r="Q170" s="20">
        <f>-'1 - Titoli e shock'!$B$7</f>
        <v>-200000</v>
      </c>
      <c r="R170" s="20">
        <f>-'1 - Titoli e shock'!$B$7</f>
        <v>-200000</v>
      </c>
      <c r="S170" s="20">
        <f>-'1 - Titoli e shock'!$B$7</f>
        <v>-200000</v>
      </c>
      <c r="T170" s="20">
        <f>-'1 - Titoli e shock'!$B$7</f>
        <v>-200000</v>
      </c>
      <c r="U170" s="20">
        <f>-'1 - Titoli e shock'!$B$7</f>
        <v>-200000</v>
      </c>
    </row>
    <row r="171" spans="1:21">
      <c r="A171" s="15" t="s">
        <v>266</v>
      </c>
      <c r="B171" s="22" t="str">
        <f>A34</f>
        <v>BTP 2,70% ott 2027</v>
      </c>
      <c r="C171" s="13">
        <f>EDATE($B$34,-6*1)</f>
        <v>46492</v>
      </c>
      <c r="D171" s="23">
        <f>MAX(1,(YEAR(C171)-YEAR('1 - Titoli e shock'!$B$6))+IF(MONTH(C171)*100+DAY(C171)&gt;MONTH('1 - Titoli e shock'!$B$6)*100+DAY('1 - Titoli e shock'!$B$6),1,0))</f>
        <v>1</v>
      </c>
      <c r="E171" s="20">
        <f>IF(C171&lt;='1 - Titoli e shock'!$B$17,('1 - Titoli e shock'!$C$21*100/2-'1 - Titoli e shock'!$B$8*'1 - Titoli e shock'!$C$21*100/2*IF(EDATE(C171,-6)&lt;='1 - Titoli e shock'!$B$6,(C171-'1 - Titoli e shock'!$B$6)/(C171-EDATE(C171,-6)),1))*$C$34,0)</f>
        <v>237.9777707547845</v>
      </c>
      <c r="F171" s="20">
        <f t="shared" ref="F171:U180" si="39">$E171</f>
        <v>237.9777707547845</v>
      </c>
      <c r="G171" s="20">
        <f t="shared" si="39"/>
        <v>237.9777707547845</v>
      </c>
      <c r="H171" s="20">
        <f t="shared" si="39"/>
        <v>237.9777707547845</v>
      </c>
      <c r="I171" s="20">
        <f t="shared" si="39"/>
        <v>237.9777707547845</v>
      </c>
      <c r="J171" s="20">
        <f t="shared" si="39"/>
        <v>237.9777707547845</v>
      </c>
      <c r="K171" s="20">
        <f t="shared" si="39"/>
        <v>237.9777707547845</v>
      </c>
      <c r="L171" s="20">
        <f t="shared" si="39"/>
        <v>237.9777707547845</v>
      </c>
      <c r="M171" s="20">
        <f t="shared" si="39"/>
        <v>237.9777707547845</v>
      </c>
      <c r="N171" s="20">
        <f t="shared" si="39"/>
        <v>237.9777707547845</v>
      </c>
      <c r="O171" s="20">
        <f t="shared" si="39"/>
        <v>237.9777707547845</v>
      </c>
      <c r="P171" s="20">
        <f t="shared" si="39"/>
        <v>237.9777707547845</v>
      </c>
      <c r="Q171" s="20">
        <f t="shared" si="39"/>
        <v>237.9777707547845</v>
      </c>
      <c r="R171" s="20">
        <f t="shared" si="39"/>
        <v>237.9777707547845</v>
      </c>
      <c r="S171" s="20">
        <f t="shared" si="39"/>
        <v>237.9777707547845</v>
      </c>
      <c r="T171" s="20">
        <f t="shared" si="39"/>
        <v>237.9777707547845</v>
      </c>
      <c r="U171" s="20">
        <f t="shared" si="39"/>
        <v>237.9777707547845</v>
      </c>
    </row>
    <row r="172" spans="1:21">
      <c r="A172" s="15" t="s">
        <v>266</v>
      </c>
      <c r="B172" s="22" t="str">
        <f>A34</f>
        <v>BTP 2,70% ott 2027</v>
      </c>
      <c r="C172" s="13">
        <f>EDATE($B$34,-6*0)</f>
        <v>46675</v>
      </c>
      <c r="D172" s="23">
        <f>MAX(1,(YEAR(C172)-YEAR('1 - Titoli e shock'!$B$6))+IF(MONTH(C172)*100+DAY(C172)&gt;MONTH('1 - Titoli e shock'!$B$6)*100+DAY('1 - Titoli e shock'!$B$6),1,0))</f>
        <v>1</v>
      </c>
      <c r="E172" s="20">
        <f>IF(C172&lt;='1 - Titoli e shock'!$B$17,('1 - Titoli e shock'!$C$21*100/2-'1 - Titoli e shock'!$B$8*'1 - Titoli e shock'!$C$21*100/2*IF(EDATE(C172,-6)&lt;='1 - Titoli e shock'!$B$6,(C172-'1 - Titoli e shock'!$B$6)/(C172-EDATE(C172,-6)),1))*$C$34,0)</f>
        <v>237.23292640187438</v>
      </c>
      <c r="F172" s="20">
        <f t="shared" si="39"/>
        <v>237.23292640187438</v>
      </c>
      <c r="G172" s="20">
        <f t="shared" si="39"/>
        <v>237.23292640187438</v>
      </c>
      <c r="H172" s="20">
        <f t="shared" si="39"/>
        <v>237.23292640187438</v>
      </c>
      <c r="I172" s="20">
        <f t="shared" si="39"/>
        <v>237.23292640187438</v>
      </c>
      <c r="J172" s="20">
        <f t="shared" si="39"/>
        <v>237.23292640187438</v>
      </c>
      <c r="K172" s="20">
        <f t="shared" si="39"/>
        <v>237.23292640187438</v>
      </c>
      <c r="L172" s="20">
        <f t="shared" si="39"/>
        <v>237.23292640187438</v>
      </c>
      <c r="M172" s="20">
        <f t="shared" si="39"/>
        <v>237.23292640187438</v>
      </c>
      <c r="N172" s="20">
        <f t="shared" si="39"/>
        <v>237.23292640187438</v>
      </c>
      <c r="O172" s="20">
        <f t="shared" si="39"/>
        <v>237.23292640187438</v>
      </c>
      <c r="P172" s="20">
        <f t="shared" si="39"/>
        <v>237.23292640187438</v>
      </c>
      <c r="Q172" s="20">
        <f t="shared" si="39"/>
        <v>237.23292640187438</v>
      </c>
      <c r="R172" s="20">
        <f t="shared" si="39"/>
        <v>237.23292640187438</v>
      </c>
      <c r="S172" s="20">
        <f t="shared" si="39"/>
        <v>237.23292640187438</v>
      </c>
      <c r="T172" s="20">
        <f t="shared" si="39"/>
        <v>237.23292640187438</v>
      </c>
      <c r="U172" s="20">
        <f t="shared" si="39"/>
        <v>237.23292640187438</v>
      </c>
    </row>
    <row r="173" spans="1:21">
      <c r="A173" s="15" t="s">
        <v>266</v>
      </c>
      <c r="B173" s="22" t="str">
        <f>A35</f>
        <v>BTP 2,80% dic 2028</v>
      </c>
      <c r="C173" s="13">
        <f>EDATE($B$35,-6*4)</f>
        <v>46357</v>
      </c>
      <c r="D173" s="23">
        <f>MAX(1,(YEAR(C173)-YEAR('1 - Titoli e shock'!$B$6))+IF(MONTH(C173)*100+DAY(C173)&gt;MONTH('1 - Titoli e shock'!$B$6)*100+DAY('1 - Titoli e shock'!$B$6),1,0))</f>
        <v>1</v>
      </c>
      <c r="E173" s="20">
        <f>IF(C173&lt;='1 - Titoli e shock'!$B$17,('1 - Titoli e shock'!$C$22*100/2-'1 - Titoli e shock'!$B$8*'1 - Titoli e shock'!$C$22*100/2*IF(EDATE(C173,-6)&lt;='1 - Titoli e shock'!$B$6,(C173-'1 - Titoli e shock'!$B$6)/(C173-EDATE(C173,-6)),1))*$C$35,0)</f>
        <v>272.12689588759281</v>
      </c>
      <c r="F173" s="20">
        <f t="shared" si="39"/>
        <v>272.12689588759281</v>
      </c>
      <c r="G173" s="20">
        <f t="shared" si="39"/>
        <v>272.12689588759281</v>
      </c>
      <c r="H173" s="20">
        <f t="shared" si="39"/>
        <v>272.12689588759281</v>
      </c>
      <c r="I173" s="20">
        <f t="shared" si="39"/>
        <v>272.12689588759281</v>
      </c>
      <c r="J173" s="20">
        <f t="shared" si="39"/>
        <v>272.12689588759281</v>
      </c>
      <c r="K173" s="20">
        <f t="shared" si="39"/>
        <v>272.12689588759281</v>
      </c>
      <c r="L173" s="20">
        <f t="shared" si="39"/>
        <v>272.12689588759281</v>
      </c>
      <c r="M173" s="20">
        <f t="shared" si="39"/>
        <v>272.12689588759281</v>
      </c>
      <c r="N173" s="20">
        <f t="shared" si="39"/>
        <v>272.12689588759281</v>
      </c>
      <c r="O173" s="20">
        <f t="shared" si="39"/>
        <v>272.12689588759281</v>
      </c>
      <c r="P173" s="20">
        <f t="shared" si="39"/>
        <v>272.12689588759281</v>
      </c>
      <c r="Q173" s="20">
        <f t="shared" si="39"/>
        <v>272.12689588759281</v>
      </c>
      <c r="R173" s="20">
        <f t="shared" si="39"/>
        <v>272.12689588759281</v>
      </c>
      <c r="S173" s="20">
        <f t="shared" si="39"/>
        <v>272.12689588759281</v>
      </c>
      <c r="T173" s="20">
        <f t="shared" si="39"/>
        <v>272.12689588759281</v>
      </c>
      <c r="U173" s="20">
        <f t="shared" si="39"/>
        <v>272.12689588759281</v>
      </c>
    </row>
    <row r="174" spans="1:21">
      <c r="A174" s="15" t="s">
        <v>266</v>
      </c>
      <c r="B174" s="22" t="str">
        <f>A35</f>
        <v>BTP 2,80% dic 2028</v>
      </c>
      <c r="C174" s="13">
        <f>EDATE($B$35,-6*3)</f>
        <v>46539</v>
      </c>
      <c r="D174" s="23">
        <f>MAX(1,(YEAR(C174)-YEAR('1 - Titoli e shock'!$B$6))+IF(MONTH(C174)*100+DAY(C174)&gt;MONTH('1 - Titoli e shock'!$B$6)*100+DAY('1 - Titoli e shock'!$B$6),1,0))</f>
        <v>1</v>
      </c>
      <c r="E174" s="20">
        <f>IF(C174&lt;='1 - Titoli e shock'!$B$17,('1 - Titoli e shock'!$C$22*100/2-'1 - Titoli e shock'!$B$8*'1 - Titoli e shock'!$C$22*100/2*IF(EDATE(C174,-6)&lt;='1 - Titoli e shock'!$B$6,(C174-'1 - Titoli e shock'!$B$6)/(C174-EDATE(C174,-6)),1))*$C$35,0)</f>
        <v>245.31636427305162</v>
      </c>
      <c r="F174" s="20">
        <f t="shared" si="39"/>
        <v>245.31636427305162</v>
      </c>
      <c r="G174" s="20">
        <f t="shared" si="39"/>
        <v>245.31636427305162</v>
      </c>
      <c r="H174" s="20">
        <f t="shared" si="39"/>
        <v>245.31636427305162</v>
      </c>
      <c r="I174" s="20">
        <f t="shared" si="39"/>
        <v>245.31636427305162</v>
      </c>
      <c r="J174" s="20">
        <f t="shared" si="39"/>
        <v>245.31636427305162</v>
      </c>
      <c r="K174" s="20">
        <f t="shared" si="39"/>
        <v>245.31636427305162</v>
      </c>
      <c r="L174" s="20">
        <f t="shared" si="39"/>
        <v>245.31636427305162</v>
      </c>
      <c r="M174" s="20">
        <f t="shared" si="39"/>
        <v>245.31636427305162</v>
      </c>
      <c r="N174" s="20">
        <f t="shared" si="39"/>
        <v>245.31636427305162</v>
      </c>
      <c r="O174" s="20">
        <f t="shared" si="39"/>
        <v>245.31636427305162</v>
      </c>
      <c r="P174" s="20">
        <f t="shared" si="39"/>
        <v>245.31636427305162</v>
      </c>
      <c r="Q174" s="20">
        <f t="shared" si="39"/>
        <v>245.31636427305162</v>
      </c>
      <c r="R174" s="20">
        <f t="shared" si="39"/>
        <v>245.31636427305162</v>
      </c>
      <c r="S174" s="20">
        <f t="shared" si="39"/>
        <v>245.31636427305162</v>
      </c>
      <c r="T174" s="20">
        <f t="shared" si="39"/>
        <v>245.31636427305162</v>
      </c>
      <c r="U174" s="20">
        <f t="shared" si="39"/>
        <v>245.31636427305162</v>
      </c>
    </row>
    <row r="175" spans="1:21">
      <c r="A175" s="15" t="s">
        <v>266</v>
      </c>
      <c r="B175" s="22" t="str">
        <f>A35</f>
        <v>BTP 2,80% dic 2028</v>
      </c>
      <c r="C175" s="13">
        <f>EDATE($B$35,-6*2)</f>
        <v>46722</v>
      </c>
      <c r="D175" s="23">
        <f>MAX(1,(YEAR(C175)-YEAR('1 - Titoli e shock'!$B$6))+IF(MONTH(C175)*100+DAY(C175)&gt;MONTH('1 - Titoli e shock'!$B$6)*100+DAY('1 - Titoli e shock'!$B$6),1,0))</f>
        <v>2</v>
      </c>
      <c r="E175" s="20">
        <f>IF(C175&lt;='1 - Titoli e shock'!$B$17,('1 - Titoli e shock'!$C$22*100/2-'1 - Titoli e shock'!$B$8*'1 - Titoli e shock'!$C$22*100/2*IF(EDATE(C175,-6)&lt;='1 - Titoli e shock'!$B$6,(C175-'1 - Titoli e shock'!$B$6)/(C175-EDATE(C175,-6)),1))*$C$35,0)</f>
        <v>245.31636427305162</v>
      </c>
      <c r="F175" s="20">
        <f t="shared" si="39"/>
        <v>245.31636427305162</v>
      </c>
      <c r="G175" s="20">
        <f t="shared" si="39"/>
        <v>245.31636427305162</v>
      </c>
      <c r="H175" s="20">
        <f t="shared" si="39"/>
        <v>245.31636427305162</v>
      </c>
      <c r="I175" s="20">
        <f t="shared" si="39"/>
        <v>245.31636427305162</v>
      </c>
      <c r="J175" s="20">
        <f t="shared" si="39"/>
        <v>245.31636427305162</v>
      </c>
      <c r="K175" s="20">
        <f t="shared" si="39"/>
        <v>245.31636427305162</v>
      </c>
      <c r="L175" s="20">
        <f t="shared" si="39"/>
        <v>245.31636427305162</v>
      </c>
      <c r="M175" s="20">
        <f t="shared" si="39"/>
        <v>245.31636427305162</v>
      </c>
      <c r="N175" s="20">
        <f t="shared" si="39"/>
        <v>245.31636427305162</v>
      </c>
      <c r="O175" s="20">
        <f t="shared" si="39"/>
        <v>245.31636427305162</v>
      </c>
      <c r="P175" s="20">
        <f t="shared" si="39"/>
        <v>245.31636427305162</v>
      </c>
      <c r="Q175" s="20">
        <f t="shared" si="39"/>
        <v>245.31636427305162</v>
      </c>
      <c r="R175" s="20">
        <f t="shared" si="39"/>
        <v>245.31636427305162</v>
      </c>
      <c r="S175" s="20">
        <f t="shared" si="39"/>
        <v>245.31636427305162</v>
      </c>
      <c r="T175" s="20">
        <f t="shared" si="39"/>
        <v>245.31636427305162</v>
      </c>
      <c r="U175" s="20">
        <f t="shared" si="39"/>
        <v>245.31636427305162</v>
      </c>
    </row>
    <row r="176" spans="1:21">
      <c r="A176" s="15" t="s">
        <v>266</v>
      </c>
      <c r="B176" s="22" t="str">
        <f>A35</f>
        <v>BTP 2,80% dic 2028</v>
      </c>
      <c r="C176" s="13">
        <f>EDATE($B$35,-6*1)</f>
        <v>46905</v>
      </c>
      <c r="D176" s="23">
        <f>MAX(1,(YEAR(C176)-YEAR('1 - Titoli e shock'!$B$6))+IF(MONTH(C176)*100+DAY(C176)&gt;MONTH('1 - Titoli e shock'!$B$6)*100+DAY('1 - Titoli e shock'!$B$6),1,0))</f>
        <v>2</v>
      </c>
      <c r="E176" s="20">
        <f>IF(C176&lt;='1 - Titoli e shock'!$B$17,('1 - Titoli e shock'!$C$22*100/2-'1 - Titoli e shock'!$B$8*'1 - Titoli e shock'!$C$22*100/2*IF(EDATE(C176,-6)&lt;='1 - Titoli e shock'!$B$6,(C176-'1 - Titoli e shock'!$B$6)/(C176-EDATE(C176,-6)),1))*$C$35,0)</f>
        <v>245.31636427305162</v>
      </c>
      <c r="F176" s="20">
        <f t="shared" si="39"/>
        <v>245.31636427305162</v>
      </c>
      <c r="G176" s="20">
        <f t="shared" si="39"/>
        <v>245.31636427305162</v>
      </c>
      <c r="H176" s="20">
        <f t="shared" si="39"/>
        <v>245.31636427305162</v>
      </c>
      <c r="I176" s="20">
        <f t="shared" si="39"/>
        <v>245.31636427305162</v>
      </c>
      <c r="J176" s="20">
        <f t="shared" si="39"/>
        <v>245.31636427305162</v>
      </c>
      <c r="K176" s="20">
        <f t="shared" si="39"/>
        <v>245.31636427305162</v>
      </c>
      <c r="L176" s="20">
        <f t="shared" si="39"/>
        <v>245.31636427305162</v>
      </c>
      <c r="M176" s="20">
        <f t="shared" si="39"/>
        <v>245.31636427305162</v>
      </c>
      <c r="N176" s="20">
        <f t="shared" si="39"/>
        <v>245.31636427305162</v>
      </c>
      <c r="O176" s="20">
        <f t="shared" si="39"/>
        <v>245.31636427305162</v>
      </c>
      <c r="P176" s="20">
        <f t="shared" si="39"/>
        <v>245.31636427305162</v>
      </c>
      <c r="Q176" s="20">
        <f t="shared" si="39"/>
        <v>245.31636427305162</v>
      </c>
      <c r="R176" s="20">
        <f t="shared" si="39"/>
        <v>245.31636427305162</v>
      </c>
      <c r="S176" s="20">
        <f t="shared" si="39"/>
        <v>245.31636427305162</v>
      </c>
      <c r="T176" s="20">
        <f t="shared" si="39"/>
        <v>245.31636427305162</v>
      </c>
      <c r="U176" s="20">
        <f t="shared" si="39"/>
        <v>245.31636427305162</v>
      </c>
    </row>
    <row r="177" spans="1:21">
      <c r="A177" s="15" t="s">
        <v>266</v>
      </c>
      <c r="B177" s="22" t="str">
        <f>A35</f>
        <v>BTP 2,80% dic 2028</v>
      </c>
      <c r="C177" s="13">
        <f>EDATE($B$35,-6*0)</f>
        <v>47088</v>
      </c>
      <c r="D177" s="23">
        <f>MAX(1,(YEAR(C177)-YEAR('1 - Titoli e shock'!$B$6))+IF(MONTH(C177)*100+DAY(C177)&gt;MONTH('1 - Titoli e shock'!$B$6)*100+DAY('1 - Titoli e shock'!$B$6),1,0))</f>
        <v>3</v>
      </c>
      <c r="E177" s="20">
        <f>IF(C177&lt;='1 - Titoli e shock'!$B$17,('1 - Titoli e shock'!$C$22*100/2-'1 - Titoli e shock'!$B$8*'1 - Titoli e shock'!$C$22*100/2*IF(EDATE(C177,-6)&lt;='1 - Titoli e shock'!$B$6,(C177-'1 - Titoli e shock'!$B$6)/(C177-EDATE(C177,-6)),1))*$C$35,0)</f>
        <v>245.31636427305162</v>
      </c>
      <c r="F177" s="20">
        <f t="shared" si="39"/>
        <v>245.31636427305162</v>
      </c>
      <c r="G177" s="20">
        <f t="shared" si="39"/>
        <v>245.31636427305162</v>
      </c>
      <c r="H177" s="20">
        <f t="shared" si="39"/>
        <v>245.31636427305162</v>
      </c>
      <c r="I177" s="20">
        <f t="shared" si="39"/>
        <v>245.31636427305162</v>
      </c>
      <c r="J177" s="20">
        <f t="shared" si="39"/>
        <v>245.31636427305162</v>
      </c>
      <c r="K177" s="20">
        <f t="shared" si="39"/>
        <v>245.31636427305162</v>
      </c>
      <c r="L177" s="20">
        <f t="shared" si="39"/>
        <v>245.31636427305162</v>
      </c>
      <c r="M177" s="20">
        <f t="shared" si="39"/>
        <v>245.31636427305162</v>
      </c>
      <c r="N177" s="20">
        <f t="shared" si="39"/>
        <v>245.31636427305162</v>
      </c>
      <c r="O177" s="20">
        <f t="shared" si="39"/>
        <v>245.31636427305162</v>
      </c>
      <c r="P177" s="20">
        <f t="shared" si="39"/>
        <v>245.31636427305162</v>
      </c>
      <c r="Q177" s="20">
        <f t="shared" si="39"/>
        <v>245.31636427305162</v>
      </c>
      <c r="R177" s="20">
        <f t="shared" si="39"/>
        <v>245.31636427305162</v>
      </c>
      <c r="S177" s="20">
        <f t="shared" si="39"/>
        <v>245.31636427305162</v>
      </c>
      <c r="T177" s="20">
        <f t="shared" si="39"/>
        <v>245.31636427305162</v>
      </c>
      <c r="U177" s="20">
        <f t="shared" si="39"/>
        <v>245.31636427305162</v>
      </c>
    </row>
    <row r="178" spans="1:21">
      <c r="A178" s="15" t="s">
        <v>266</v>
      </c>
      <c r="B178" s="22" t="str">
        <f>A36</f>
        <v>BTP 3,00% ott 2029</v>
      </c>
      <c r="C178" s="13">
        <f>EDATE($B$36,-6*5)</f>
        <v>46478</v>
      </c>
      <c r="D178" s="23">
        <f>MAX(1,(YEAR(C178)-YEAR('1 - Titoli e shock'!$B$6))+IF(MONTH(C178)*100+DAY(C178)&gt;MONTH('1 - Titoli e shock'!$B$6)*100+DAY('1 - Titoli e shock'!$B$6),1,0))</f>
        <v>1</v>
      </c>
      <c r="E178" s="20">
        <f>IF(C178&lt;='1 - Titoli e shock'!$B$17,('1 - Titoli e shock'!$C$23*100/2-'1 - Titoli e shock'!$B$8*'1 - Titoli e shock'!$C$23*100/2*IF(EDATE(C178,-6)&lt;='1 - Titoli e shock'!$B$6,(C178-'1 - Titoli e shock'!$B$6)/(C178-EDATE(C178,-6)),1))*$C$36,0)</f>
        <v>270.45946289932544</v>
      </c>
      <c r="F178" s="20">
        <f t="shared" si="39"/>
        <v>270.45946289932544</v>
      </c>
      <c r="G178" s="20">
        <f t="shared" si="39"/>
        <v>270.45946289932544</v>
      </c>
      <c r="H178" s="20">
        <f t="shared" si="39"/>
        <v>270.45946289932544</v>
      </c>
      <c r="I178" s="20">
        <f t="shared" si="39"/>
        <v>270.45946289932544</v>
      </c>
      <c r="J178" s="20">
        <f t="shared" si="39"/>
        <v>270.45946289932544</v>
      </c>
      <c r="K178" s="20">
        <f t="shared" si="39"/>
        <v>270.45946289932544</v>
      </c>
      <c r="L178" s="20">
        <f t="shared" si="39"/>
        <v>270.45946289932544</v>
      </c>
      <c r="M178" s="20">
        <f t="shared" si="39"/>
        <v>270.45946289932544</v>
      </c>
      <c r="N178" s="20">
        <f t="shared" si="39"/>
        <v>270.45946289932544</v>
      </c>
      <c r="O178" s="20">
        <f t="shared" si="39"/>
        <v>270.45946289932544</v>
      </c>
      <c r="P178" s="20">
        <f t="shared" si="39"/>
        <v>270.45946289932544</v>
      </c>
      <c r="Q178" s="20">
        <f t="shared" si="39"/>
        <v>270.45946289932544</v>
      </c>
      <c r="R178" s="20">
        <f t="shared" si="39"/>
        <v>270.45946289932544</v>
      </c>
      <c r="S178" s="20">
        <f t="shared" si="39"/>
        <v>270.45946289932544</v>
      </c>
      <c r="T178" s="20">
        <f t="shared" si="39"/>
        <v>270.45946289932544</v>
      </c>
      <c r="U178" s="20">
        <f t="shared" si="39"/>
        <v>270.45946289932544</v>
      </c>
    </row>
    <row r="179" spans="1:21">
      <c r="A179" s="15" t="s">
        <v>266</v>
      </c>
      <c r="B179" s="22" t="str">
        <f>A36</f>
        <v>BTP 3,00% ott 2029</v>
      </c>
      <c r="C179" s="13">
        <f>EDATE($B$36,-6*4)</f>
        <v>46661</v>
      </c>
      <c r="D179" s="23">
        <f>MAX(1,(YEAR(C179)-YEAR('1 - Titoli e shock'!$B$6))+IF(MONTH(C179)*100+DAY(C179)&gt;MONTH('1 - Titoli e shock'!$B$6)*100+DAY('1 - Titoli e shock'!$B$6),1,0))</f>
        <v>1</v>
      </c>
      <c r="E179" s="20">
        <f>IF(C179&lt;='1 - Titoli e shock'!$B$17,('1 - Titoli e shock'!$C$23*100/2-'1 - Titoli e shock'!$B$8*'1 - Titoli e shock'!$C$23*100/2*IF(EDATE(C179,-6)&lt;='1 - Titoli e shock'!$B$6,(C179-'1 - Titoli e shock'!$B$6)/(C179-EDATE(C179,-6)),1))*$C$36,0)</f>
        <v>266.69145180630079</v>
      </c>
      <c r="F179" s="20">
        <f t="shared" si="39"/>
        <v>266.69145180630079</v>
      </c>
      <c r="G179" s="20">
        <f t="shared" si="39"/>
        <v>266.69145180630079</v>
      </c>
      <c r="H179" s="20">
        <f t="shared" si="39"/>
        <v>266.69145180630079</v>
      </c>
      <c r="I179" s="20">
        <f t="shared" si="39"/>
        <v>266.69145180630079</v>
      </c>
      <c r="J179" s="20">
        <f t="shared" si="39"/>
        <v>266.69145180630079</v>
      </c>
      <c r="K179" s="20">
        <f t="shared" si="39"/>
        <v>266.69145180630079</v>
      </c>
      <c r="L179" s="20">
        <f t="shared" si="39"/>
        <v>266.69145180630079</v>
      </c>
      <c r="M179" s="20">
        <f t="shared" si="39"/>
        <v>266.69145180630079</v>
      </c>
      <c r="N179" s="20">
        <f t="shared" si="39"/>
        <v>266.69145180630079</v>
      </c>
      <c r="O179" s="20">
        <f t="shared" si="39"/>
        <v>266.69145180630079</v>
      </c>
      <c r="P179" s="20">
        <f t="shared" si="39"/>
        <v>266.69145180630079</v>
      </c>
      <c r="Q179" s="20">
        <f t="shared" si="39"/>
        <v>266.69145180630079</v>
      </c>
      <c r="R179" s="20">
        <f t="shared" si="39"/>
        <v>266.69145180630079</v>
      </c>
      <c r="S179" s="20">
        <f t="shared" si="39"/>
        <v>266.69145180630079</v>
      </c>
      <c r="T179" s="20">
        <f t="shared" si="39"/>
        <v>266.69145180630079</v>
      </c>
      <c r="U179" s="20">
        <f t="shared" si="39"/>
        <v>266.69145180630079</v>
      </c>
    </row>
    <row r="180" spans="1:21">
      <c r="A180" s="15" t="s">
        <v>266</v>
      </c>
      <c r="B180" s="22" t="str">
        <f>A36</f>
        <v>BTP 3,00% ott 2029</v>
      </c>
      <c r="C180" s="13">
        <f>EDATE($B$36,-6*3)</f>
        <v>46844</v>
      </c>
      <c r="D180" s="23">
        <f>MAX(1,(YEAR(C180)-YEAR('1 - Titoli e shock'!$B$6))+IF(MONTH(C180)*100+DAY(C180)&gt;MONTH('1 - Titoli e shock'!$B$6)*100+DAY('1 - Titoli e shock'!$B$6),1,0))</f>
        <v>2</v>
      </c>
      <c r="E180" s="20">
        <f>IF(C180&lt;='1 - Titoli e shock'!$B$17,('1 - Titoli e shock'!$C$23*100/2-'1 - Titoli e shock'!$B$8*'1 - Titoli e shock'!$C$23*100/2*IF(EDATE(C180,-6)&lt;='1 - Titoli e shock'!$B$6,(C180-'1 - Titoli e shock'!$B$6)/(C180-EDATE(C180,-6)),1))*$C$36,0)</f>
        <v>266.69145180630079</v>
      </c>
      <c r="F180" s="20">
        <f t="shared" si="39"/>
        <v>266.69145180630079</v>
      </c>
      <c r="G180" s="20">
        <f t="shared" si="39"/>
        <v>266.69145180630079</v>
      </c>
      <c r="H180" s="20">
        <f t="shared" si="39"/>
        <v>266.69145180630079</v>
      </c>
      <c r="I180" s="20">
        <f t="shared" si="39"/>
        <v>266.69145180630079</v>
      </c>
      <c r="J180" s="20">
        <f t="shared" si="39"/>
        <v>266.69145180630079</v>
      </c>
      <c r="K180" s="20">
        <f t="shared" si="39"/>
        <v>266.69145180630079</v>
      </c>
      <c r="L180" s="20">
        <f t="shared" si="39"/>
        <v>266.69145180630079</v>
      </c>
      <c r="M180" s="20">
        <f t="shared" si="39"/>
        <v>266.69145180630079</v>
      </c>
      <c r="N180" s="20">
        <f t="shared" si="39"/>
        <v>266.69145180630079</v>
      </c>
      <c r="O180" s="20">
        <f t="shared" si="39"/>
        <v>266.69145180630079</v>
      </c>
      <c r="P180" s="20">
        <f t="shared" si="39"/>
        <v>266.69145180630079</v>
      </c>
      <c r="Q180" s="20">
        <f t="shared" si="39"/>
        <v>266.69145180630079</v>
      </c>
      <c r="R180" s="20">
        <f t="shared" si="39"/>
        <v>266.69145180630079</v>
      </c>
      <c r="S180" s="20">
        <f t="shared" si="39"/>
        <v>266.69145180630079</v>
      </c>
      <c r="T180" s="20">
        <f t="shared" si="39"/>
        <v>266.69145180630079</v>
      </c>
      <c r="U180" s="20">
        <f t="shared" si="39"/>
        <v>266.69145180630079</v>
      </c>
    </row>
    <row r="181" spans="1:21">
      <c r="A181" s="15" t="s">
        <v>266</v>
      </c>
      <c r="B181" s="22" t="str">
        <f>A36</f>
        <v>BTP 3,00% ott 2029</v>
      </c>
      <c r="C181" s="13">
        <f>EDATE($B$36,-6*2)</f>
        <v>47027</v>
      </c>
      <c r="D181" s="23">
        <f>MAX(1,(YEAR(C181)-YEAR('1 - Titoli e shock'!$B$6))+IF(MONTH(C181)*100+DAY(C181)&gt;MONTH('1 - Titoli e shock'!$B$6)*100+DAY('1 - Titoli e shock'!$B$6),1,0))</f>
        <v>2</v>
      </c>
      <c r="E181" s="20">
        <f>IF(C181&lt;='1 - Titoli e shock'!$B$17,('1 - Titoli e shock'!$C$23*100/2-'1 - Titoli e shock'!$B$8*'1 - Titoli e shock'!$C$23*100/2*IF(EDATE(C181,-6)&lt;='1 - Titoli e shock'!$B$6,(C181-'1 - Titoli e shock'!$B$6)/(C181-EDATE(C181,-6)),1))*$C$36,0)</f>
        <v>266.69145180630079</v>
      </c>
      <c r="F181" s="20">
        <f t="shared" ref="F181:U190" si="40">$E181</f>
        <v>266.69145180630079</v>
      </c>
      <c r="G181" s="20">
        <f t="shared" si="40"/>
        <v>266.69145180630079</v>
      </c>
      <c r="H181" s="20">
        <f t="shared" si="40"/>
        <v>266.69145180630079</v>
      </c>
      <c r="I181" s="20">
        <f t="shared" si="40"/>
        <v>266.69145180630079</v>
      </c>
      <c r="J181" s="20">
        <f t="shared" si="40"/>
        <v>266.69145180630079</v>
      </c>
      <c r="K181" s="20">
        <f t="shared" si="40"/>
        <v>266.69145180630079</v>
      </c>
      <c r="L181" s="20">
        <f t="shared" si="40"/>
        <v>266.69145180630079</v>
      </c>
      <c r="M181" s="20">
        <f t="shared" si="40"/>
        <v>266.69145180630079</v>
      </c>
      <c r="N181" s="20">
        <f t="shared" si="40"/>
        <v>266.69145180630079</v>
      </c>
      <c r="O181" s="20">
        <f t="shared" si="40"/>
        <v>266.69145180630079</v>
      </c>
      <c r="P181" s="20">
        <f t="shared" si="40"/>
        <v>266.69145180630079</v>
      </c>
      <c r="Q181" s="20">
        <f t="shared" si="40"/>
        <v>266.69145180630079</v>
      </c>
      <c r="R181" s="20">
        <f t="shared" si="40"/>
        <v>266.69145180630079</v>
      </c>
      <c r="S181" s="20">
        <f t="shared" si="40"/>
        <v>266.69145180630079</v>
      </c>
      <c r="T181" s="20">
        <f t="shared" si="40"/>
        <v>266.69145180630079</v>
      </c>
      <c r="U181" s="20">
        <f t="shared" si="40"/>
        <v>266.69145180630079</v>
      </c>
    </row>
    <row r="182" spans="1:21">
      <c r="A182" s="15" t="s">
        <v>266</v>
      </c>
      <c r="B182" s="22" t="str">
        <f>A36</f>
        <v>BTP 3,00% ott 2029</v>
      </c>
      <c r="C182" s="13">
        <f>EDATE($B$36,-6*1)</f>
        <v>47209</v>
      </c>
      <c r="D182" s="23">
        <f>MAX(1,(YEAR(C182)-YEAR('1 - Titoli e shock'!$B$6))+IF(MONTH(C182)*100+DAY(C182)&gt;MONTH('1 - Titoli e shock'!$B$6)*100+DAY('1 - Titoli e shock'!$B$6),1,0))</f>
        <v>3</v>
      </c>
      <c r="E182" s="20">
        <f>IF(C182&lt;='1 - Titoli e shock'!$B$17,('1 - Titoli e shock'!$C$23*100/2-'1 - Titoli e shock'!$B$8*'1 - Titoli e shock'!$C$23*100/2*IF(EDATE(C182,-6)&lt;='1 - Titoli e shock'!$B$6,(C182-'1 - Titoli e shock'!$B$6)/(C182-EDATE(C182,-6)),1))*$C$36,0)</f>
        <v>266.69145180630079</v>
      </c>
      <c r="F182" s="20">
        <f t="shared" si="40"/>
        <v>266.69145180630079</v>
      </c>
      <c r="G182" s="20">
        <f t="shared" si="40"/>
        <v>266.69145180630079</v>
      </c>
      <c r="H182" s="20">
        <f t="shared" si="40"/>
        <v>266.69145180630079</v>
      </c>
      <c r="I182" s="20">
        <f t="shared" si="40"/>
        <v>266.69145180630079</v>
      </c>
      <c r="J182" s="20">
        <f t="shared" si="40"/>
        <v>266.69145180630079</v>
      </c>
      <c r="K182" s="20">
        <f t="shared" si="40"/>
        <v>266.69145180630079</v>
      </c>
      <c r="L182" s="20">
        <f t="shared" si="40"/>
        <v>266.69145180630079</v>
      </c>
      <c r="M182" s="20">
        <f t="shared" si="40"/>
        <v>266.69145180630079</v>
      </c>
      <c r="N182" s="20">
        <f t="shared" si="40"/>
        <v>266.69145180630079</v>
      </c>
      <c r="O182" s="20">
        <f t="shared" si="40"/>
        <v>266.69145180630079</v>
      </c>
      <c r="P182" s="20">
        <f t="shared" si="40"/>
        <v>266.69145180630079</v>
      </c>
      <c r="Q182" s="20">
        <f t="shared" si="40"/>
        <v>266.69145180630079</v>
      </c>
      <c r="R182" s="20">
        <f t="shared" si="40"/>
        <v>266.69145180630079</v>
      </c>
      <c r="S182" s="20">
        <f t="shared" si="40"/>
        <v>266.69145180630079</v>
      </c>
      <c r="T182" s="20">
        <f t="shared" si="40"/>
        <v>266.69145180630079</v>
      </c>
      <c r="U182" s="20">
        <f t="shared" si="40"/>
        <v>266.69145180630079</v>
      </c>
    </row>
    <row r="183" spans="1:21">
      <c r="A183" s="15" t="s">
        <v>266</v>
      </c>
      <c r="B183" s="22" t="str">
        <f>A36</f>
        <v>BTP 3,00% ott 2029</v>
      </c>
      <c r="C183" s="13">
        <f>EDATE($B$36,-6*0)</f>
        <v>47392</v>
      </c>
      <c r="D183" s="23">
        <f>MAX(1,(YEAR(C183)-YEAR('1 - Titoli e shock'!$B$6))+IF(MONTH(C183)*100+DAY(C183)&gt;MONTH('1 - Titoli e shock'!$B$6)*100+DAY('1 - Titoli e shock'!$B$6),1,0))</f>
        <v>3</v>
      </c>
      <c r="E183" s="20">
        <f>IF(C183&lt;='1 - Titoli e shock'!$B$17,('1 - Titoli e shock'!$C$23*100/2-'1 - Titoli e shock'!$B$8*'1 - Titoli e shock'!$C$23*100/2*IF(EDATE(C183,-6)&lt;='1 - Titoli e shock'!$B$6,(C183-'1 - Titoli e shock'!$B$6)/(C183-EDATE(C183,-6)),1))*$C$36,0)</f>
        <v>266.69145180630079</v>
      </c>
      <c r="F183" s="20">
        <f t="shared" si="40"/>
        <v>266.69145180630079</v>
      </c>
      <c r="G183" s="20">
        <f t="shared" si="40"/>
        <v>266.69145180630079</v>
      </c>
      <c r="H183" s="20">
        <f t="shared" si="40"/>
        <v>266.69145180630079</v>
      </c>
      <c r="I183" s="20">
        <f t="shared" si="40"/>
        <v>266.69145180630079</v>
      </c>
      <c r="J183" s="20">
        <f t="shared" si="40"/>
        <v>266.69145180630079</v>
      </c>
      <c r="K183" s="20">
        <f t="shared" si="40"/>
        <v>266.69145180630079</v>
      </c>
      <c r="L183" s="20">
        <f t="shared" si="40"/>
        <v>266.69145180630079</v>
      </c>
      <c r="M183" s="20">
        <f t="shared" si="40"/>
        <v>266.69145180630079</v>
      </c>
      <c r="N183" s="20">
        <f t="shared" si="40"/>
        <v>266.69145180630079</v>
      </c>
      <c r="O183" s="20">
        <f t="shared" si="40"/>
        <v>266.69145180630079</v>
      </c>
      <c r="P183" s="20">
        <f t="shared" si="40"/>
        <v>266.69145180630079</v>
      </c>
      <c r="Q183" s="20">
        <f t="shared" si="40"/>
        <v>266.69145180630079</v>
      </c>
      <c r="R183" s="20">
        <f t="shared" si="40"/>
        <v>266.69145180630079</v>
      </c>
      <c r="S183" s="20">
        <f t="shared" si="40"/>
        <v>266.69145180630079</v>
      </c>
      <c r="T183" s="20">
        <f t="shared" si="40"/>
        <v>266.69145180630079</v>
      </c>
      <c r="U183" s="20">
        <f t="shared" si="40"/>
        <v>266.69145180630079</v>
      </c>
    </row>
    <row r="184" spans="1:21">
      <c r="A184" s="15" t="s">
        <v>266</v>
      </c>
      <c r="B184" s="22" t="str">
        <f>A37</f>
        <v>BTP 2,70% ott 2030</v>
      </c>
      <c r="C184" s="13">
        <f>EDATE($B$37,-6*7)</f>
        <v>46478</v>
      </c>
      <c r="D184" s="23">
        <f>MAX(1,(YEAR(C184)-YEAR('1 - Titoli e shock'!$B$6))+IF(MONTH(C184)*100+DAY(C184)&gt;MONTH('1 - Titoli e shock'!$B$6)*100+DAY('1 - Titoli e shock'!$B$6),1,0))</f>
        <v>1</v>
      </c>
      <c r="E184" s="20">
        <f>IF(C184&lt;='1 - Titoli e shock'!$B$17,('1 - Titoli e shock'!$C$24*100/2-'1 - Titoli e shock'!$B$8*'1 - Titoli e shock'!$C$24*100/2*IF(EDATE(C184,-6)&lt;='1 - Titoli e shock'!$B$6,(C184-'1 - Titoli e shock'!$B$6)/(C184-EDATE(C184,-6)),1))*$C$37,0)</f>
        <v>249.1204656418858</v>
      </c>
      <c r="F184" s="20">
        <f t="shared" si="40"/>
        <v>249.1204656418858</v>
      </c>
      <c r="G184" s="20">
        <f t="shared" si="40"/>
        <v>249.1204656418858</v>
      </c>
      <c r="H184" s="20">
        <f t="shared" si="40"/>
        <v>249.1204656418858</v>
      </c>
      <c r="I184" s="20">
        <f t="shared" si="40"/>
        <v>249.1204656418858</v>
      </c>
      <c r="J184" s="20">
        <f t="shared" si="40"/>
        <v>249.1204656418858</v>
      </c>
      <c r="K184" s="20">
        <f t="shared" si="40"/>
        <v>249.1204656418858</v>
      </c>
      <c r="L184" s="20">
        <f t="shared" si="40"/>
        <v>249.1204656418858</v>
      </c>
      <c r="M184" s="20">
        <f t="shared" si="40"/>
        <v>249.1204656418858</v>
      </c>
      <c r="N184" s="20">
        <f t="shared" si="40"/>
        <v>249.1204656418858</v>
      </c>
      <c r="O184" s="20">
        <f t="shared" si="40"/>
        <v>249.1204656418858</v>
      </c>
      <c r="P184" s="20">
        <f t="shared" si="40"/>
        <v>249.1204656418858</v>
      </c>
      <c r="Q184" s="20">
        <f t="shared" si="40"/>
        <v>249.1204656418858</v>
      </c>
      <c r="R184" s="20">
        <f t="shared" si="40"/>
        <v>249.1204656418858</v>
      </c>
      <c r="S184" s="20">
        <f t="shared" si="40"/>
        <v>249.1204656418858</v>
      </c>
      <c r="T184" s="20">
        <f t="shared" si="40"/>
        <v>249.1204656418858</v>
      </c>
      <c r="U184" s="20">
        <f t="shared" si="40"/>
        <v>249.1204656418858</v>
      </c>
    </row>
    <row r="185" spans="1:21">
      <c r="A185" s="15" t="s">
        <v>266</v>
      </c>
      <c r="B185" s="22" t="str">
        <f>A37</f>
        <v>BTP 2,70% ott 2030</v>
      </c>
      <c r="C185" s="13">
        <f>EDATE($B$37,-6*6)</f>
        <v>46661</v>
      </c>
      <c r="D185" s="23">
        <f>MAX(1,(YEAR(C185)-YEAR('1 - Titoli e shock'!$B$6))+IF(MONTH(C185)*100+DAY(C185)&gt;MONTH('1 - Titoli e shock'!$B$6)*100+DAY('1 - Titoli e shock'!$B$6),1,0))</f>
        <v>1</v>
      </c>
      <c r="E185" s="20">
        <f>IF(C185&lt;='1 - Titoli e shock'!$B$17,('1 - Titoli e shock'!$C$24*100/2-'1 - Titoli e shock'!$B$8*'1 - Titoli e shock'!$C$24*100/2*IF(EDATE(C185,-6)&lt;='1 - Titoli e shock'!$B$6,(C185-'1 - Titoli e shock'!$B$6)/(C185-EDATE(C185,-6)),1))*$C$37,0)</f>
        <v>245.64974708031156</v>
      </c>
      <c r="F185" s="20">
        <f t="shared" si="40"/>
        <v>245.64974708031156</v>
      </c>
      <c r="G185" s="20">
        <f t="shared" si="40"/>
        <v>245.64974708031156</v>
      </c>
      <c r="H185" s="20">
        <f t="shared" si="40"/>
        <v>245.64974708031156</v>
      </c>
      <c r="I185" s="20">
        <f t="shared" si="40"/>
        <v>245.64974708031156</v>
      </c>
      <c r="J185" s="20">
        <f t="shared" si="40"/>
        <v>245.64974708031156</v>
      </c>
      <c r="K185" s="20">
        <f t="shared" si="40"/>
        <v>245.64974708031156</v>
      </c>
      <c r="L185" s="20">
        <f t="shared" si="40"/>
        <v>245.64974708031156</v>
      </c>
      <c r="M185" s="20">
        <f t="shared" si="40"/>
        <v>245.64974708031156</v>
      </c>
      <c r="N185" s="20">
        <f t="shared" si="40"/>
        <v>245.64974708031156</v>
      </c>
      <c r="O185" s="20">
        <f t="shared" si="40"/>
        <v>245.64974708031156</v>
      </c>
      <c r="P185" s="20">
        <f t="shared" si="40"/>
        <v>245.64974708031156</v>
      </c>
      <c r="Q185" s="20">
        <f t="shared" si="40"/>
        <v>245.64974708031156</v>
      </c>
      <c r="R185" s="20">
        <f t="shared" si="40"/>
        <v>245.64974708031156</v>
      </c>
      <c r="S185" s="20">
        <f t="shared" si="40"/>
        <v>245.64974708031156</v>
      </c>
      <c r="T185" s="20">
        <f t="shared" si="40"/>
        <v>245.64974708031156</v>
      </c>
      <c r="U185" s="20">
        <f t="shared" si="40"/>
        <v>245.64974708031156</v>
      </c>
    </row>
    <row r="186" spans="1:21">
      <c r="A186" s="15" t="s">
        <v>266</v>
      </c>
      <c r="B186" s="22" t="str">
        <f>A37</f>
        <v>BTP 2,70% ott 2030</v>
      </c>
      <c r="C186" s="13">
        <f>EDATE($B$37,-6*5)</f>
        <v>46844</v>
      </c>
      <c r="D186" s="23">
        <f>MAX(1,(YEAR(C186)-YEAR('1 - Titoli e shock'!$B$6))+IF(MONTH(C186)*100+DAY(C186)&gt;MONTH('1 - Titoli e shock'!$B$6)*100+DAY('1 - Titoli e shock'!$B$6),1,0))</f>
        <v>2</v>
      </c>
      <c r="E186" s="20">
        <f>IF(C186&lt;='1 - Titoli e shock'!$B$17,('1 - Titoli e shock'!$C$24*100/2-'1 - Titoli e shock'!$B$8*'1 - Titoli e shock'!$C$24*100/2*IF(EDATE(C186,-6)&lt;='1 - Titoli e shock'!$B$6,(C186-'1 - Titoli e shock'!$B$6)/(C186-EDATE(C186,-6)),1))*$C$37,0)</f>
        <v>245.64974708031156</v>
      </c>
      <c r="F186" s="20">
        <f t="shared" si="40"/>
        <v>245.64974708031156</v>
      </c>
      <c r="G186" s="20">
        <f t="shared" si="40"/>
        <v>245.64974708031156</v>
      </c>
      <c r="H186" s="20">
        <f t="shared" si="40"/>
        <v>245.64974708031156</v>
      </c>
      <c r="I186" s="20">
        <f t="shared" si="40"/>
        <v>245.64974708031156</v>
      </c>
      <c r="J186" s="20">
        <f t="shared" si="40"/>
        <v>245.64974708031156</v>
      </c>
      <c r="K186" s="20">
        <f t="shared" si="40"/>
        <v>245.64974708031156</v>
      </c>
      <c r="L186" s="20">
        <f t="shared" si="40"/>
        <v>245.64974708031156</v>
      </c>
      <c r="M186" s="20">
        <f t="shared" si="40"/>
        <v>245.64974708031156</v>
      </c>
      <c r="N186" s="20">
        <f t="shared" si="40"/>
        <v>245.64974708031156</v>
      </c>
      <c r="O186" s="20">
        <f t="shared" si="40"/>
        <v>245.64974708031156</v>
      </c>
      <c r="P186" s="20">
        <f t="shared" si="40"/>
        <v>245.64974708031156</v>
      </c>
      <c r="Q186" s="20">
        <f t="shared" si="40"/>
        <v>245.64974708031156</v>
      </c>
      <c r="R186" s="20">
        <f t="shared" si="40"/>
        <v>245.64974708031156</v>
      </c>
      <c r="S186" s="20">
        <f t="shared" si="40"/>
        <v>245.64974708031156</v>
      </c>
      <c r="T186" s="20">
        <f t="shared" si="40"/>
        <v>245.64974708031156</v>
      </c>
      <c r="U186" s="20">
        <f t="shared" si="40"/>
        <v>245.64974708031156</v>
      </c>
    </row>
    <row r="187" spans="1:21">
      <c r="A187" s="15" t="s">
        <v>266</v>
      </c>
      <c r="B187" s="22" t="str">
        <f>A37</f>
        <v>BTP 2,70% ott 2030</v>
      </c>
      <c r="C187" s="13">
        <f>EDATE($B$37,-6*4)</f>
        <v>47027</v>
      </c>
      <c r="D187" s="23">
        <f>MAX(1,(YEAR(C187)-YEAR('1 - Titoli e shock'!$B$6))+IF(MONTH(C187)*100+DAY(C187)&gt;MONTH('1 - Titoli e shock'!$B$6)*100+DAY('1 - Titoli e shock'!$B$6),1,0))</f>
        <v>2</v>
      </c>
      <c r="E187" s="20">
        <f>IF(C187&lt;='1 - Titoli e shock'!$B$17,('1 - Titoli e shock'!$C$24*100/2-'1 - Titoli e shock'!$B$8*'1 - Titoli e shock'!$C$24*100/2*IF(EDATE(C187,-6)&lt;='1 - Titoli e shock'!$B$6,(C187-'1 - Titoli e shock'!$B$6)/(C187-EDATE(C187,-6)),1))*$C$37,0)</f>
        <v>245.64974708031156</v>
      </c>
      <c r="F187" s="20">
        <f t="shared" si="40"/>
        <v>245.64974708031156</v>
      </c>
      <c r="G187" s="20">
        <f t="shared" si="40"/>
        <v>245.64974708031156</v>
      </c>
      <c r="H187" s="20">
        <f t="shared" si="40"/>
        <v>245.64974708031156</v>
      </c>
      <c r="I187" s="20">
        <f t="shared" si="40"/>
        <v>245.64974708031156</v>
      </c>
      <c r="J187" s="20">
        <f t="shared" si="40"/>
        <v>245.64974708031156</v>
      </c>
      <c r="K187" s="20">
        <f t="shared" si="40"/>
        <v>245.64974708031156</v>
      </c>
      <c r="L187" s="20">
        <f t="shared" si="40"/>
        <v>245.64974708031156</v>
      </c>
      <c r="M187" s="20">
        <f t="shared" si="40"/>
        <v>245.64974708031156</v>
      </c>
      <c r="N187" s="20">
        <f t="shared" si="40"/>
        <v>245.64974708031156</v>
      </c>
      <c r="O187" s="20">
        <f t="shared" si="40"/>
        <v>245.64974708031156</v>
      </c>
      <c r="P187" s="20">
        <f t="shared" si="40"/>
        <v>245.64974708031156</v>
      </c>
      <c r="Q187" s="20">
        <f t="shared" si="40"/>
        <v>245.64974708031156</v>
      </c>
      <c r="R187" s="20">
        <f t="shared" si="40"/>
        <v>245.64974708031156</v>
      </c>
      <c r="S187" s="20">
        <f t="shared" si="40"/>
        <v>245.64974708031156</v>
      </c>
      <c r="T187" s="20">
        <f t="shared" si="40"/>
        <v>245.64974708031156</v>
      </c>
      <c r="U187" s="20">
        <f t="shared" si="40"/>
        <v>245.64974708031156</v>
      </c>
    </row>
    <row r="188" spans="1:21">
      <c r="A188" s="15" t="s">
        <v>266</v>
      </c>
      <c r="B188" s="22" t="str">
        <f>A37</f>
        <v>BTP 2,70% ott 2030</v>
      </c>
      <c r="C188" s="13">
        <f>EDATE($B$37,-6*3)</f>
        <v>47209</v>
      </c>
      <c r="D188" s="23">
        <f>MAX(1,(YEAR(C188)-YEAR('1 - Titoli e shock'!$B$6))+IF(MONTH(C188)*100+DAY(C188)&gt;MONTH('1 - Titoli e shock'!$B$6)*100+DAY('1 - Titoli e shock'!$B$6),1,0))</f>
        <v>3</v>
      </c>
      <c r="E188" s="20">
        <f>IF(C188&lt;='1 - Titoli e shock'!$B$17,('1 - Titoli e shock'!$C$24*100/2-'1 - Titoli e shock'!$B$8*'1 - Titoli e shock'!$C$24*100/2*IF(EDATE(C188,-6)&lt;='1 - Titoli e shock'!$B$6,(C188-'1 - Titoli e shock'!$B$6)/(C188-EDATE(C188,-6)),1))*$C$37,0)</f>
        <v>245.64974708031156</v>
      </c>
      <c r="F188" s="20">
        <f t="shared" si="40"/>
        <v>245.64974708031156</v>
      </c>
      <c r="G188" s="20">
        <f t="shared" si="40"/>
        <v>245.64974708031156</v>
      </c>
      <c r="H188" s="20">
        <f t="shared" si="40"/>
        <v>245.64974708031156</v>
      </c>
      <c r="I188" s="20">
        <f t="shared" si="40"/>
        <v>245.64974708031156</v>
      </c>
      <c r="J188" s="20">
        <f t="shared" si="40"/>
        <v>245.64974708031156</v>
      </c>
      <c r="K188" s="20">
        <f t="shared" si="40"/>
        <v>245.64974708031156</v>
      </c>
      <c r="L188" s="20">
        <f t="shared" si="40"/>
        <v>245.64974708031156</v>
      </c>
      <c r="M188" s="20">
        <f t="shared" si="40"/>
        <v>245.64974708031156</v>
      </c>
      <c r="N188" s="20">
        <f t="shared" si="40"/>
        <v>245.64974708031156</v>
      </c>
      <c r="O188" s="20">
        <f t="shared" si="40"/>
        <v>245.64974708031156</v>
      </c>
      <c r="P188" s="20">
        <f t="shared" si="40"/>
        <v>245.64974708031156</v>
      </c>
      <c r="Q188" s="20">
        <f t="shared" si="40"/>
        <v>245.64974708031156</v>
      </c>
      <c r="R188" s="20">
        <f t="shared" si="40"/>
        <v>245.64974708031156</v>
      </c>
      <c r="S188" s="20">
        <f t="shared" si="40"/>
        <v>245.64974708031156</v>
      </c>
      <c r="T188" s="20">
        <f t="shared" si="40"/>
        <v>245.64974708031156</v>
      </c>
      <c r="U188" s="20">
        <f t="shared" si="40"/>
        <v>245.64974708031156</v>
      </c>
    </row>
    <row r="189" spans="1:21">
      <c r="A189" s="15" t="s">
        <v>266</v>
      </c>
      <c r="B189" s="22" t="str">
        <f>A37</f>
        <v>BTP 2,70% ott 2030</v>
      </c>
      <c r="C189" s="13">
        <f>EDATE($B$37,-6*2)</f>
        <v>47392</v>
      </c>
      <c r="D189" s="23">
        <f>MAX(1,(YEAR(C189)-YEAR('1 - Titoli e shock'!$B$6))+IF(MONTH(C189)*100+DAY(C189)&gt;MONTH('1 - Titoli e shock'!$B$6)*100+DAY('1 - Titoli e shock'!$B$6),1,0))</f>
        <v>3</v>
      </c>
      <c r="E189" s="20">
        <f>IF(C189&lt;='1 - Titoli e shock'!$B$17,('1 - Titoli e shock'!$C$24*100/2-'1 - Titoli e shock'!$B$8*'1 - Titoli e shock'!$C$24*100/2*IF(EDATE(C189,-6)&lt;='1 - Titoli e shock'!$B$6,(C189-'1 - Titoli e shock'!$B$6)/(C189-EDATE(C189,-6)),1))*$C$37,0)</f>
        <v>245.64974708031156</v>
      </c>
      <c r="F189" s="20">
        <f t="shared" si="40"/>
        <v>245.64974708031156</v>
      </c>
      <c r="G189" s="20">
        <f t="shared" si="40"/>
        <v>245.64974708031156</v>
      </c>
      <c r="H189" s="20">
        <f t="shared" si="40"/>
        <v>245.64974708031156</v>
      </c>
      <c r="I189" s="20">
        <f t="shared" si="40"/>
        <v>245.64974708031156</v>
      </c>
      <c r="J189" s="20">
        <f t="shared" si="40"/>
        <v>245.64974708031156</v>
      </c>
      <c r="K189" s="20">
        <f t="shared" si="40"/>
        <v>245.64974708031156</v>
      </c>
      <c r="L189" s="20">
        <f t="shared" si="40"/>
        <v>245.64974708031156</v>
      </c>
      <c r="M189" s="20">
        <f t="shared" si="40"/>
        <v>245.64974708031156</v>
      </c>
      <c r="N189" s="20">
        <f t="shared" si="40"/>
        <v>245.64974708031156</v>
      </c>
      <c r="O189" s="20">
        <f t="shared" si="40"/>
        <v>245.64974708031156</v>
      </c>
      <c r="P189" s="20">
        <f t="shared" si="40"/>
        <v>245.64974708031156</v>
      </c>
      <c r="Q189" s="20">
        <f t="shared" si="40"/>
        <v>245.64974708031156</v>
      </c>
      <c r="R189" s="20">
        <f t="shared" si="40"/>
        <v>245.64974708031156</v>
      </c>
      <c r="S189" s="20">
        <f t="shared" si="40"/>
        <v>245.64974708031156</v>
      </c>
      <c r="T189" s="20">
        <f t="shared" si="40"/>
        <v>245.64974708031156</v>
      </c>
      <c r="U189" s="20">
        <f t="shared" si="40"/>
        <v>245.64974708031156</v>
      </c>
    </row>
    <row r="190" spans="1:21">
      <c r="A190" s="15" t="s">
        <v>266</v>
      </c>
      <c r="B190" s="22" t="str">
        <f>A37</f>
        <v>BTP 2,70% ott 2030</v>
      </c>
      <c r="C190" s="13">
        <f>EDATE($B$37,-6*1)</f>
        <v>47574</v>
      </c>
      <c r="D190" s="23">
        <f>MAX(1,(YEAR(C190)-YEAR('1 - Titoli e shock'!$B$6))+IF(MONTH(C190)*100+DAY(C190)&gt;MONTH('1 - Titoli e shock'!$B$6)*100+DAY('1 - Titoli e shock'!$B$6),1,0))</f>
        <v>4</v>
      </c>
      <c r="E190" s="20">
        <f>IF(C190&lt;='1 - Titoli e shock'!$B$17,('1 - Titoli e shock'!$C$24*100/2-'1 - Titoli e shock'!$B$8*'1 - Titoli e shock'!$C$24*100/2*IF(EDATE(C190,-6)&lt;='1 - Titoli e shock'!$B$6,(C190-'1 - Titoli e shock'!$B$6)/(C190-EDATE(C190,-6)),1))*$C$37,0)</f>
        <v>245.64974708031156</v>
      </c>
      <c r="F190" s="20">
        <f t="shared" si="40"/>
        <v>245.64974708031156</v>
      </c>
      <c r="G190" s="20">
        <f t="shared" si="40"/>
        <v>245.64974708031156</v>
      </c>
      <c r="H190" s="20">
        <f t="shared" si="40"/>
        <v>245.64974708031156</v>
      </c>
      <c r="I190" s="20">
        <f t="shared" si="40"/>
        <v>245.64974708031156</v>
      </c>
      <c r="J190" s="20">
        <f t="shared" si="40"/>
        <v>245.64974708031156</v>
      </c>
      <c r="K190" s="20">
        <f t="shared" si="40"/>
        <v>245.64974708031156</v>
      </c>
      <c r="L190" s="20">
        <f t="shared" si="40"/>
        <v>245.64974708031156</v>
      </c>
      <c r="M190" s="20">
        <f t="shared" si="40"/>
        <v>245.64974708031156</v>
      </c>
      <c r="N190" s="20">
        <f t="shared" si="40"/>
        <v>245.64974708031156</v>
      </c>
      <c r="O190" s="20">
        <f t="shared" si="40"/>
        <v>245.64974708031156</v>
      </c>
      <c r="P190" s="20">
        <f t="shared" si="40"/>
        <v>245.64974708031156</v>
      </c>
      <c r="Q190" s="20">
        <f t="shared" si="40"/>
        <v>245.64974708031156</v>
      </c>
      <c r="R190" s="20">
        <f t="shared" si="40"/>
        <v>245.64974708031156</v>
      </c>
      <c r="S190" s="20">
        <f t="shared" si="40"/>
        <v>245.64974708031156</v>
      </c>
      <c r="T190" s="20">
        <f t="shared" si="40"/>
        <v>245.64974708031156</v>
      </c>
      <c r="U190" s="20">
        <f t="shared" si="40"/>
        <v>245.64974708031156</v>
      </c>
    </row>
    <row r="191" spans="1:21">
      <c r="A191" s="15" t="s">
        <v>266</v>
      </c>
      <c r="B191" s="22" t="str">
        <f>A37</f>
        <v>BTP 2,70% ott 2030</v>
      </c>
      <c r="C191" s="13">
        <f>EDATE($B$37,-6*0)</f>
        <v>47757</v>
      </c>
      <c r="D191" s="23">
        <f>MAX(1,(YEAR(C191)-YEAR('1 - Titoli e shock'!$B$6))+IF(MONTH(C191)*100+DAY(C191)&gt;MONTH('1 - Titoli e shock'!$B$6)*100+DAY('1 - Titoli e shock'!$B$6),1,0))</f>
        <v>4</v>
      </c>
      <c r="E191" s="20">
        <f>IF(C191&lt;='1 - Titoli e shock'!$B$17,('1 - Titoli e shock'!$C$24*100/2-'1 - Titoli e shock'!$B$8*'1 - Titoli e shock'!$C$24*100/2*IF(EDATE(C191,-6)&lt;='1 - Titoli e shock'!$B$6,(C191-'1 - Titoli e shock'!$B$6)/(C191-EDATE(C191,-6)),1))*$C$37,0)</f>
        <v>245.64974708031156</v>
      </c>
      <c r="F191" s="20">
        <f t="shared" ref="F191:U200" si="41">$E191</f>
        <v>245.64974708031156</v>
      </c>
      <c r="G191" s="20">
        <f t="shared" si="41"/>
        <v>245.64974708031156</v>
      </c>
      <c r="H191" s="20">
        <f t="shared" si="41"/>
        <v>245.64974708031156</v>
      </c>
      <c r="I191" s="20">
        <f t="shared" si="41"/>
        <v>245.64974708031156</v>
      </c>
      <c r="J191" s="20">
        <f t="shared" si="41"/>
        <v>245.64974708031156</v>
      </c>
      <c r="K191" s="20">
        <f t="shared" si="41"/>
        <v>245.64974708031156</v>
      </c>
      <c r="L191" s="20">
        <f t="shared" si="41"/>
        <v>245.64974708031156</v>
      </c>
      <c r="M191" s="20">
        <f t="shared" si="41"/>
        <v>245.64974708031156</v>
      </c>
      <c r="N191" s="20">
        <f t="shared" si="41"/>
        <v>245.64974708031156</v>
      </c>
      <c r="O191" s="20">
        <f t="shared" si="41"/>
        <v>245.64974708031156</v>
      </c>
      <c r="P191" s="20">
        <f t="shared" si="41"/>
        <v>245.64974708031156</v>
      </c>
      <c r="Q191" s="20">
        <f t="shared" si="41"/>
        <v>245.64974708031156</v>
      </c>
      <c r="R191" s="20">
        <f t="shared" si="41"/>
        <v>245.64974708031156</v>
      </c>
      <c r="S191" s="20">
        <f t="shared" si="41"/>
        <v>245.64974708031156</v>
      </c>
      <c r="T191" s="20">
        <f t="shared" si="41"/>
        <v>245.64974708031156</v>
      </c>
      <c r="U191" s="20">
        <f t="shared" si="41"/>
        <v>245.64974708031156</v>
      </c>
    </row>
    <row r="192" spans="1:21">
      <c r="A192" s="15" t="s">
        <v>266</v>
      </c>
      <c r="B192" s="22" t="str">
        <f>A38</f>
        <v>BTP 3,15% nov 2031</v>
      </c>
      <c r="C192" s="13">
        <f>EDATE($B$38,-6*10)</f>
        <v>46341</v>
      </c>
      <c r="D192" s="23">
        <f>MAX(1,(YEAR(C192)-YEAR('1 - Titoli e shock'!$B$6))+IF(MONTH(C192)*100+DAY(C192)&gt;MONTH('1 - Titoli e shock'!$B$6)*100+DAY('1 - Titoli e shock'!$B$6),1,0))</f>
        <v>1</v>
      </c>
      <c r="E192" s="20">
        <f>IF(C192&lt;='1 - Titoli e shock'!$B$17,('1 - Titoli e shock'!$C$25*100/2-'1 - Titoli e shock'!$B$8*'1 - Titoli e shock'!$C$25*100/2*IF(EDATE(C192,-6)&lt;='1 - Titoli e shock'!$B$6,(C192-'1 - Titoli e shock'!$B$6)/(C192-EDATE(C192,-6)),1))*$C$38,0)</f>
        <v>315.8425674248507</v>
      </c>
      <c r="F192" s="20">
        <f t="shared" si="41"/>
        <v>315.8425674248507</v>
      </c>
      <c r="G192" s="20">
        <f t="shared" si="41"/>
        <v>315.8425674248507</v>
      </c>
      <c r="H192" s="20">
        <f t="shared" si="41"/>
        <v>315.8425674248507</v>
      </c>
      <c r="I192" s="20">
        <f t="shared" si="41"/>
        <v>315.8425674248507</v>
      </c>
      <c r="J192" s="20">
        <f t="shared" si="41"/>
        <v>315.8425674248507</v>
      </c>
      <c r="K192" s="20">
        <f t="shared" si="41"/>
        <v>315.8425674248507</v>
      </c>
      <c r="L192" s="20">
        <f t="shared" si="41"/>
        <v>315.8425674248507</v>
      </c>
      <c r="M192" s="20">
        <f t="shared" si="41"/>
        <v>315.8425674248507</v>
      </c>
      <c r="N192" s="20">
        <f t="shared" si="41"/>
        <v>315.8425674248507</v>
      </c>
      <c r="O192" s="20">
        <f t="shared" si="41"/>
        <v>315.8425674248507</v>
      </c>
      <c r="P192" s="20">
        <f t="shared" si="41"/>
        <v>315.8425674248507</v>
      </c>
      <c r="Q192" s="20">
        <f t="shared" si="41"/>
        <v>315.8425674248507</v>
      </c>
      <c r="R192" s="20">
        <f t="shared" si="41"/>
        <v>315.8425674248507</v>
      </c>
      <c r="S192" s="20">
        <f t="shared" si="41"/>
        <v>315.8425674248507</v>
      </c>
      <c r="T192" s="20">
        <f t="shared" si="41"/>
        <v>315.8425674248507</v>
      </c>
      <c r="U192" s="20">
        <f t="shared" si="41"/>
        <v>315.8425674248507</v>
      </c>
    </row>
    <row r="193" spans="1:21">
      <c r="A193" s="15" t="s">
        <v>266</v>
      </c>
      <c r="B193" s="22" t="str">
        <f>A38</f>
        <v>BTP 3,15% nov 2031</v>
      </c>
      <c r="C193" s="13">
        <f>EDATE($B$38,-6*9)</f>
        <v>46522</v>
      </c>
      <c r="D193" s="23">
        <f>MAX(1,(YEAR(C193)-YEAR('1 - Titoli e shock'!$B$6))+IF(MONTH(C193)*100+DAY(C193)&gt;MONTH('1 - Titoli e shock'!$B$6)*100+DAY('1 - Titoli e shock'!$B$6),1,0))</f>
        <v>1</v>
      </c>
      <c r="E193" s="20">
        <f>IF(C193&lt;='1 - Titoli e shock'!$B$17,('1 - Titoli e shock'!$C$25*100/2-'1 - Titoli e shock'!$B$8*'1 - Titoli e shock'!$C$25*100/2*IF(EDATE(C193,-6)&lt;='1 - Titoli e shock'!$B$6,(C193-'1 - Titoli e shock'!$B$6)/(C193-EDATE(C193,-6)),1))*$C$38,0)</f>
        <v>281.52610854201225</v>
      </c>
      <c r="F193" s="20">
        <f t="shared" si="41"/>
        <v>281.52610854201225</v>
      </c>
      <c r="G193" s="20">
        <f t="shared" si="41"/>
        <v>281.52610854201225</v>
      </c>
      <c r="H193" s="20">
        <f t="shared" si="41"/>
        <v>281.52610854201225</v>
      </c>
      <c r="I193" s="20">
        <f t="shared" si="41"/>
        <v>281.52610854201225</v>
      </c>
      <c r="J193" s="20">
        <f t="shared" si="41"/>
        <v>281.52610854201225</v>
      </c>
      <c r="K193" s="20">
        <f t="shared" si="41"/>
        <v>281.52610854201225</v>
      </c>
      <c r="L193" s="20">
        <f t="shared" si="41"/>
        <v>281.52610854201225</v>
      </c>
      <c r="M193" s="20">
        <f t="shared" si="41"/>
        <v>281.52610854201225</v>
      </c>
      <c r="N193" s="20">
        <f t="shared" si="41"/>
        <v>281.52610854201225</v>
      </c>
      <c r="O193" s="20">
        <f t="shared" si="41"/>
        <v>281.52610854201225</v>
      </c>
      <c r="P193" s="20">
        <f t="shared" si="41"/>
        <v>281.52610854201225</v>
      </c>
      <c r="Q193" s="20">
        <f t="shared" si="41"/>
        <v>281.52610854201225</v>
      </c>
      <c r="R193" s="20">
        <f t="shared" si="41"/>
        <v>281.52610854201225</v>
      </c>
      <c r="S193" s="20">
        <f t="shared" si="41"/>
        <v>281.52610854201225</v>
      </c>
      <c r="T193" s="20">
        <f t="shared" si="41"/>
        <v>281.52610854201225</v>
      </c>
      <c r="U193" s="20">
        <f t="shared" si="41"/>
        <v>281.52610854201225</v>
      </c>
    </row>
    <row r="194" spans="1:21">
      <c r="A194" s="15" t="s">
        <v>266</v>
      </c>
      <c r="B194" s="22" t="str">
        <f>A38</f>
        <v>BTP 3,15% nov 2031</v>
      </c>
      <c r="C194" s="13">
        <f>EDATE($B$38,-6*8)</f>
        <v>46706</v>
      </c>
      <c r="D194" s="23">
        <f>MAX(1,(YEAR(C194)-YEAR('1 - Titoli e shock'!$B$6))+IF(MONTH(C194)*100+DAY(C194)&gt;MONTH('1 - Titoli e shock'!$B$6)*100+DAY('1 - Titoli e shock'!$B$6),1,0))</f>
        <v>2</v>
      </c>
      <c r="E194" s="20">
        <f>IF(C194&lt;='1 - Titoli e shock'!$B$17,('1 - Titoli e shock'!$C$25*100/2-'1 - Titoli e shock'!$B$8*'1 - Titoli e shock'!$C$25*100/2*IF(EDATE(C194,-6)&lt;='1 - Titoli e shock'!$B$6,(C194-'1 - Titoli e shock'!$B$6)/(C194-EDATE(C194,-6)),1))*$C$38,0)</f>
        <v>281.52610854201225</v>
      </c>
      <c r="F194" s="20">
        <f t="shared" si="41"/>
        <v>281.52610854201225</v>
      </c>
      <c r="G194" s="20">
        <f t="shared" si="41"/>
        <v>281.52610854201225</v>
      </c>
      <c r="H194" s="20">
        <f t="shared" si="41"/>
        <v>281.52610854201225</v>
      </c>
      <c r="I194" s="20">
        <f t="shared" si="41"/>
        <v>281.52610854201225</v>
      </c>
      <c r="J194" s="20">
        <f t="shared" si="41"/>
        <v>281.52610854201225</v>
      </c>
      <c r="K194" s="20">
        <f t="shared" si="41"/>
        <v>281.52610854201225</v>
      </c>
      <c r="L194" s="20">
        <f t="shared" si="41"/>
        <v>281.52610854201225</v>
      </c>
      <c r="M194" s="20">
        <f t="shared" si="41"/>
        <v>281.52610854201225</v>
      </c>
      <c r="N194" s="20">
        <f t="shared" si="41"/>
        <v>281.52610854201225</v>
      </c>
      <c r="O194" s="20">
        <f t="shared" si="41"/>
        <v>281.52610854201225</v>
      </c>
      <c r="P194" s="20">
        <f t="shared" si="41"/>
        <v>281.52610854201225</v>
      </c>
      <c r="Q194" s="20">
        <f t="shared" si="41"/>
        <v>281.52610854201225</v>
      </c>
      <c r="R194" s="20">
        <f t="shared" si="41"/>
        <v>281.52610854201225</v>
      </c>
      <c r="S194" s="20">
        <f t="shared" si="41"/>
        <v>281.52610854201225</v>
      </c>
      <c r="T194" s="20">
        <f t="shared" si="41"/>
        <v>281.52610854201225</v>
      </c>
      <c r="U194" s="20">
        <f t="shared" si="41"/>
        <v>281.52610854201225</v>
      </c>
    </row>
    <row r="195" spans="1:21">
      <c r="A195" s="15" t="s">
        <v>266</v>
      </c>
      <c r="B195" s="22" t="str">
        <f>A38</f>
        <v>BTP 3,15% nov 2031</v>
      </c>
      <c r="C195" s="13">
        <f>EDATE($B$38,-6*7)</f>
        <v>46888</v>
      </c>
      <c r="D195" s="23">
        <f>MAX(1,(YEAR(C195)-YEAR('1 - Titoli e shock'!$B$6))+IF(MONTH(C195)*100+DAY(C195)&gt;MONTH('1 - Titoli e shock'!$B$6)*100+DAY('1 - Titoli e shock'!$B$6),1,0))</f>
        <v>2</v>
      </c>
      <c r="E195" s="20">
        <f>IF(C195&lt;='1 - Titoli e shock'!$B$17,('1 - Titoli e shock'!$C$25*100/2-'1 - Titoli e shock'!$B$8*'1 - Titoli e shock'!$C$25*100/2*IF(EDATE(C195,-6)&lt;='1 - Titoli e shock'!$B$6,(C195-'1 - Titoli e shock'!$B$6)/(C195-EDATE(C195,-6)),1))*$C$38,0)</f>
        <v>281.52610854201225</v>
      </c>
      <c r="F195" s="20">
        <f t="shared" si="41"/>
        <v>281.52610854201225</v>
      </c>
      <c r="G195" s="20">
        <f t="shared" si="41"/>
        <v>281.52610854201225</v>
      </c>
      <c r="H195" s="20">
        <f t="shared" si="41"/>
        <v>281.52610854201225</v>
      </c>
      <c r="I195" s="20">
        <f t="shared" si="41"/>
        <v>281.52610854201225</v>
      </c>
      <c r="J195" s="20">
        <f t="shared" si="41"/>
        <v>281.52610854201225</v>
      </c>
      <c r="K195" s="20">
        <f t="shared" si="41"/>
        <v>281.52610854201225</v>
      </c>
      <c r="L195" s="20">
        <f t="shared" si="41"/>
        <v>281.52610854201225</v>
      </c>
      <c r="M195" s="20">
        <f t="shared" si="41"/>
        <v>281.52610854201225</v>
      </c>
      <c r="N195" s="20">
        <f t="shared" si="41"/>
        <v>281.52610854201225</v>
      </c>
      <c r="O195" s="20">
        <f t="shared" si="41"/>
        <v>281.52610854201225</v>
      </c>
      <c r="P195" s="20">
        <f t="shared" si="41"/>
        <v>281.52610854201225</v>
      </c>
      <c r="Q195" s="20">
        <f t="shared" si="41"/>
        <v>281.52610854201225</v>
      </c>
      <c r="R195" s="20">
        <f t="shared" si="41"/>
        <v>281.52610854201225</v>
      </c>
      <c r="S195" s="20">
        <f t="shared" si="41"/>
        <v>281.52610854201225</v>
      </c>
      <c r="T195" s="20">
        <f t="shared" si="41"/>
        <v>281.52610854201225</v>
      </c>
      <c r="U195" s="20">
        <f t="shared" si="41"/>
        <v>281.52610854201225</v>
      </c>
    </row>
    <row r="196" spans="1:21">
      <c r="A196" s="15" t="s">
        <v>266</v>
      </c>
      <c r="B196" s="22" t="str">
        <f>A38</f>
        <v>BTP 3,15% nov 2031</v>
      </c>
      <c r="C196" s="13">
        <f>EDATE($B$38,-6*6)</f>
        <v>47072</v>
      </c>
      <c r="D196" s="23">
        <f>MAX(1,(YEAR(C196)-YEAR('1 - Titoli e shock'!$B$6))+IF(MONTH(C196)*100+DAY(C196)&gt;MONTH('1 - Titoli e shock'!$B$6)*100+DAY('1 - Titoli e shock'!$B$6),1,0))</f>
        <v>3</v>
      </c>
      <c r="E196" s="20">
        <f>IF(C196&lt;='1 - Titoli e shock'!$B$17,('1 - Titoli e shock'!$C$25*100/2-'1 - Titoli e shock'!$B$8*'1 - Titoli e shock'!$C$25*100/2*IF(EDATE(C196,-6)&lt;='1 - Titoli e shock'!$B$6,(C196-'1 - Titoli e shock'!$B$6)/(C196-EDATE(C196,-6)),1))*$C$38,0)</f>
        <v>281.52610854201225</v>
      </c>
      <c r="F196" s="20">
        <f t="shared" si="41"/>
        <v>281.52610854201225</v>
      </c>
      <c r="G196" s="20">
        <f t="shared" si="41"/>
        <v>281.52610854201225</v>
      </c>
      <c r="H196" s="20">
        <f t="shared" si="41"/>
        <v>281.52610854201225</v>
      </c>
      <c r="I196" s="20">
        <f t="shared" si="41"/>
        <v>281.52610854201225</v>
      </c>
      <c r="J196" s="20">
        <f t="shared" si="41"/>
        <v>281.52610854201225</v>
      </c>
      <c r="K196" s="20">
        <f t="shared" si="41"/>
        <v>281.52610854201225</v>
      </c>
      <c r="L196" s="20">
        <f t="shared" si="41"/>
        <v>281.52610854201225</v>
      </c>
      <c r="M196" s="20">
        <f t="shared" si="41"/>
        <v>281.52610854201225</v>
      </c>
      <c r="N196" s="20">
        <f t="shared" si="41"/>
        <v>281.52610854201225</v>
      </c>
      <c r="O196" s="20">
        <f t="shared" si="41"/>
        <v>281.52610854201225</v>
      </c>
      <c r="P196" s="20">
        <f t="shared" si="41"/>
        <v>281.52610854201225</v>
      </c>
      <c r="Q196" s="20">
        <f t="shared" si="41"/>
        <v>281.52610854201225</v>
      </c>
      <c r="R196" s="20">
        <f t="shared" si="41"/>
        <v>281.52610854201225</v>
      </c>
      <c r="S196" s="20">
        <f t="shared" si="41"/>
        <v>281.52610854201225</v>
      </c>
      <c r="T196" s="20">
        <f t="shared" si="41"/>
        <v>281.52610854201225</v>
      </c>
      <c r="U196" s="20">
        <f t="shared" si="41"/>
        <v>281.52610854201225</v>
      </c>
    </row>
    <row r="197" spans="1:21">
      <c r="A197" s="15" t="s">
        <v>266</v>
      </c>
      <c r="B197" s="22" t="str">
        <f>A38</f>
        <v>BTP 3,15% nov 2031</v>
      </c>
      <c r="C197" s="13">
        <f>EDATE($B$38,-6*5)</f>
        <v>47253</v>
      </c>
      <c r="D197" s="23">
        <f>MAX(1,(YEAR(C197)-YEAR('1 - Titoli e shock'!$B$6))+IF(MONTH(C197)*100+DAY(C197)&gt;MONTH('1 - Titoli e shock'!$B$6)*100+DAY('1 - Titoli e shock'!$B$6),1,0))</f>
        <v>3</v>
      </c>
      <c r="E197" s="20">
        <f>IF(C197&lt;='1 - Titoli e shock'!$B$17,('1 - Titoli e shock'!$C$25*100/2-'1 - Titoli e shock'!$B$8*'1 - Titoli e shock'!$C$25*100/2*IF(EDATE(C197,-6)&lt;='1 - Titoli e shock'!$B$6,(C197-'1 - Titoli e shock'!$B$6)/(C197-EDATE(C197,-6)),1))*$C$38,0)</f>
        <v>281.52610854201225</v>
      </c>
      <c r="F197" s="20">
        <f t="shared" si="41"/>
        <v>281.52610854201225</v>
      </c>
      <c r="G197" s="20">
        <f t="shared" si="41"/>
        <v>281.52610854201225</v>
      </c>
      <c r="H197" s="20">
        <f t="shared" si="41"/>
        <v>281.52610854201225</v>
      </c>
      <c r="I197" s="20">
        <f t="shared" si="41"/>
        <v>281.52610854201225</v>
      </c>
      <c r="J197" s="20">
        <f t="shared" si="41"/>
        <v>281.52610854201225</v>
      </c>
      <c r="K197" s="20">
        <f t="shared" si="41"/>
        <v>281.52610854201225</v>
      </c>
      <c r="L197" s="20">
        <f t="shared" si="41"/>
        <v>281.52610854201225</v>
      </c>
      <c r="M197" s="20">
        <f t="shared" si="41"/>
        <v>281.52610854201225</v>
      </c>
      <c r="N197" s="20">
        <f t="shared" si="41"/>
        <v>281.52610854201225</v>
      </c>
      <c r="O197" s="20">
        <f t="shared" si="41"/>
        <v>281.52610854201225</v>
      </c>
      <c r="P197" s="20">
        <f t="shared" si="41"/>
        <v>281.52610854201225</v>
      </c>
      <c r="Q197" s="20">
        <f t="shared" si="41"/>
        <v>281.52610854201225</v>
      </c>
      <c r="R197" s="20">
        <f t="shared" si="41"/>
        <v>281.52610854201225</v>
      </c>
      <c r="S197" s="20">
        <f t="shared" si="41"/>
        <v>281.52610854201225</v>
      </c>
      <c r="T197" s="20">
        <f t="shared" si="41"/>
        <v>281.52610854201225</v>
      </c>
      <c r="U197" s="20">
        <f t="shared" si="41"/>
        <v>281.52610854201225</v>
      </c>
    </row>
    <row r="198" spans="1:21">
      <c r="A198" s="15" t="s">
        <v>266</v>
      </c>
      <c r="B198" s="22" t="str">
        <f>A38</f>
        <v>BTP 3,15% nov 2031</v>
      </c>
      <c r="C198" s="13">
        <f>EDATE($B$38,-6*4)</f>
        <v>47437</v>
      </c>
      <c r="D198" s="23">
        <f>MAX(1,(YEAR(C198)-YEAR('1 - Titoli e shock'!$B$6))+IF(MONTH(C198)*100+DAY(C198)&gt;MONTH('1 - Titoli e shock'!$B$6)*100+DAY('1 - Titoli e shock'!$B$6),1,0))</f>
        <v>4</v>
      </c>
      <c r="E198" s="20">
        <f>IF(C198&lt;='1 - Titoli e shock'!$B$17,('1 - Titoli e shock'!$C$25*100/2-'1 - Titoli e shock'!$B$8*'1 - Titoli e shock'!$C$25*100/2*IF(EDATE(C198,-6)&lt;='1 - Titoli e shock'!$B$6,(C198-'1 - Titoli e shock'!$B$6)/(C198-EDATE(C198,-6)),1))*$C$38,0)</f>
        <v>281.52610854201225</v>
      </c>
      <c r="F198" s="20">
        <f t="shared" si="41"/>
        <v>281.52610854201225</v>
      </c>
      <c r="G198" s="20">
        <f t="shared" si="41"/>
        <v>281.52610854201225</v>
      </c>
      <c r="H198" s="20">
        <f t="shared" si="41"/>
        <v>281.52610854201225</v>
      </c>
      <c r="I198" s="20">
        <f t="shared" si="41"/>
        <v>281.52610854201225</v>
      </c>
      <c r="J198" s="20">
        <f t="shared" si="41"/>
        <v>281.52610854201225</v>
      </c>
      <c r="K198" s="20">
        <f t="shared" si="41"/>
        <v>281.52610854201225</v>
      </c>
      <c r="L198" s="20">
        <f t="shared" si="41"/>
        <v>281.52610854201225</v>
      </c>
      <c r="M198" s="20">
        <f t="shared" si="41"/>
        <v>281.52610854201225</v>
      </c>
      <c r="N198" s="20">
        <f t="shared" si="41"/>
        <v>281.52610854201225</v>
      </c>
      <c r="O198" s="20">
        <f t="shared" si="41"/>
        <v>281.52610854201225</v>
      </c>
      <c r="P198" s="20">
        <f t="shared" si="41"/>
        <v>281.52610854201225</v>
      </c>
      <c r="Q198" s="20">
        <f t="shared" si="41"/>
        <v>281.52610854201225</v>
      </c>
      <c r="R198" s="20">
        <f t="shared" si="41"/>
        <v>281.52610854201225</v>
      </c>
      <c r="S198" s="20">
        <f t="shared" si="41"/>
        <v>281.52610854201225</v>
      </c>
      <c r="T198" s="20">
        <f t="shared" si="41"/>
        <v>281.52610854201225</v>
      </c>
      <c r="U198" s="20">
        <f t="shared" si="41"/>
        <v>281.52610854201225</v>
      </c>
    </row>
    <row r="199" spans="1:21">
      <c r="A199" s="15" t="s">
        <v>266</v>
      </c>
      <c r="B199" s="22" t="str">
        <f>A38</f>
        <v>BTP 3,15% nov 2031</v>
      </c>
      <c r="C199" s="13">
        <f>EDATE($B$38,-6*3)</f>
        <v>47618</v>
      </c>
      <c r="D199" s="23">
        <f>MAX(1,(YEAR(C199)-YEAR('1 - Titoli e shock'!$B$6))+IF(MONTH(C199)*100+DAY(C199)&gt;MONTH('1 - Titoli e shock'!$B$6)*100+DAY('1 - Titoli e shock'!$B$6),1,0))</f>
        <v>4</v>
      </c>
      <c r="E199" s="20">
        <f>IF(C199&lt;='1 - Titoli e shock'!$B$17,('1 - Titoli e shock'!$C$25*100/2-'1 - Titoli e shock'!$B$8*'1 - Titoli e shock'!$C$25*100/2*IF(EDATE(C199,-6)&lt;='1 - Titoli e shock'!$B$6,(C199-'1 - Titoli e shock'!$B$6)/(C199-EDATE(C199,-6)),1))*$C$38,0)</f>
        <v>281.52610854201225</v>
      </c>
      <c r="F199" s="20">
        <f t="shared" si="41"/>
        <v>281.52610854201225</v>
      </c>
      <c r="G199" s="20">
        <f t="shared" si="41"/>
        <v>281.52610854201225</v>
      </c>
      <c r="H199" s="20">
        <f t="shared" si="41"/>
        <v>281.52610854201225</v>
      </c>
      <c r="I199" s="20">
        <f t="shared" si="41"/>
        <v>281.52610854201225</v>
      </c>
      <c r="J199" s="20">
        <f t="shared" si="41"/>
        <v>281.52610854201225</v>
      </c>
      <c r="K199" s="20">
        <f t="shared" si="41"/>
        <v>281.52610854201225</v>
      </c>
      <c r="L199" s="20">
        <f t="shared" si="41"/>
        <v>281.52610854201225</v>
      </c>
      <c r="M199" s="20">
        <f t="shared" si="41"/>
        <v>281.52610854201225</v>
      </c>
      <c r="N199" s="20">
        <f t="shared" si="41"/>
        <v>281.52610854201225</v>
      </c>
      <c r="O199" s="20">
        <f t="shared" si="41"/>
        <v>281.52610854201225</v>
      </c>
      <c r="P199" s="20">
        <f t="shared" si="41"/>
        <v>281.52610854201225</v>
      </c>
      <c r="Q199" s="20">
        <f t="shared" si="41"/>
        <v>281.52610854201225</v>
      </c>
      <c r="R199" s="20">
        <f t="shared" si="41"/>
        <v>281.52610854201225</v>
      </c>
      <c r="S199" s="20">
        <f t="shared" si="41"/>
        <v>281.52610854201225</v>
      </c>
      <c r="T199" s="20">
        <f t="shared" si="41"/>
        <v>281.52610854201225</v>
      </c>
      <c r="U199" s="20">
        <f t="shared" si="41"/>
        <v>281.52610854201225</v>
      </c>
    </row>
    <row r="200" spans="1:21">
      <c r="A200" s="15" t="s">
        <v>266</v>
      </c>
      <c r="B200" s="22" t="str">
        <f>A38</f>
        <v>BTP 3,15% nov 2031</v>
      </c>
      <c r="C200" s="13">
        <f>EDATE($B$38,-6*2)</f>
        <v>47802</v>
      </c>
      <c r="D200" s="23">
        <f>MAX(1,(YEAR(C200)-YEAR('1 - Titoli e shock'!$B$6))+IF(MONTH(C200)*100+DAY(C200)&gt;MONTH('1 - Titoli e shock'!$B$6)*100+DAY('1 - Titoli e shock'!$B$6),1,0))</f>
        <v>5</v>
      </c>
      <c r="E200" s="20">
        <f>IF(C200&lt;='1 - Titoli e shock'!$B$17,('1 - Titoli e shock'!$C$25*100/2-'1 - Titoli e shock'!$B$8*'1 - Titoli e shock'!$C$25*100/2*IF(EDATE(C200,-6)&lt;='1 - Titoli e shock'!$B$6,(C200-'1 - Titoli e shock'!$B$6)/(C200-EDATE(C200,-6)),1))*$C$38,0)</f>
        <v>281.52610854201225</v>
      </c>
      <c r="F200" s="20">
        <f t="shared" si="41"/>
        <v>281.52610854201225</v>
      </c>
      <c r="G200" s="20">
        <f t="shared" si="41"/>
        <v>281.52610854201225</v>
      </c>
      <c r="H200" s="20">
        <f t="shared" si="41"/>
        <v>281.52610854201225</v>
      </c>
      <c r="I200" s="20">
        <f t="shared" si="41"/>
        <v>281.52610854201225</v>
      </c>
      <c r="J200" s="20">
        <f t="shared" si="41"/>
        <v>281.52610854201225</v>
      </c>
      <c r="K200" s="20">
        <f t="shared" si="41"/>
        <v>281.52610854201225</v>
      </c>
      <c r="L200" s="20">
        <f t="shared" si="41"/>
        <v>281.52610854201225</v>
      </c>
      <c r="M200" s="20">
        <f t="shared" si="41"/>
        <v>281.52610854201225</v>
      </c>
      <c r="N200" s="20">
        <f t="shared" si="41"/>
        <v>281.52610854201225</v>
      </c>
      <c r="O200" s="20">
        <f t="shared" si="41"/>
        <v>281.52610854201225</v>
      </c>
      <c r="P200" s="20">
        <f t="shared" si="41"/>
        <v>281.52610854201225</v>
      </c>
      <c r="Q200" s="20">
        <f t="shared" si="41"/>
        <v>281.52610854201225</v>
      </c>
      <c r="R200" s="20">
        <f t="shared" si="41"/>
        <v>281.52610854201225</v>
      </c>
      <c r="S200" s="20">
        <f t="shared" si="41"/>
        <v>281.52610854201225</v>
      </c>
      <c r="T200" s="20">
        <f t="shared" si="41"/>
        <v>281.52610854201225</v>
      </c>
      <c r="U200" s="20">
        <f t="shared" si="41"/>
        <v>281.52610854201225</v>
      </c>
    </row>
    <row r="201" spans="1:21">
      <c r="A201" s="15" t="s">
        <v>266</v>
      </c>
      <c r="B201" s="22" t="str">
        <f>A38</f>
        <v>BTP 3,15% nov 2031</v>
      </c>
      <c r="C201" s="13">
        <f>EDATE($B$38,-6*1)</f>
        <v>47983</v>
      </c>
      <c r="D201" s="23">
        <f>MAX(1,(YEAR(C201)-YEAR('1 - Titoli e shock'!$B$6))+IF(MONTH(C201)*100+DAY(C201)&gt;MONTH('1 - Titoli e shock'!$B$6)*100+DAY('1 - Titoli e shock'!$B$6),1,0))</f>
        <v>5</v>
      </c>
      <c r="E201" s="20">
        <f>IF(C201&lt;='1 - Titoli e shock'!$B$17,('1 - Titoli e shock'!$C$25*100/2-'1 - Titoli e shock'!$B$8*'1 - Titoli e shock'!$C$25*100/2*IF(EDATE(C201,-6)&lt;='1 - Titoli e shock'!$B$6,(C201-'1 - Titoli e shock'!$B$6)/(C201-EDATE(C201,-6)),1))*$C$38,0)</f>
        <v>281.52610854201225</v>
      </c>
      <c r="F201" s="20">
        <f t="shared" ref="F201:U210" si="42">$E201</f>
        <v>281.52610854201225</v>
      </c>
      <c r="G201" s="20">
        <f t="shared" si="42"/>
        <v>281.52610854201225</v>
      </c>
      <c r="H201" s="20">
        <f t="shared" si="42"/>
        <v>281.52610854201225</v>
      </c>
      <c r="I201" s="20">
        <f t="shared" si="42"/>
        <v>281.52610854201225</v>
      </c>
      <c r="J201" s="20">
        <f t="shared" si="42"/>
        <v>281.52610854201225</v>
      </c>
      <c r="K201" s="20">
        <f t="shared" si="42"/>
        <v>281.52610854201225</v>
      </c>
      <c r="L201" s="20">
        <f t="shared" si="42"/>
        <v>281.52610854201225</v>
      </c>
      <c r="M201" s="20">
        <f t="shared" si="42"/>
        <v>281.52610854201225</v>
      </c>
      <c r="N201" s="20">
        <f t="shared" si="42"/>
        <v>281.52610854201225</v>
      </c>
      <c r="O201" s="20">
        <f t="shared" si="42"/>
        <v>281.52610854201225</v>
      </c>
      <c r="P201" s="20">
        <f t="shared" si="42"/>
        <v>281.52610854201225</v>
      </c>
      <c r="Q201" s="20">
        <f t="shared" si="42"/>
        <v>281.52610854201225</v>
      </c>
      <c r="R201" s="20">
        <f t="shared" si="42"/>
        <v>281.52610854201225</v>
      </c>
      <c r="S201" s="20">
        <f t="shared" si="42"/>
        <v>281.52610854201225</v>
      </c>
      <c r="T201" s="20">
        <f t="shared" si="42"/>
        <v>281.52610854201225</v>
      </c>
      <c r="U201" s="20">
        <f t="shared" si="42"/>
        <v>281.52610854201225</v>
      </c>
    </row>
    <row r="202" spans="1:21">
      <c r="A202" s="15" t="s">
        <v>266</v>
      </c>
      <c r="B202" s="22" t="str">
        <f>A38</f>
        <v>BTP 3,15% nov 2031</v>
      </c>
      <c r="C202" s="13">
        <f>EDATE($B$38,-6*0)</f>
        <v>48167</v>
      </c>
      <c r="D202" s="23">
        <f>MAX(1,(YEAR(C202)-YEAR('1 - Titoli e shock'!$B$6))+IF(MONTH(C202)*100+DAY(C202)&gt;MONTH('1 - Titoli e shock'!$B$6)*100+DAY('1 - Titoli e shock'!$B$6),1,0))</f>
        <v>6</v>
      </c>
      <c r="E202" s="20">
        <f>IF(C202&lt;='1 - Titoli e shock'!$B$17,('1 - Titoli e shock'!$C$25*100/2-'1 - Titoli e shock'!$B$8*'1 - Titoli e shock'!$C$25*100/2*IF(EDATE(C202,-6)&lt;='1 - Titoli e shock'!$B$6,(C202-'1 - Titoli e shock'!$B$6)/(C202-EDATE(C202,-6)),1))*$C$38,0)</f>
        <v>281.52610854201225</v>
      </c>
      <c r="F202" s="20">
        <f t="shared" si="42"/>
        <v>281.52610854201225</v>
      </c>
      <c r="G202" s="20">
        <f t="shared" si="42"/>
        <v>281.52610854201225</v>
      </c>
      <c r="H202" s="20">
        <f t="shared" si="42"/>
        <v>281.52610854201225</v>
      </c>
      <c r="I202" s="20">
        <f t="shared" si="42"/>
        <v>281.52610854201225</v>
      </c>
      <c r="J202" s="20">
        <f t="shared" si="42"/>
        <v>281.52610854201225</v>
      </c>
      <c r="K202" s="20">
        <f t="shared" si="42"/>
        <v>281.52610854201225</v>
      </c>
      <c r="L202" s="20">
        <f t="shared" si="42"/>
        <v>281.52610854201225</v>
      </c>
      <c r="M202" s="20">
        <f t="shared" si="42"/>
        <v>281.52610854201225</v>
      </c>
      <c r="N202" s="20">
        <f t="shared" si="42"/>
        <v>281.52610854201225</v>
      </c>
      <c r="O202" s="20">
        <f t="shared" si="42"/>
        <v>281.52610854201225</v>
      </c>
      <c r="P202" s="20">
        <f t="shared" si="42"/>
        <v>281.52610854201225</v>
      </c>
      <c r="Q202" s="20">
        <f t="shared" si="42"/>
        <v>281.52610854201225</v>
      </c>
      <c r="R202" s="20">
        <f t="shared" si="42"/>
        <v>281.52610854201225</v>
      </c>
      <c r="S202" s="20">
        <f t="shared" si="42"/>
        <v>281.52610854201225</v>
      </c>
      <c r="T202" s="20">
        <f t="shared" si="42"/>
        <v>281.52610854201225</v>
      </c>
      <c r="U202" s="20">
        <f t="shared" si="42"/>
        <v>281.52610854201225</v>
      </c>
    </row>
    <row r="203" spans="1:21">
      <c r="A203" s="15" t="s">
        <v>266</v>
      </c>
      <c r="B203" s="22" t="str">
        <f>A39</f>
        <v>BTP 3,25% nov 2032</v>
      </c>
      <c r="C203" s="13">
        <f>EDATE($B$39,-6*12)</f>
        <v>46341</v>
      </c>
      <c r="D203" s="23">
        <f>MAX(1,(YEAR(C203)-YEAR('1 - Titoli e shock'!$B$6))+IF(MONTH(C203)*100+DAY(C203)&gt;MONTH('1 - Titoli e shock'!$B$6)*100+DAY('1 - Titoli e shock'!$B$6),1,0))</f>
        <v>1</v>
      </c>
      <c r="E203" s="20">
        <f>IF(C203&lt;='1 - Titoli e shock'!$B$17,('1 - Titoli e shock'!$C$26*100/2-'1 - Titoli e shock'!$B$8*'1 - Titoli e shock'!$C$26*100/2*IF(EDATE(C203,-6)&lt;='1 - Titoli e shock'!$B$6,(C203-'1 - Titoli e shock'!$B$6)/(C203-EDATE(C203,-6)),1))*$C$39,0)</f>
        <v>327.93713662435454</v>
      </c>
      <c r="F203" s="20">
        <f t="shared" si="42"/>
        <v>327.93713662435454</v>
      </c>
      <c r="G203" s="20">
        <f t="shared" si="42"/>
        <v>327.93713662435454</v>
      </c>
      <c r="H203" s="20">
        <f t="shared" si="42"/>
        <v>327.93713662435454</v>
      </c>
      <c r="I203" s="20">
        <f t="shared" si="42"/>
        <v>327.93713662435454</v>
      </c>
      <c r="J203" s="20">
        <f t="shared" si="42"/>
        <v>327.93713662435454</v>
      </c>
      <c r="K203" s="20">
        <f t="shared" si="42"/>
        <v>327.93713662435454</v>
      </c>
      <c r="L203" s="20">
        <f t="shared" si="42"/>
        <v>327.93713662435454</v>
      </c>
      <c r="M203" s="20">
        <f t="shared" si="42"/>
        <v>327.93713662435454</v>
      </c>
      <c r="N203" s="20">
        <f t="shared" si="42"/>
        <v>327.93713662435454</v>
      </c>
      <c r="O203" s="20">
        <f t="shared" si="42"/>
        <v>327.93713662435454</v>
      </c>
      <c r="P203" s="20">
        <f t="shared" si="42"/>
        <v>327.93713662435454</v>
      </c>
      <c r="Q203" s="20">
        <f t="shared" si="42"/>
        <v>327.93713662435454</v>
      </c>
      <c r="R203" s="20">
        <f t="shared" si="42"/>
        <v>327.93713662435454</v>
      </c>
      <c r="S203" s="20">
        <f t="shared" si="42"/>
        <v>327.93713662435454</v>
      </c>
      <c r="T203" s="20">
        <f t="shared" si="42"/>
        <v>327.93713662435454</v>
      </c>
      <c r="U203" s="20">
        <f t="shared" si="42"/>
        <v>327.93713662435454</v>
      </c>
    </row>
    <row r="204" spans="1:21">
      <c r="A204" s="15" t="s">
        <v>266</v>
      </c>
      <c r="B204" s="22" t="str">
        <f>A39</f>
        <v>BTP 3,25% nov 2032</v>
      </c>
      <c r="C204" s="13">
        <f>EDATE($B$39,-6*11)</f>
        <v>46522</v>
      </c>
      <c r="D204" s="23">
        <f>MAX(1,(YEAR(C204)-YEAR('1 - Titoli e shock'!$B$6))+IF(MONTH(C204)*100+DAY(C204)&gt;MONTH('1 - Titoli e shock'!$B$6)*100+DAY('1 - Titoli e shock'!$B$6),1,0))</f>
        <v>1</v>
      </c>
      <c r="E204" s="20">
        <f>IF(C204&lt;='1 - Titoli e shock'!$B$17,('1 - Titoli e shock'!$C$26*100/2-'1 - Titoli e shock'!$B$8*'1 - Titoli e shock'!$C$26*100/2*IF(EDATE(C204,-6)&lt;='1 - Titoli e shock'!$B$6,(C204-'1 - Titoli e shock'!$B$6)/(C204-EDATE(C204,-6)),1))*$C$39,0)</f>
        <v>292.30659652053197</v>
      </c>
      <c r="F204" s="20">
        <f t="shared" si="42"/>
        <v>292.30659652053197</v>
      </c>
      <c r="G204" s="20">
        <f t="shared" si="42"/>
        <v>292.30659652053197</v>
      </c>
      <c r="H204" s="20">
        <f t="shared" si="42"/>
        <v>292.30659652053197</v>
      </c>
      <c r="I204" s="20">
        <f t="shared" si="42"/>
        <v>292.30659652053197</v>
      </c>
      <c r="J204" s="20">
        <f t="shared" si="42"/>
        <v>292.30659652053197</v>
      </c>
      <c r="K204" s="20">
        <f t="shared" si="42"/>
        <v>292.30659652053197</v>
      </c>
      <c r="L204" s="20">
        <f t="shared" si="42"/>
        <v>292.30659652053197</v>
      </c>
      <c r="M204" s="20">
        <f t="shared" si="42"/>
        <v>292.30659652053197</v>
      </c>
      <c r="N204" s="20">
        <f t="shared" si="42"/>
        <v>292.30659652053197</v>
      </c>
      <c r="O204" s="20">
        <f t="shared" si="42"/>
        <v>292.30659652053197</v>
      </c>
      <c r="P204" s="20">
        <f t="shared" si="42"/>
        <v>292.30659652053197</v>
      </c>
      <c r="Q204" s="20">
        <f t="shared" si="42"/>
        <v>292.30659652053197</v>
      </c>
      <c r="R204" s="20">
        <f t="shared" si="42"/>
        <v>292.30659652053197</v>
      </c>
      <c r="S204" s="20">
        <f t="shared" si="42"/>
        <v>292.30659652053197</v>
      </c>
      <c r="T204" s="20">
        <f t="shared" si="42"/>
        <v>292.30659652053197</v>
      </c>
      <c r="U204" s="20">
        <f t="shared" si="42"/>
        <v>292.30659652053197</v>
      </c>
    </row>
    <row r="205" spans="1:21">
      <c r="A205" s="15" t="s">
        <v>266</v>
      </c>
      <c r="B205" s="22" t="str">
        <f>A39</f>
        <v>BTP 3,25% nov 2032</v>
      </c>
      <c r="C205" s="13">
        <f>EDATE($B$39,-6*10)</f>
        <v>46706</v>
      </c>
      <c r="D205" s="23">
        <f>MAX(1,(YEAR(C205)-YEAR('1 - Titoli e shock'!$B$6))+IF(MONTH(C205)*100+DAY(C205)&gt;MONTH('1 - Titoli e shock'!$B$6)*100+DAY('1 - Titoli e shock'!$B$6),1,0))</f>
        <v>2</v>
      </c>
      <c r="E205" s="20">
        <f>IF(C205&lt;='1 - Titoli e shock'!$B$17,('1 - Titoli e shock'!$C$26*100/2-'1 - Titoli e shock'!$B$8*'1 - Titoli e shock'!$C$26*100/2*IF(EDATE(C205,-6)&lt;='1 - Titoli e shock'!$B$6,(C205-'1 - Titoli e shock'!$B$6)/(C205-EDATE(C205,-6)),1))*$C$39,0)</f>
        <v>292.30659652053197</v>
      </c>
      <c r="F205" s="20">
        <f t="shared" si="42"/>
        <v>292.30659652053197</v>
      </c>
      <c r="G205" s="20">
        <f t="shared" si="42"/>
        <v>292.30659652053197</v>
      </c>
      <c r="H205" s="20">
        <f t="shared" si="42"/>
        <v>292.30659652053197</v>
      </c>
      <c r="I205" s="20">
        <f t="shared" si="42"/>
        <v>292.30659652053197</v>
      </c>
      <c r="J205" s="20">
        <f t="shared" si="42"/>
        <v>292.30659652053197</v>
      </c>
      <c r="K205" s="20">
        <f t="shared" si="42"/>
        <v>292.30659652053197</v>
      </c>
      <c r="L205" s="20">
        <f t="shared" si="42"/>
        <v>292.30659652053197</v>
      </c>
      <c r="M205" s="20">
        <f t="shared" si="42"/>
        <v>292.30659652053197</v>
      </c>
      <c r="N205" s="20">
        <f t="shared" si="42"/>
        <v>292.30659652053197</v>
      </c>
      <c r="O205" s="20">
        <f t="shared" si="42"/>
        <v>292.30659652053197</v>
      </c>
      <c r="P205" s="20">
        <f t="shared" si="42"/>
        <v>292.30659652053197</v>
      </c>
      <c r="Q205" s="20">
        <f t="shared" si="42"/>
        <v>292.30659652053197</v>
      </c>
      <c r="R205" s="20">
        <f t="shared" si="42"/>
        <v>292.30659652053197</v>
      </c>
      <c r="S205" s="20">
        <f t="shared" si="42"/>
        <v>292.30659652053197</v>
      </c>
      <c r="T205" s="20">
        <f t="shared" si="42"/>
        <v>292.30659652053197</v>
      </c>
      <c r="U205" s="20">
        <f t="shared" si="42"/>
        <v>292.30659652053197</v>
      </c>
    </row>
    <row r="206" spans="1:21">
      <c r="A206" s="15" t="s">
        <v>266</v>
      </c>
      <c r="B206" s="22" t="str">
        <f>A39</f>
        <v>BTP 3,25% nov 2032</v>
      </c>
      <c r="C206" s="13">
        <f>EDATE($B$39,-6*9)</f>
        <v>46888</v>
      </c>
      <c r="D206" s="23">
        <f>MAX(1,(YEAR(C206)-YEAR('1 - Titoli e shock'!$B$6))+IF(MONTH(C206)*100+DAY(C206)&gt;MONTH('1 - Titoli e shock'!$B$6)*100+DAY('1 - Titoli e shock'!$B$6),1,0))</f>
        <v>2</v>
      </c>
      <c r="E206" s="20">
        <f>IF(C206&lt;='1 - Titoli e shock'!$B$17,('1 - Titoli e shock'!$C$26*100/2-'1 - Titoli e shock'!$B$8*'1 - Titoli e shock'!$C$26*100/2*IF(EDATE(C206,-6)&lt;='1 - Titoli e shock'!$B$6,(C206-'1 - Titoli e shock'!$B$6)/(C206-EDATE(C206,-6)),1))*$C$39,0)</f>
        <v>292.30659652053197</v>
      </c>
      <c r="F206" s="20">
        <f t="shared" si="42"/>
        <v>292.30659652053197</v>
      </c>
      <c r="G206" s="20">
        <f t="shared" si="42"/>
        <v>292.30659652053197</v>
      </c>
      <c r="H206" s="20">
        <f t="shared" si="42"/>
        <v>292.30659652053197</v>
      </c>
      <c r="I206" s="20">
        <f t="shared" si="42"/>
        <v>292.30659652053197</v>
      </c>
      <c r="J206" s="20">
        <f t="shared" si="42"/>
        <v>292.30659652053197</v>
      </c>
      <c r="K206" s="20">
        <f t="shared" si="42"/>
        <v>292.30659652053197</v>
      </c>
      <c r="L206" s="20">
        <f t="shared" si="42"/>
        <v>292.30659652053197</v>
      </c>
      <c r="M206" s="20">
        <f t="shared" si="42"/>
        <v>292.30659652053197</v>
      </c>
      <c r="N206" s="20">
        <f t="shared" si="42"/>
        <v>292.30659652053197</v>
      </c>
      <c r="O206" s="20">
        <f t="shared" si="42"/>
        <v>292.30659652053197</v>
      </c>
      <c r="P206" s="20">
        <f t="shared" si="42"/>
        <v>292.30659652053197</v>
      </c>
      <c r="Q206" s="20">
        <f t="shared" si="42"/>
        <v>292.30659652053197</v>
      </c>
      <c r="R206" s="20">
        <f t="shared" si="42"/>
        <v>292.30659652053197</v>
      </c>
      <c r="S206" s="20">
        <f t="shared" si="42"/>
        <v>292.30659652053197</v>
      </c>
      <c r="T206" s="20">
        <f t="shared" si="42"/>
        <v>292.30659652053197</v>
      </c>
      <c r="U206" s="20">
        <f t="shared" si="42"/>
        <v>292.30659652053197</v>
      </c>
    </row>
    <row r="207" spans="1:21">
      <c r="A207" s="15" t="s">
        <v>266</v>
      </c>
      <c r="B207" s="22" t="str">
        <f>A39</f>
        <v>BTP 3,25% nov 2032</v>
      </c>
      <c r="C207" s="13">
        <f>EDATE($B$39,-6*8)</f>
        <v>47072</v>
      </c>
      <c r="D207" s="23">
        <f>MAX(1,(YEAR(C207)-YEAR('1 - Titoli e shock'!$B$6))+IF(MONTH(C207)*100+DAY(C207)&gt;MONTH('1 - Titoli e shock'!$B$6)*100+DAY('1 - Titoli e shock'!$B$6),1,0))</f>
        <v>3</v>
      </c>
      <c r="E207" s="20">
        <f>IF(C207&lt;='1 - Titoli e shock'!$B$17,('1 - Titoli e shock'!$C$26*100/2-'1 - Titoli e shock'!$B$8*'1 - Titoli e shock'!$C$26*100/2*IF(EDATE(C207,-6)&lt;='1 - Titoli e shock'!$B$6,(C207-'1 - Titoli e shock'!$B$6)/(C207-EDATE(C207,-6)),1))*$C$39,0)</f>
        <v>292.30659652053197</v>
      </c>
      <c r="F207" s="20">
        <f t="shared" si="42"/>
        <v>292.30659652053197</v>
      </c>
      <c r="G207" s="20">
        <f t="shared" si="42"/>
        <v>292.30659652053197</v>
      </c>
      <c r="H207" s="20">
        <f t="shared" si="42"/>
        <v>292.30659652053197</v>
      </c>
      <c r="I207" s="20">
        <f t="shared" si="42"/>
        <v>292.30659652053197</v>
      </c>
      <c r="J207" s="20">
        <f t="shared" si="42"/>
        <v>292.30659652053197</v>
      </c>
      <c r="K207" s="20">
        <f t="shared" si="42"/>
        <v>292.30659652053197</v>
      </c>
      <c r="L207" s="20">
        <f t="shared" si="42"/>
        <v>292.30659652053197</v>
      </c>
      <c r="M207" s="20">
        <f t="shared" si="42"/>
        <v>292.30659652053197</v>
      </c>
      <c r="N207" s="20">
        <f t="shared" si="42"/>
        <v>292.30659652053197</v>
      </c>
      <c r="O207" s="20">
        <f t="shared" si="42"/>
        <v>292.30659652053197</v>
      </c>
      <c r="P207" s="20">
        <f t="shared" si="42"/>
        <v>292.30659652053197</v>
      </c>
      <c r="Q207" s="20">
        <f t="shared" si="42"/>
        <v>292.30659652053197</v>
      </c>
      <c r="R207" s="20">
        <f t="shared" si="42"/>
        <v>292.30659652053197</v>
      </c>
      <c r="S207" s="20">
        <f t="shared" si="42"/>
        <v>292.30659652053197</v>
      </c>
      <c r="T207" s="20">
        <f t="shared" si="42"/>
        <v>292.30659652053197</v>
      </c>
      <c r="U207" s="20">
        <f t="shared" si="42"/>
        <v>292.30659652053197</v>
      </c>
    </row>
    <row r="208" spans="1:21">
      <c r="A208" s="15" t="s">
        <v>266</v>
      </c>
      <c r="B208" s="22" t="str">
        <f>A39</f>
        <v>BTP 3,25% nov 2032</v>
      </c>
      <c r="C208" s="13">
        <f>EDATE($B$39,-6*7)</f>
        <v>47253</v>
      </c>
      <c r="D208" s="23">
        <f>MAX(1,(YEAR(C208)-YEAR('1 - Titoli e shock'!$B$6))+IF(MONTH(C208)*100+DAY(C208)&gt;MONTH('1 - Titoli e shock'!$B$6)*100+DAY('1 - Titoli e shock'!$B$6),1,0))</f>
        <v>3</v>
      </c>
      <c r="E208" s="20">
        <f>IF(C208&lt;='1 - Titoli e shock'!$B$17,('1 - Titoli e shock'!$C$26*100/2-'1 - Titoli e shock'!$B$8*'1 - Titoli e shock'!$C$26*100/2*IF(EDATE(C208,-6)&lt;='1 - Titoli e shock'!$B$6,(C208-'1 - Titoli e shock'!$B$6)/(C208-EDATE(C208,-6)),1))*$C$39,0)</f>
        <v>292.30659652053197</v>
      </c>
      <c r="F208" s="20">
        <f t="shared" si="42"/>
        <v>292.30659652053197</v>
      </c>
      <c r="G208" s="20">
        <f t="shared" si="42"/>
        <v>292.30659652053197</v>
      </c>
      <c r="H208" s="20">
        <f t="shared" si="42"/>
        <v>292.30659652053197</v>
      </c>
      <c r="I208" s="20">
        <f t="shared" si="42"/>
        <v>292.30659652053197</v>
      </c>
      <c r="J208" s="20">
        <f t="shared" si="42"/>
        <v>292.30659652053197</v>
      </c>
      <c r="K208" s="20">
        <f t="shared" si="42"/>
        <v>292.30659652053197</v>
      </c>
      <c r="L208" s="20">
        <f t="shared" si="42"/>
        <v>292.30659652053197</v>
      </c>
      <c r="M208" s="20">
        <f t="shared" si="42"/>
        <v>292.30659652053197</v>
      </c>
      <c r="N208" s="20">
        <f t="shared" si="42"/>
        <v>292.30659652053197</v>
      </c>
      <c r="O208" s="20">
        <f t="shared" si="42"/>
        <v>292.30659652053197</v>
      </c>
      <c r="P208" s="20">
        <f t="shared" si="42"/>
        <v>292.30659652053197</v>
      </c>
      <c r="Q208" s="20">
        <f t="shared" si="42"/>
        <v>292.30659652053197</v>
      </c>
      <c r="R208" s="20">
        <f t="shared" si="42"/>
        <v>292.30659652053197</v>
      </c>
      <c r="S208" s="20">
        <f t="shared" si="42"/>
        <v>292.30659652053197</v>
      </c>
      <c r="T208" s="20">
        <f t="shared" si="42"/>
        <v>292.30659652053197</v>
      </c>
      <c r="U208" s="20">
        <f t="shared" si="42"/>
        <v>292.30659652053197</v>
      </c>
    </row>
    <row r="209" spans="1:21">
      <c r="A209" s="15" t="s">
        <v>266</v>
      </c>
      <c r="B209" s="22" t="str">
        <f>A39</f>
        <v>BTP 3,25% nov 2032</v>
      </c>
      <c r="C209" s="13">
        <f>EDATE($B$39,-6*6)</f>
        <v>47437</v>
      </c>
      <c r="D209" s="23">
        <f>MAX(1,(YEAR(C209)-YEAR('1 - Titoli e shock'!$B$6))+IF(MONTH(C209)*100+DAY(C209)&gt;MONTH('1 - Titoli e shock'!$B$6)*100+DAY('1 - Titoli e shock'!$B$6),1,0))</f>
        <v>4</v>
      </c>
      <c r="E209" s="20">
        <f>IF(C209&lt;='1 - Titoli e shock'!$B$17,('1 - Titoli e shock'!$C$26*100/2-'1 - Titoli e shock'!$B$8*'1 - Titoli e shock'!$C$26*100/2*IF(EDATE(C209,-6)&lt;='1 - Titoli e shock'!$B$6,(C209-'1 - Titoli e shock'!$B$6)/(C209-EDATE(C209,-6)),1))*$C$39,0)</f>
        <v>292.30659652053197</v>
      </c>
      <c r="F209" s="20">
        <f t="shared" si="42"/>
        <v>292.30659652053197</v>
      </c>
      <c r="G209" s="20">
        <f t="shared" si="42"/>
        <v>292.30659652053197</v>
      </c>
      <c r="H209" s="20">
        <f t="shared" si="42"/>
        <v>292.30659652053197</v>
      </c>
      <c r="I209" s="20">
        <f t="shared" si="42"/>
        <v>292.30659652053197</v>
      </c>
      <c r="J209" s="20">
        <f t="shared" si="42"/>
        <v>292.30659652053197</v>
      </c>
      <c r="K209" s="20">
        <f t="shared" si="42"/>
        <v>292.30659652053197</v>
      </c>
      <c r="L209" s="20">
        <f t="shared" si="42"/>
        <v>292.30659652053197</v>
      </c>
      <c r="M209" s="20">
        <f t="shared" si="42"/>
        <v>292.30659652053197</v>
      </c>
      <c r="N209" s="20">
        <f t="shared" si="42"/>
        <v>292.30659652053197</v>
      </c>
      <c r="O209" s="20">
        <f t="shared" si="42"/>
        <v>292.30659652053197</v>
      </c>
      <c r="P209" s="20">
        <f t="shared" si="42"/>
        <v>292.30659652053197</v>
      </c>
      <c r="Q209" s="20">
        <f t="shared" si="42"/>
        <v>292.30659652053197</v>
      </c>
      <c r="R209" s="20">
        <f t="shared" si="42"/>
        <v>292.30659652053197</v>
      </c>
      <c r="S209" s="20">
        <f t="shared" si="42"/>
        <v>292.30659652053197</v>
      </c>
      <c r="T209" s="20">
        <f t="shared" si="42"/>
        <v>292.30659652053197</v>
      </c>
      <c r="U209" s="20">
        <f t="shared" si="42"/>
        <v>292.30659652053197</v>
      </c>
    </row>
    <row r="210" spans="1:21">
      <c r="A210" s="15" t="s">
        <v>266</v>
      </c>
      <c r="B210" s="22" t="str">
        <f>A39</f>
        <v>BTP 3,25% nov 2032</v>
      </c>
      <c r="C210" s="13">
        <f>EDATE($B$39,-6*5)</f>
        <v>47618</v>
      </c>
      <c r="D210" s="23">
        <f>MAX(1,(YEAR(C210)-YEAR('1 - Titoli e shock'!$B$6))+IF(MONTH(C210)*100+DAY(C210)&gt;MONTH('1 - Titoli e shock'!$B$6)*100+DAY('1 - Titoli e shock'!$B$6),1,0))</f>
        <v>4</v>
      </c>
      <c r="E210" s="20">
        <f>IF(C210&lt;='1 - Titoli e shock'!$B$17,('1 - Titoli e shock'!$C$26*100/2-'1 - Titoli e shock'!$B$8*'1 - Titoli e shock'!$C$26*100/2*IF(EDATE(C210,-6)&lt;='1 - Titoli e shock'!$B$6,(C210-'1 - Titoli e shock'!$B$6)/(C210-EDATE(C210,-6)),1))*$C$39,0)</f>
        <v>292.30659652053197</v>
      </c>
      <c r="F210" s="20">
        <f t="shared" si="42"/>
        <v>292.30659652053197</v>
      </c>
      <c r="G210" s="20">
        <f t="shared" si="42"/>
        <v>292.30659652053197</v>
      </c>
      <c r="H210" s="20">
        <f t="shared" si="42"/>
        <v>292.30659652053197</v>
      </c>
      <c r="I210" s="20">
        <f t="shared" si="42"/>
        <v>292.30659652053197</v>
      </c>
      <c r="J210" s="20">
        <f t="shared" si="42"/>
        <v>292.30659652053197</v>
      </c>
      <c r="K210" s="20">
        <f t="shared" si="42"/>
        <v>292.30659652053197</v>
      </c>
      <c r="L210" s="20">
        <f t="shared" si="42"/>
        <v>292.30659652053197</v>
      </c>
      <c r="M210" s="20">
        <f t="shared" si="42"/>
        <v>292.30659652053197</v>
      </c>
      <c r="N210" s="20">
        <f t="shared" si="42"/>
        <v>292.30659652053197</v>
      </c>
      <c r="O210" s="20">
        <f t="shared" si="42"/>
        <v>292.30659652053197</v>
      </c>
      <c r="P210" s="20">
        <f t="shared" si="42"/>
        <v>292.30659652053197</v>
      </c>
      <c r="Q210" s="20">
        <f t="shared" si="42"/>
        <v>292.30659652053197</v>
      </c>
      <c r="R210" s="20">
        <f t="shared" si="42"/>
        <v>292.30659652053197</v>
      </c>
      <c r="S210" s="20">
        <f t="shared" si="42"/>
        <v>292.30659652053197</v>
      </c>
      <c r="T210" s="20">
        <f t="shared" si="42"/>
        <v>292.30659652053197</v>
      </c>
      <c r="U210" s="20">
        <f t="shared" si="42"/>
        <v>292.30659652053197</v>
      </c>
    </row>
    <row r="211" spans="1:21">
      <c r="A211" s="15" t="s">
        <v>266</v>
      </c>
      <c r="B211" s="22" t="str">
        <f>A39</f>
        <v>BTP 3,25% nov 2032</v>
      </c>
      <c r="C211" s="13">
        <f>EDATE($B$39,-6*4)</f>
        <v>47802</v>
      </c>
      <c r="D211" s="23">
        <f>MAX(1,(YEAR(C211)-YEAR('1 - Titoli e shock'!$B$6))+IF(MONTH(C211)*100+DAY(C211)&gt;MONTH('1 - Titoli e shock'!$B$6)*100+DAY('1 - Titoli e shock'!$B$6),1,0))</f>
        <v>5</v>
      </c>
      <c r="E211" s="20">
        <f>IF(C211&lt;='1 - Titoli e shock'!$B$17,('1 - Titoli e shock'!$C$26*100/2-'1 - Titoli e shock'!$B$8*'1 - Titoli e shock'!$C$26*100/2*IF(EDATE(C211,-6)&lt;='1 - Titoli e shock'!$B$6,(C211-'1 - Titoli e shock'!$B$6)/(C211-EDATE(C211,-6)),1))*$C$39,0)</f>
        <v>292.30659652053197</v>
      </c>
      <c r="F211" s="20">
        <f t="shared" ref="F211:U220" si="43">$E211</f>
        <v>292.30659652053197</v>
      </c>
      <c r="G211" s="20">
        <f t="shared" si="43"/>
        <v>292.30659652053197</v>
      </c>
      <c r="H211" s="20">
        <f t="shared" si="43"/>
        <v>292.30659652053197</v>
      </c>
      <c r="I211" s="20">
        <f t="shared" si="43"/>
        <v>292.30659652053197</v>
      </c>
      <c r="J211" s="20">
        <f t="shared" si="43"/>
        <v>292.30659652053197</v>
      </c>
      <c r="K211" s="20">
        <f t="shared" si="43"/>
        <v>292.30659652053197</v>
      </c>
      <c r="L211" s="20">
        <f t="shared" si="43"/>
        <v>292.30659652053197</v>
      </c>
      <c r="M211" s="20">
        <f t="shared" si="43"/>
        <v>292.30659652053197</v>
      </c>
      <c r="N211" s="20">
        <f t="shared" si="43"/>
        <v>292.30659652053197</v>
      </c>
      <c r="O211" s="20">
        <f t="shared" si="43"/>
        <v>292.30659652053197</v>
      </c>
      <c r="P211" s="20">
        <f t="shared" si="43"/>
        <v>292.30659652053197</v>
      </c>
      <c r="Q211" s="20">
        <f t="shared" si="43"/>
        <v>292.30659652053197</v>
      </c>
      <c r="R211" s="20">
        <f t="shared" si="43"/>
        <v>292.30659652053197</v>
      </c>
      <c r="S211" s="20">
        <f t="shared" si="43"/>
        <v>292.30659652053197</v>
      </c>
      <c r="T211" s="20">
        <f t="shared" si="43"/>
        <v>292.30659652053197</v>
      </c>
      <c r="U211" s="20">
        <f t="shared" si="43"/>
        <v>292.30659652053197</v>
      </c>
    </row>
    <row r="212" spans="1:21">
      <c r="A212" s="15" t="s">
        <v>266</v>
      </c>
      <c r="B212" s="22" t="str">
        <f>A39</f>
        <v>BTP 3,25% nov 2032</v>
      </c>
      <c r="C212" s="13">
        <f>EDATE($B$39,-6*3)</f>
        <v>47983</v>
      </c>
      <c r="D212" s="23">
        <f>MAX(1,(YEAR(C212)-YEAR('1 - Titoli e shock'!$B$6))+IF(MONTH(C212)*100+DAY(C212)&gt;MONTH('1 - Titoli e shock'!$B$6)*100+DAY('1 - Titoli e shock'!$B$6),1,0))</f>
        <v>5</v>
      </c>
      <c r="E212" s="20">
        <f>IF(C212&lt;='1 - Titoli e shock'!$B$17,('1 - Titoli e shock'!$C$26*100/2-'1 - Titoli e shock'!$B$8*'1 - Titoli e shock'!$C$26*100/2*IF(EDATE(C212,-6)&lt;='1 - Titoli e shock'!$B$6,(C212-'1 - Titoli e shock'!$B$6)/(C212-EDATE(C212,-6)),1))*$C$39,0)</f>
        <v>292.30659652053197</v>
      </c>
      <c r="F212" s="20">
        <f t="shared" si="43"/>
        <v>292.30659652053197</v>
      </c>
      <c r="G212" s="20">
        <f t="shared" si="43"/>
        <v>292.30659652053197</v>
      </c>
      <c r="H212" s="20">
        <f t="shared" si="43"/>
        <v>292.30659652053197</v>
      </c>
      <c r="I212" s="20">
        <f t="shared" si="43"/>
        <v>292.30659652053197</v>
      </c>
      <c r="J212" s="20">
        <f t="shared" si="43"/>
        <v>292.30659652053197</v>
      </c>
      <c r="K212" s="20">
        <f t="shared" si="43"/>
        <v>292.30659652053197</v>
      </c>
      <c r="L212" s="20">
        <f t="shared" si="43"/>
        <v>292.30659652053197</v>
      </c>
      <c r="M212" s="20">
        <f t="shared" si="43"/>
        <v>292.30659652053197</v>
      </c>
      <c r="N212" s="20">
        <f t="shared" si="43"/>
        <v>292.30659652053197</v>
      </c>
      <c r="O212" s="20">
        <f t="shared" si="43"/>
        <v>292.30659652053197</v>
      </c>
      <c r="P212" s="20">
        <f t="shared" si="43"/>
        <v>292.30659652053197</v>
      </c>
      <c r="Q212" s="20">
        <f t="shared" si="43"/>
        <v>292.30659652053197</v>
      </c>
      <c r="R212" s="20">
        <f t="shared" si="43"/>
        <v>292.30659652053197</v>
      </c>
      <c r="S212" s="20">
        <f t="shared" si="43"/>
        <v>292.30659652053197</v>
      </c>
      <c r="T212" s="20">
        <f t="shared" si="43"/>
        <v>292.30659652053197</v>
      </c>
      <c r="U212" s="20">
        <f t="shared" si="43"/>
        <v>292.30659652053197</v>
      </c>
    </row>
    <row r="213" spans="1:21">
      <c r="A213" s="15" t="s">
        <v>266</v>
      </c>
      <c r="B213" s="22" t="str">
        <f>A39</f>
        <v>BTP 3,25% nov 2032</v>
      </c>
      <c r="C213" s="13">
        <f>EDATE($B$39,-6*2)</f>
        <v>48167</v>
      </c>
      <c r="D213" s="23">
        <f>MAX(1,(YEAR(C213)-YEAR('1 - Titoli e shock'!$B$6))+IF(MONTH(C213)*100+DAY(C213)&gt;MONTH('1 - Titoli e shock'!$B$6)*100+DAY('1 - Titoli e shock'!$B$6),1,0))</f>
        <v>6</v>
      </c>
      <c r="E213" s="20">
        <f>IF(C213&lt;='1 - Titoli e shock'!$B$17,('1 - Titoli e shock'!$C$26*100/2-'1 - Titoli e shock'!$B$8*'1 - Titoli e shock'!$C$26*100/2*IF(EDATE(C213,-6)&lt;='1 - Titoli e shock'!$B$6,(C213-'1 - Titoli e shock'!$B$6)/(C213-EDATE(C213,-6)),1))*$C$39,0)</f>
        <v>292.30659652053197</v>
      </c>
      <c r="F213" s="20">
        <f t="shared" si="43"/>
        <v>292.30659652053197</v>
      </c>
      <c r="G213" s="20">
        <f t="shared" si="43"/>
        <v>292.30659652053197</v>
      </c>
      <c r="H213" s="20">
        <f t="shared" si="43"/>
        <v>292.30659652053197</v>
      </c>
      <c r="I213" s="20">
        <f t="shared" si="43"/>
        <v>292.30659652053197</v>
      </c>
      <c r="J213" s="20">
        <f t="shared" si="43"/>
        <v>292.30659652053197</v>
      </c>
      <c r="K213" s="20">
        <f t="shared" si="43"/>
        <v>292.30659652053197</v>
      </c>
      <c r="L213" s="20">
        <f t="shared" si="43"/>
        <v>292.30659652053197</v>
      </c>
      <c r="M213" s="20">
        <f t="shared" si="43"/>
        <v>292.30659652053197</v>
      </c>
      <c r="N213" s="20">
        <f t="shared" si="43"/>
        <v>292.30659652053197</v>
      </c>
      <c r="O213" s="20">
        <f t="shared" si="43"/>
        <v>292.30659652053197</v>
      </c>
      <c r="P213" s="20">
        <f t="shared" si="43"/>
        <v>292.30659652053197</v>
      </c>
      <c r="Q213" s="20">
        <f t="shared" si="43"/>
        <v>292.30659652053197</v>
      </c>
      <c r="R213" s="20">
        <f t="shared" si="43"/>
        <v>292.30659652053197</v>
      </c>
      <c r="S213" s="20">
        <f t="shared" si="43"/>
        <v>292.30659652053197</v>
      </c>
      <c r="T213" s="20">
        <f t="shared" si="43"/>
        <v>292.30659652053197</v>
      </c>
      <c r="U213" s="20">
        <f t="shared" si="43"/>
        <v>292.30659652053197</v>
      </c>
    </row>
    <row r="214" spans="1:21">
      <c r="A214" s="15" t="s">
        <v>266</v>
      </c>
      <c r="B214" s="22" t="str">
        <f>A39</f>
        <v>BTP 3,25% nov 2032</v>
      </c>
      <c r="C214" s="13">
        <f>EDATE($B$39,-6*1)</f>
        <v>48349</v>
      </c>
      <c r="D214" s="23">
        <f>MAX(1,(YEAR(C214)-YEAR('1 - Titoli e shock'!$B$6))+IF(MONTH(C214)*100+DAY(C214)&gt;MONTH('1 - Titoli e shock'!$B$6)*100+DAY('1 - Titoli e shock'!$B$6),1,0))</f>
        <v>6</v>
      </c>
      <c r="E214" s="20">
        <f>IF(C214&lt;='1 - Titoli e shock'!$B$17,('1 - Titoli e shock'!$C$26*100/2-'1 - Titoli e shock'!$B$8*'1 - Titoli e shock'!$C$26*100/2*IF(EDATE(C214,-6)&lt;='1 - Titoli e shock'!$B$6,(C214-'1 - Titoli e shock'!$B$6)/(C214-EDATE(C214,-6)),1))*$C$39,0)</f>
        <v>292.30659652053197</v>
      </c>
      <c r="F214" s="20">
        <f t="shared" si="43"/>
        <v>292.30659652053197</v>
      </c>
      <c r="G214" s="20">
        <f t="shared" si="43"/>
        <v>292.30659652053197</v>
      </c>
      <c r="H214" s="20">
        <f t="shared" si="43"/>
        <v>292.30659652053197</v>
      </c>
      <c r="I214" s="20">
        <f t="shared" si="43"/>
        <v>292.30659652053197</v>
      </c>
      <c r="J214" s="20">
        <f t="shared" si="43"/>
        <v>292.30659652053197</v>
      </c>
      <c r="K214" s="20">
        <f t="shared" si="43"/>
        <v>292.30659652053197</v>
      </c>
      <c r="L214" s="20">
        <f t="shared" si="43"/>
        <v>292.30659652053197</v>
      </c>
      <c r="M214" s="20">
        <f t="shared" si="43"/>
        <v>292.30659652053197</v>
      </c>
      <c r="N214" s="20">
        <f t="shared" si="43"/>
        <v>292.30659652053197</v>
      </c>
      <c r="O214" s="20">
        <f t="shared" si="43"/>
        <v>292.30659652053197</v>
      </c>
      <c r="P214" s="20">
        <f t="shared" si="43"/>
        <v>292.30659652053197</v>
      </c>
      <c r="Q214" s="20">
        <f t="shared" si="43"/>
        <v>292.30659652053197</v>
      </c>
      <c r="R214" s="20">
        <f t="shared" si="43"/>
        <v>292.30659652053197</v>
      </c>
      <c r="S214" s="20">
        <f t="shared" si="43"/>
        <v>292.30659652053197</v>
      </c>
      <c r="T214" s="20">
        <f t="shared" si="43"/>
        <v>292.30659652053197</v>
      </c>
      <c r="U214" s="20">
        <f t="shared" si="43"/>
        <v>292.30659652053197</v>
      </c>
    </row>
    <row r="215" spans="1:21">
      <c r="A215" s="15" t="s">
        <v>266</v>
      </c>
      <c r="B215" s="22" t="str">
        <f>A39</f>
        <v>BTP 3,25% nov 2032</v>
      </c>
      <c r="C215" s="13">
        <f>EDATE($B$39,-6*0)</f>
        <v>48533</v>
      </c>
      <c r="D215" s="23">
        <f>MAX(1,(YEAR(C215)-YEAR('1 - Titoli e shock'!$B$6))+IF(MONTH(C215)*100+DAY(C215)&gt;MONTH('1 - Titoli e shock'!$B$6)*100+DAY('1 - Titoli e shock'!$B$6),1,0))</f>
        <v>7</v>
      </c>
      <c r="E215" s="20">
        <f>IF(C215&lt;='1 - Titoli e shock'!$B$17,('1 - Titoli e shock'!$C$26*100/2-'1 - Titoli e shock'!$B$8*'1 - Titoli e shock'!$C$26*100/2*IF(EDATE(C215,-6)&lt;='1 - Titoli e shock'!$B$6,(C215-'1 - Titoli e shock'!$B$6)/(C215-EDATE(C215,-6)),1))*$C$39,0)</f>
        <v>292.30659652053197</v>
      </c>
      <c r="F215" s="20">
        <f t="shared" si="43"/>
        <v>292.30659652053197</v>
      </c>
      <c r="G215" s="20">
        <f t="shared" si="43"/>
        <v>292.30659652053197</v>
      </c>
      <c r="H215" s="20">
        <f t="shared" si="43"/>
        <v>292.30659652053197</v>
      </c>
      <c r="I215" s="20">
        <f t="shared" si="43"/>
        <v>292.30659652053197</v>
      </c>
      <c r="J215" s="20">
        <f t="shared" si="43"/>
        <v>292.30659652053197</v>
      </c>
      <c r="K215" s="20">
        <f t="shared" si="43"/>
        <v>292.30659652053197</v>
      </c>
      <c r="L215" s="20">
        <f t="shared" si="43"/>
        <v>292.30659652053197</v>
      </c>
      <c r="M215" s="20">
        <f t="shared" si="43"/>
        <v>292.30659652053197</v>
      </c>
      <c r="N215" s="20">
        <f t="shared" si="43"/>
        <v>292.30659652053197</v>
      </c>
      <c r="O215" s="20">
        <f t="shared" si="43"/>
        <v>292.30659652053197</v>
      </c>
      <c r="P215" s="20">
        <f t="shared" si="43"/>
        <v>292.30659652053197</v>
      </c>
      <c r="Q215" s="20">
        <f t="shared" si="43"/>
        <v>292.30659652053197</v>
      </c>
      <c r="R215" s="20">
        <f t="shared" si="43"/>
        <v>292.30659652053197</v>
      </c>
      <c r="S215" s="20">
        <f t="shared" si="43"/>
        <v>292.30659652053197</v>
      </c>
      <c r="T215" s="20">
        <f t="shared" si="43"/>
        <v>292.30659652053197</v>
      </c>
      <c r="U215" s="20">
        <f t="shared" si="43"/>
        <v>292.30659652053197</v>
      </c>
    </row>
    <row r="216" spans="1:21">
      <c r="A216" s="15" t="s">
        <v>266</v>
      </c>
      <c r="B216" s="22" t="str">
        <f>A40</f>
        <v>BTP 4,35% nov 2033</v>
      </c>
      <c r="C216" s="13">
        <f>EDATE($B$40,-6*14)</f>
        <v>46327</v>
      </c>
      <c r="D216" s="23">
        <f>MAX(1,(YEAR(C216)-YEAR('1 - Titoli e shock'!$B$6))+IF(MONTH(C216)*100+DAY(C216)&gt;MONTH('1 - Titoli e shock'!$B$6)*100+DAY('1 - Titoli e shock'!$B$6),1,0))</f>
        <v>1</v>
      </c>
      <c r="E216" s="20">
        <f>IF(C216&lt;='1 - Titoli e shock'!$B$17,('1 - Titoli e shock'!$C$27*100/2-'1 - Titoli e shock'!$B$8*'1 - Titoli e shock'!$C$27*100/2*IF(EDATE(C216,-6)&lt;='1 - Titoli e shock'!$B$6,(C216-'1 - Titoli e shock'!$B$6)/(C216-EDATE(C216,-6)),1))*$C$40,0)</f>
        <v>417.62178159499126</v>
      </c>
      <c r="F216" s="20">
        <f t="shared" si="43"/>
        <v>417.62178159499126</v>
      </c>
      <c r="G216" s="20">
        <f t="shared" si="43"/>
        <v>417.62178159499126</v>
      </c>
      <c r="H216" s="20">
        <f t="shared" si="43"/>
        <v>417.62178159499126</v>
      </c>
      <c r="I216" s="20">
        <f t="shared" si="43"/>
        <v>417.62178159499126</v>
      </c>
      <c r="J216" s="20">
        <f t="shared" si="43"/>
        <v>417.62178159499126</v>
      </c>
      <c r="K216" s="20">
        <f t="shared" si="43"/>
        <v>417.62178159499126</v>
      </c>
      <c r="L216" s="20">
        <f t="shared" si="43"/>
        <v>417.62178159499126</v>
      </c>
      <c r="M216" s="20">
        <f t="shared" si="43"/>
        <v>417.62178159499126</v>
      </c>
      <c r="N216" s="20">
        <f t="shared" si="43"/>
        <v>417.62178159499126</v>
      </c>
      <c r="O216" s="20">
        <f t="shared" si="43"/>
        <v>417.62178159499126</v>
      </c>
      <c r="P216" s="20">
        <f t="shared" si="43"/>
        <v>417.62178159499126</v>
      </c>
      <c r="Q216" s="20">
        <f t="shared" si="43"/>
        <v>417.62178159499126</v>
      </c>
      <c r="R216" s="20">
        <f t="shared" si="43"/>
        <v>417.62178159499126</v>
      </c>
      <c r="S216" s="20">
        <f t="shared" si="43"/>
        <v>417.62178159499126</v>
      </c>
      <c r="T216" s="20">
        <f t="shared" si="43"/>
        <v>417.62178159499126</v>
      </c>
      <c r="U216" s="20">
        <f t="shared" si="43"/>
        <v>417.62178159499126</v>
      </c>
    </row>
    <row r="217" spans="1:21">
      <c r="A217" s="15" t="s">
        <v>266</v>
      </c>
      <c r="B217" s="22" t="str">
        <f>A40</f>
        <v>BTP 4,35% nov 2033</v>
      </c>
      <c r="C217" s="13">
        <f>EDATE($B$40,-6*13)</f>
        <v>46508</v>
      </c>
      <c r="D217" s="23">
        <f>MAX(1,(YEAR(C217)-YEAR('1 - Titoli e shock'!$B$6))+IF(MONTH(C217)*100+DAY(C217)&gt;MONTH('1 - Titoli e shock'!$B$6)*100+DAY('1 - Titoli e shock'!$B$6),1,0))</f>
        <v>1</v>
      </c>
      <c r="E217" s="20">
        <f>IF(C217&lt;='1 - Titoli e shock'!$B$17,('1 - Titoli e shock'!$C$27*100/2-'1 - Titoli e shock'!$B$8*'1 - Titoli e shock'!$C$27*100/2*IF(EDATE(C217,-6)&lt;='1 - Titoli e shock'!$B$6,(C217-'1 - Titoli e shock'!$B$6)/(C217-EDATE(C217,-6)),1))*$C$40,0)</f>
        <v>368.67502035253511</v>
      </c>
      <c r="F217" s="20">
        <f t="shared" si="43"/>
        <v>368.67502035253511</v>
      </c>
      <c r="G217" s="20">
        <f t="shared" si="43"/>
        <v>368.67502035253511</v>
      </c>
      <c r="H217" s="20">
        <f t="shared" si="43"/>
        <v>368.67502035253511</v>
      </c>
      <c r="I217" s="20">
        <f t="shared" si="43"/>
        <v>368.67502035253511</v>
      </c>
      <c r="J217" s="20">
        <f t="shared" si="43"/>
        <v>368.67502035253511</v>
      </c>
      <c r="K217" s="20">
        <f t="shared" si="43"/>
        <v>368.67502035253511</v>
      </c>
      <c r="L217" s="20">
        <f t="shared" si="43"/>
        <v>368.67502035253511</v>
      </c>
      <c r="M217" s="20">
        <f t="shared" si="43"/>
        <v>368.67502035253511</v>
      </c>
      <c r="N217" s="20">
        <f t="shared" si="43"/>
        <v>368.67502035253511</v>
      </c>
      <c r="O217" s="20">
        <f t="shared" si="43"/>
        <v>368.67502035253511</v>
      </c>
      <c r="P217" s="20">
        <f t="shared" si="43"/>
        <v>368.67502035253511</v>
      </c>
      <c r="Q217" s="20">
        <f t="shared" si="43"/>
        <v>368.67502035253511</v>
      </c>
      <c r="R217" s="20">
        <f t="shared" si="43"/>
        <v>368.67502035253511</v>
      </c>
      <c r="S217" s="20">
        <f t="shared" si="43"/>
        <v>368.67502035253511</v>
      </c>
      <c r="T217" s="20">
        <f t="shared" si="43"/>
        <v>368.67502035253511</v>
      </c>
      <c r="U217" s="20">
        <f t="shared" si="43"/>
        <v>368.67502035253511</v>
      </c>
    </row>
    <row r="218" spans="1:21">
      <c r="A218" s="15" t="s">
        <v>266</v>
      </c>
      <c r="B218" s="22" t="str">
        <f>A40</f>
        <v>BTP 4,35% nov 2033</v>
      </c>
      <c r="C218" s="13">
        <f>EDATE($B$40,-6*12)</f>
        <v>46692</v>
      </c>
      <c r="D218" s="23">
        <f>MAX(1,(YEAR(C218)-YEAR('1 - Titoli e shock'!$B$6))+IF(MONTH(C218)*100+DAY(C218)&gt;MONTH('1 - Titoli e shock'!$B$6)*100+DAY('1 - Titoli e shock'!$B$6),1,0))</f>
        <v>2</v>
      </c>
      <c r="E218" s="20">
        <f>IF(C218&lt;='1 - Titoli e shock'!$B$17,('1 - Titoli e shock'!$C$27*100/2-'1 - Titoli e shock'!$B$8*'1 - Titoli e shock'!$C$27*100/2*IF(EDATE(C218,-6)&lt;='1 - Titoli e shock'!$B$6,(C218-'1 - Titoli e shock'!$B$6)/(C218-EDATE(C218,-6)),1))*$C$40,0)</f>
        <v>368.67502035253511</v>
      </c>
      <c r="F218" s="20">
        <f t="shared" si="43"/>
        <v>368.67502035253511</v>
      </c>
      <c r="G218" s="20">
        <f t="shared" si="43"/>
        <v>368.67502035253511</v>
      </c>
      <c r="H218" s="20">
        <f t="shared" si="43"/>
        <v>368.67502035253511</v>
      </c>
      <c r="I218" s="20">
        <f t="shared" si="43"/>
        <v>368.67502035253511</v>
      </c>
      <c r="J218" s="20">
        <f t="shared" si="43"/>
        <v>368.67502035253511</v>
      </c>
      <c r="K218" s="20">
        <f t="shared" si="43"/>
        <v>368.67502035253511</v>
      </c>
      <c r="L218" s="20">
        <f t="shared" si="43"/>
        <v>368.67502035253511</v>
      </c>
      <c r="M218" s="20">
        <f t="shared" si="43"/>
        <v>368.67502035253511</v>
      </c>
      <c r="N218" s="20">
        <f t="shared" si="43"/>
        <v>368.67502035253511</v>
      </c>
      <c r="O218" s="20">
        <f t="shared" si="43"/>
        <v>368.67502035253511</v>
      </c>
      <c r="P218" s="20">
        <f t="shared" si="43"/>
        <v>368.67502035253511</v>
      </c>
      <c r="Q218" s="20">
        <f t="shared" si="43"/>
        <v>368.67502035253511</v>
      </c>
      <c r="R218" s="20">
        <f t="shared" si="43"/>
        <v>368.67502035253511</v>
      </c>
      <c r="S218" s="20">
        <f t="shared" si="43"/>
        <v>368.67502035253511</v>
      </c>
      <c r="T218" s="20">
        <f t="shared" si="43"/>
        <v>368.67502035253511</v>
      </c>
      <c r="U218" s="20">
        <f t="shared" si="43"/>
        <v>368.67502035253511</v>
      </c>
    </row>
    <row r="219" spans="1:21">
      <c r="A219" s="15" t="s">
        <v>266</v>
      </c>
      <c r="B219" s="22" t="str">
        <f>A40</f>
        <v>BTP 4,35% nov 2033</v>
      </c>
      <c r="C219" s="13">
        <f>EDATE($B$40,-6*11)</f>
        <v>46874</v>
      </c>
      <c r="D219" s="23">
        <f>MAX(1,(YEAR(C219)-YEAR('1 - Titoli e shock'!$B$6))+IF(MONTH(C219)*100+DAY(C219)&gt;MONTH('1 - Titoli e shock'!$B$6)*100+DAY('1 - Titoli e shock'!$B$6),1,0))</f>
        <v>2</v>
      </c>
      <c r="E219" s="20">
        <f>IF(C219&lt;='1 - Titoli e shock'!$B$17,('1 - Titoli e shock'!$C$27*100/2-'1 - Titoli e shock'!$B$8*'1 - Titoli e shock'!$C$27*100/2*IF(EDATE(C219,-6)&lt;='1 - Titoli e shock'!$B$6,(C219-'1 - Titoli e shock'!$B$6)/(C219-EDATE(C219,-6)),1))*$C$40,0)</f>
        <v>368.67502035253511</v>
      </c>
      <c r="F219" s="20">
        <f t="shared" si="43"/>
        <v>368.67502035253511</v>
      </c>
      <c r="G219" s="20">
        <f t="shared" si="43"/>
        <v>368.67502035253511</v>
      </c>
      <c r="H219" s="20">
        <f t="shared" si="43"/>
        <v>368.67502035253511</v>
      </c>
      <c r="I219" s="20">
        <f t="shared" si="43"/>
        <v>368.67502035253511</v>
      </c>
      <c r="J219" s="20">
        <f t="shared" si="43"/>
        <v>368.67502035253511</v>
      </c>
      <c r="K219" s="20">
        <f t="shared" si="43"/>
        <v>368.67502035253511</v>
      </c>
      <c r="L219" s="20">
        <f t="shared" si="43"/>
        <v>368.67502035253511</v>
      </c>
      <c r="M219" s="20">
        <f t="shared" si="43"/>
        <v>368.67502035253511</v>
      </c>
      <c r="N219" s="20">
        <f t="shared" si="43"/>
        <v>368.67502035253511</v>
      </c>
      <c r="O219" s="20">
        <f t="shared" si="43"/>
        <v>368.67502035253511</v>
      </c>
      <c r="P219" s="20">
        <f t="shared" si="43"/>
        <v>368.67502035253511</v>
      </c>
      <c r="Q219" s="20">
        <f t="shared" si="43"/>
        <v>368.67502035253511</v>
      </c>
      <c r="R219" s="20">
        <f t="shared" si="43"/>
        <v>368.67502035253511</v>
      </c>
      <c r="S219" s="20">
        <f t="shared" si="43"/>
        <v>368.67502035253511</v>
      </c>
      <c r="T219" s="20">
        <f t="shared" si="43"/>
        <v>368.67502035253511</v>
      </c>
      <c r="U219" s="20">
        <f t="shared" si="43"/>
        <v>368.67502035253511</v>
      </c>
    </row>
    <row r="220" spans="1:21">
      <c r="A220" s="15" t="s">
        <v>266</v>
      </c>
      <c r="B220" s="22" t="str">
        <f>A40</f>
        <v>BTP 4,35% nov 2033</v>
      </c>
      <c r="C220" s="13">
        <f>EDATE($B$40,-6*10)</f>
        <v>47058</v>
      </c>
      <c r="D220" s="23">
        <f>MAX(1,(YEAR(C220)-YEAR('1 - Titoli e shock'!$B$6))+IF(MONTH(C220)*100+DAY(C220)&gt;MONTH('1 - Titoli e shock'!$B$6)*100+DAY('1 - Titoli e shock'!$B$6),1,0))</f>
        <v>3</v>
      </c>
      <c r="E220" s="20">
        <f>IF(C220&lt;='1 - Titoli e shock'!$B$17,('1 - Titoli e shock'!$C$27*100/2-'1 - Titoli e shock'!$B$8*'1 - Titoli e shock'!$C$27*100/2*IF(EDATE(C220,-6)&lt;='1 - Titoli e shock'!$B$6,(C220-'1 - Titoli e shock'!$B$6)/(C220-EDATE(C220,-6)),1))*$C$40,0)</f>
        <v>368.67502035253511</v>
      </c>
      <c r="F220" s="20">
        <f t="shared" si="43"/>
        <v>368.67502035253511</v>
      </c>
      <c r="G220" s="20">
        <f t="shared" si="43"/>
        <v>368.67502035253511</v>
      </c>
      <c r="H220" s="20">
        <f t="shared" si="43"/>
        <v>368.67502035253511</v>
      </c>
      <c r="I220" s="20">
        <f t="shared" si="43"/>
        <v>368.67502035253511</v>
      </c>
      <c r="J220" s="20">
        <f t="shared" si="43"/>
        <v>368.67502035253511</v>
      </c>
      <c r="K220" s="20">
        <f t="shared" si="43"/>
        <v>368.67502035253511</v>
      </c>
      <c r="L220" s="20">
        <f t="shared" si="43"/>
        <v>368.67502035253511</v>
      </c>
      <c r="M220" s="20">
        <f t="shared" si="43"/>
        <v>368.67502035253511</v>
      </c>
      <c r="N220" s="20">
        <f t="shared" si="43"/>
        <v>368.67502035253511</v>
      </c>
      <c r="O220" s="20">
        <f t="shared" si="43"/>
        <v>368.67502035253511</v>
      </c>
      <c r="P220" s="20">
        <f t="shared" si="43"/>
        <v>368.67502035253511</v>
      </c>
      <c r="Q220" s="20">
        <f t="shared" si="43"/>
        <v>368.67502035253511</v>
      </c>
      <c r="R220" s="20">
        <f t="shared" si="43"/>
        <v>368.67502035253511</v>
      </c>
      <c r="S220" s="20">
        <f t="shared" si="43"/>
        <v>368.67502035253511</v>
      </c>
      <c r="T220" s="20">
        <f t="shared" si="43"/>
        <v>368.67502035253511</v>
      </c>
      <c r="U220" s="20">
        <f t="shared" si="43"/>
        <v>368.67502035253511</v>
      </c>
    </row>
    <row r="221" spans="1:21">
      <c r="A221" s="15" t="s">
        <v>266</v>
      </c>
      <c r="B221" s="22" t="str">
        <f>A40</f>
        <v>BTP 4,35% nov 2033</v>
      </c>
      <c r="C221" s="13">
        <f>EDATE($B$40,-6*9)</f>
        <v>47239</v>
      </c>
      <c r="D221" s="23">
        <f>MAX(1,(YEAR(C221)-YEAR('1 - Titoli e shock'!$B$6))+IF(MONTH(C221)*100+DAY(C221)&gt;MONTH('1 - Titoli e shock'!$B$6)*100+DAY('1 - Titoli e shock'!$B$6),1,0))</f>
        <v>3</v>
      </c>
      <c r="E221" s="20">
        <f>IF(C221&lt;='1 - Titoli e shock'!$B$17,('1 - Titoli e shock'!$C$27*100/2-'1 - Titoli e shock'!$B$8*'1 - Titoli e shock'!$C$27*100/2*IF(EDATE(C221,-6)&lt;='1 - Titoli e shock'!$B$6,(C221-'1 - Titoli e shock'!$B$6)/(C221-EDATE(C221,-6)),1))*$C$40,0)</f>
        <v>368.67502035253511</v>
      </c>
      <c r="F221" s="20">
        <f t="shared" ref="F221:U230" si="44">$E221</f>
        <v>368.67502035253511</v>
      </c>
      <c r="G221" s="20">
        <f t="shared" si="44"/>
        <v>368.67502035253511</v>
      </c>
      <c r="H221" s="20">
        <f t="shared" si="44"/>
        <v>368.67502035253511</v>
      </c>
      <c r="I221" s="20">
        <f t="shared" si="44"/>
        <v>368.67502035253511</v>
      </c>
      <c r="J221" s="20">
        <f t="shared" si="44"/>
        <v>368.67502035253511</v>
      </c>
      <c r="K221" s="20">
        <f t="shared" si="44"/>
        <v>368.67502035253511</v>
      </c>
      <c r="L221" s="20">
        <f t="shared" si="44"/>
        <v>368.67502035253511</v>
      </c>
      <c r="M221" s="20">
        <f t="shared" si="44"/>
        <v>368.67502035253511</v>
      </c>
      <c r="N221" s="20">
        <f t="shared" si="44"/>
        <v>368.67502035253511</v>
      </c>
      <c r="O221" s="20">
        <f t="shared" si="44"/>
        <v>368.67502035253511</v>
      </c>
      <c r="P221" s="20">
        <f t="shared" si="44"/>
        <v>368.67502035253511</v>
      </c>
      <c r="Q221" s="20">
        <f t="shared" si="44"/>
        <v>368.67502035253511</v>
      </c>
      <c r="R221" s="20">
        <f t="shared" si="44"/>
        <v>368.67502035253511</v>
      </c>
      <c r="S221" s="20">
        <f t="shared" si="44"/>
        <v>368.67502035253511</v>
      </c>
      <c r="T221" s="20">
        <f t="shared" si="44"/>
        <v>368.67502035253511</v>
      </c>
      <c r="U221" s="20">
        <f t="shared" si="44"/>
        <v>368.67502035253511</v>
      </c>
    </row>
    <row r="222" spans="1:21">
      <c r="A222" s="15" t="s">
        <v>266</v>
      </c>
      <c r="B222" s="22" t="str">
        <f>A40</f>
        <v>BTP 4,35% nov 2033</v>
      </c>
      <c r="C222" s="13">
        <f>EDATE($B$40,-6*8)</f>
        <v>47423</v>
      </c>
      <c r="D222" s="23">
        <f>MAX(1,(YEAR(C222)-YEAR('1 - Titoli e shock'!$B$6))+IF(MONTH(C222)*100+DAY(C222)&gt;MONTH('1 - Titoli e shock'!$B$6)*100+DAY('1 - Titoli e shock'!$B$6),1,0))</f>
        <v>4</v>
      </c>
      <c r="E222" s="20">
        <f>IF(C222&lt;='1 - Titoli e shock'!$B$17,('1 - Titoli e shock'!$C$27*100/2-'1 - Titoli e shock'!$B$8*'1 - Titoli e shock'!$C$27*100/2*IF(EDATE(C222,-6)&lt;='1 - Titoli e shock'!$B$6,(C222-'1 - Titoli e shock'!$B$6)/(C222-EDATE(C222,-6)),1))*$C$40,0)</f>
        <v>368.67502035253511</v>
      </c>
      <c r="F222" s="20">
        <f t="shared" si="44"/>
        <v>368.67502035253511</v>
      </c>
      <c r="G222" s="20">
        <f t="shared" si="44"/>
        <v>368.67502035253511</v>
      </c>
      <c r="H222" s="20">
        <f t="shared" si="44"/>
        <v>368.67502035253511</v>
      </c>
      <c r="I222" s="20">
        <f t="shared" si="44"/>
        <v>368.67502035253511</v>
      </c>
      <c r="J222" s="20">
        <f t="shared" si="44"/>
        <v>368.67502035253511</v>
      </c>
      <c r="K222" s="20">
        <f t="shared" si="44"/>
        <v>368.67502035253511</v>
      </c>
      <c r="L222" s="20">
        <f t="shared" si="44"/>
        <v>368.67502035253511</v>
      </c>
      <c r="M222" s="20">
        <f t="shared" si="44"/>
        <v>368.67502035253511</v>
      </c>
      <c r="N222" s="20">
        <f t="shared" si="44"/>
        <v>368.67502035253511</v>
      </c>
      <c r="O222" s="20">
        <f t="shared" si="44"/>
        <v>368.67502035253511</v>
      </c>
      <c r="P222" s="20">
        <f t="shared" si="44"/>
        <v>368.67502035253511</v>
      </c>
      <c r="Q222" s="20">
        <f t="shared" si="44"/>
        <v>368.67502035253511</v>
      </c>
      <c r="R222" s="20">
        <f t="shared" si="44"/>
        <v>368.67502035253511</v>
      </c>
      <c r="S222" s="20">
        <f t="shared" si="44"/>
        <v>368.67502035253511</v>
      </c>
      <c r="T222" s="20">
        <f t="shared" si="44"/>
        <v>368.67502035253511</v>
      </c>
      <c r="U222" s="20">
        <f t="shared" si="44"/>
        <v>368.67502035253511</v>
      </c>
    </row>
    <row r="223" spans="1:21">
      <c r="A223" s="15" t="s">
        <v>266</v>
      </c>
      <c r="B223" s="22" t="str">
        <f>A40</f>
        <v>BTP 4,35% nov 2033</v>
      </c>
      <c r="C223" s="13">
        <f>EDATE($B$40,-6*7)</f>
        <v>47604</v>
      </c>
      <c r="D223" s="23">
        <f>MAX(1,(YEAR(C223)-YEAR('1 - Titoli e shock'!$B$6))+IF(MONTH(C223)*100+DAY(C223)&gt;MONTH('1 - Titoli e shock'!$B$6)*100+DAY('1 - Titoli e shock'!$B$6),1,0))</f>
        <v>4</v>
      </c>
      <c r="E223" s="20">
        <f>IF(C223&lt;='1 - Titoli e shock'!$B$17,('1 - Titoli e shock'!$C$27*100/2-'1 - Titoli e shock'!$B$8*'1 - Titoli e shock'!$C$27*100/2*IF(EDATE(C223,-6)&lt;='1 - Titoli e shock'!$B$6,(C223-'1 - Titoli e shock'!$B$6)/(C223-EDATE(C223,-6)),1))*$C$40,0)</f>
        <v>368.67502035253511</v>
      </c>
      <c r="F223" s="20">
        <f t="shared" si="44"/>
        <v>368.67502035253511</v>
      </c>
      <c r="G223" s="20">
        <f t="shared" si="44"/>
        <v>368.67502035253511</v>
      </c>
      <c r="H223" s="20">
        <f t="shared" si="44"/>
        <v>368.67502035253511</v>
      </c>
      <c r="I223" s="20">
        <f t="shared" si="44"/>
        <v>368.67502035253511</v>
      </c>
      <c r="J223" s="20">
        <f t="shared" si="44"/>
        <v>368.67502035253511</v>
      </c>
      <c r="K223" s="20">
        <f t="shared" si="44"/>
        <v>368.67502035253511</v>
      </c>
      <c r="L223" s="20">
        <f t="shared" si="44"/>
        <v>368.67502035253511</v>
      </c>
      <c r="M223" s="20">
        <f t="shared" si="44"/>
        <v>368.67502035253511</v>
      </c>
      <c r="N223" s="20">
        <f t="shared" si="44"/>
        <v>368.67502035253511</v>
      </c>
      <c r="O223" s="20">
        <f t="shared" si="44"/>
        <v>368.67502035253511</v>
      </c>
      <c r="P223" s="20">
        <f t="shared" si="44"/>
        <v>368.67502035253511</v>
      </c>
      <c r="Q223" s="20">
        <f t="shared" si="44"/>
        <v>368.67502035253511</v>
      </c>
      <c r="R223" s="20">
        <f t="shared" si="44"/>
        <v>368.67502035253511</v>
      </c>
      <c r="S223" s="20">
        <f t="shared" si="44"/>
        <v>368.67502035253511</v>
      </c>
      <c r="T223" s="20">
        <f t="shared" si="44"/>
        <v>368.67502035253511</v>
      </c>
      <c r="U223" s="20">
        <f t="shared" si="44"/>
        <v>368.67502035253511</v>
      </c>
    </row>
    <row r="224" spans="1:21">
      <c r="A224" s="15" t="s">
        <v>266</v>
      </c>
      <c r="B224" s="22" t="str">
        <f>A40</f>
        <v>BTP 4,35% nov 2033</v>
      </c>
      <c r="C224" s="13">
        <f>EDATE($B$40,-6*6)</f>
        <v>47788</v>
      </c>
      <c r="D224" s="23">
        <f>MAX(1,(YEAR(C224)-YEAR('1 - Titoli e shock'!$B$6))+IF(MONTH(C224)*100+DAY(C224)&gt;MONTH('1 - Titoli e shock'!$B$6)*100+DAY('1 - Titoli e shock'!$B$6),1,0))</f>
        <v>5</v>
      </c>
      <c r="E224" s="20">
        <f>IF(C224&lt;='1 - Titoli e shock'!$B$17,('1 - Titoli e shock'!$C$27*100/2-'1 - Titoli e shock'!$B$8*'1 - Titoli e shock'!$C$27*100/2*IF(EDATE(C224,-6)&lt;='1 - Titoli e shock'!$B$6,(C224-'1 - Titoli e shock'!$B$6)/(C224-EDATE(C224,-6)),1))*$C$40,0)</f>
        <v>368.67502035253511</v>
      </c>
      <c r="F224" s="20">
        <f t="shared" si="44"/>
        <v>368.67502035253511</v>
      </c>
      <c r="G224" s="20">
        <f t="shared" si="44"/>
        <v>368.67502035253511</v>
      </c>
      <c r="H224" s="20">
        <f t="shared" si="44"/>
        <v>368.67502035253511</v>
      </c>
      <c r="I224" s="20">
        <f t="shared" si="44"/>
        <v>368.67502035253511</v>
      </c>
      <c r="J224" s="20">
        <f t="shared" si="44"/>
        <v>368.67502035253511</v>
      </c>
      <c r="K224" s="20">
        <f t="shared" si="44"/>
        <v>368.67502035253511</v>
      </c>
      <c r="L224" s="20">
        <f t="shared" si="44"/>
        <v>368.67502035253511</v>
      </c>
      <c r="M224" s="20">
        <f t="shared" si="44"/>
        <v>368.67502035253511</v>
      </c>
      <c r="N224" s="20">
        <f t="shared" si="44"/>
        <v>368.67502035253511</v>
      </c>
      <c r="O224" s="20">
        <f t="shared" si="44"/>
        <v>368.67502035253511</v>
      </c>
      <c r="P224" s="20">
        <f t="shared" si="44"/>
        <v>368.67502035253511</v>
      </c>
      <c r="Q224" s="20">
        <f t="shared" si="44"/>
        <v>368.67502035253511</v>
      </c>
      <c r="R224" s="20">
        <f t="shared" si="44"/>
        <v>368.67502035253511</v>
      </c>
      <c r="S224" s="20">
        <f t="shared" si="44"/>
        <v>368.67502035253511</v>
      </c>
      <c r="T224" s="20">
        <f t="shared" si="44"/>
        <v>368.67502035253511</v>
      </c>
      <c r="U224" s="20">
        <f t="shared" si="44"/>
        <v>368.67502035253511</v>
      </c>
    </row>
    <row r="225" spans="1:21">
      <c r="A225" s="15" t="s">
        <v>266</v>
      </c>
      <c r="B225" s="22" t="str">
        <f>A40</f>
        <v>BTP 4,35% nov 2033</v>
      </c>
      <c r="C225" s="13">
        <f>EDATE($B$40,-6*5)</f>
        <v>47969</v>
      </c>
      <c r="D225" s="23">
        <f>MAX(1,(YEAR(C225)-YEAR('1 - Titoli e shock'!$B$6))+IF(MONTH(C225)*100+DAY(C225)&gt;MONTH('1 - Titoli e shock'!$B$6)*100+DAY('1 - Titoli e shock'!$B$6),1,0))</f>
        <v>5</v>
      </c>
      <c r="E225" s="20">
        <f>IF(C225&lt;='1 - Titoli e shock'!$B$17,('1 - Titoli e shock'!$C$27*100/2-'1 - Titoli e shock'!$B$8*'1 - Titoli e shock'!$C$27*100/2*IF(EDATE(C225,-6)&lt;='1 - Titoli e shock'!$B$6,(C225-'1 - Titoli e shock'!$B$6)/(C225-EDATE(C225,-6)),1))*$C$40,0)</f>
        <v>368.67502035253511</v>
      </c>
      <c r="F225" s="20">
        <f t="shared" si="44"/>
        <v>368.67502035253511</v>
      </c>
      <c r="G225" s="20">
        <f t="shared" si="44"/>
        <v>368.67502035253511</v>
      </c>
      <c r="H225" s="20">
        <f t="shared" si="44"/>
        <v>368.67502035253511</v>
      </c>
      <c r="I225" s="20">
        <f t="shared" si="44"/>
        <v>368.67502035253511</v>
      </c>
      <c r="J225" s="20">
        <f t="shared" si="44"/>
        <v>368.67502035253511</v>
      </c>
      <c r="K225" s="20">
        <f t="shared" si="44"/>
        <v>368.67502035253511</v>
      </c>
      <c r="L225" s="20">
        <f t="shared" si="44"/>
        <v>368.67502035253511</v>
      </c>
      <c r="M225" s="20">
        <f t="shared" si="44"/>
        <v>368.67502035253511</v>
      </c>
      <c r="N225" s="20">
        <f t="shared" si="44"/>
        <v>368.67502035253511</v>
      </c>
      <c r="O225" s="20">
        <f t="shared" si="44"/>
        <v>368.67502035253511</v>
      </c>
      <c r="P225" s="20">
        <f t="shared" si="44"/>
        <v>368.67502035253511</v>
      </c>
      <c r="Q225" s="20">
        <f t="shared" si="44"/>
        <v>368.67502035253511</v>
      </c>
      <c r="R225" s="20">
        <f t="shared" si="44"/>
        <v>368.67502035253511</v>
      </c>
      <c r="S225" s="20">
        <f t="shared" si="44"/>
        <v>368.67502035253511</v>
      </c>
      <c r="T225" s="20">
        <f t="shared" si="44"/>
        <v>368.67502035253511</v>
      </c>
      <c r="U225" s="20">
        <f t="shared" si="44"/>
        <v>368.67502035253511</v>
      </c>
    </row>
    <row r="226" spans="1:21">
      <c r="A226" s="15" t="s">
        <v>266</v>
      </c>
      <c r="B226" s="22" t="str">
        <f>A40</f>
        <v>BTP 4,35% nov 2033</v>
      </c>
      <c r="C226" s="13">
        <f>EDATE($B$40,-6*4)</f>
        <v>48153</v>
      </c>
      <c r="D226" s="23">
        <f>MAX(1,(YEAR(C226)-YEAR('1 - Titoli e shock'!$B$6))+IF(MONTH(C226)*100+DAY(C226)&gt;MONTH('1 - Titoli e shock'!$B$6)*100+DAY('1 - Titoli e shock'!$B$6),1,0))</f>
        <v>6</v>
      </c>
      <c r="E226" s="20">
        <f>IF(C226&lt;='1 - Titoli e shock'!$B$17,('1 - Titoli e shock'!$C$27*100/2-'1 - Titoli e shock'!$B$8*'1 - Titoli e shock'!$C$27*100/2*IF(EDATE(C226,-6)&lt;='1 - Titoli e shock'!$B$6,(C226-'1 - Titoli e shock'!$B$6)/(C226-EDATE(C226,-6)),1))*$C$40,0)</f>
        <v>368.67502035253511</v>
      </c>
      <c r="F226" s="20">
        <f t="shared" si="44"/>
        <v>368.67502035253511</v>
      </c>
      <c r="G226" s="20">
        <f t="shared" si="44"/>
        <v>368.67502035253511</v>
      </c>
      <c r="H226" s="20">
        <f t="shared" si="44"/>
        <v>368.67502035253511</v>
      </c>
      <c r="I226" s="20">
        <f t="shared" si="44"/>
        <v>368.67502035253511</v>
      </c>
      <c r="J226" s="20">
        <f t="shared" si="44"/>
        <v>368.67502035253511</v>
      </c>
      <c r="K226" s="20">
        <f t="shared" si="44"/>
        <v>368.67502035253511</v>
      </c>
      <c r="L226" s="20">
        <f t="shared" si="44"/>
        <v>368.67502035253511</v>
      </c>
      <c r="M226" s="20">
        <f t="shared" si="44"/>
        <v>368.67502035253511</v>
      </c>
      <c r="N226" s="20">
        <f t="shared" si="44"/>
        <v>368.67502035253511</v>
      </c>
      <c r="O226" s="20">
        <f t="shared" si="44"/>
        <v>368.67502035253511</v>
      </c>
      <c r="P226" s="20">
        <f t="shared" si="44"/>
        <v>368.67502035253511</v>
      </c>
      <c r="Q226" s="20">
        <f t="shared" si="44"/>
        <v>368.67502035253511</v>
      </c>
      <c r="R226" s="20">
        <f t="shared" si="44"/>
        <v>368.67502035253511</v>
      </c>
      <c r="S226" s="20">
        <f t="shared" si="44"/>
        <v>368.67502035253511</v>
      </c>
      <c r="T226" s="20">
        <f t="shared" si="44"/>
        <v>368.67502035253511</v>
      </c>
      <c r="U226" s="20">
        <f t="shared" si="44"/>
        <v>368.67502035253511</v>
      </c>
    </row>
    <row r="227" spans="1:21">
      <c r="A227" s="15" t="s">
        <v>266</v>
      </c>
      <c r="B227" s="22" t="str">
        <f>A40</f>
        <v>BTP 4,35% nov 2033</v>
      </c>
      <c r="C227" s="13">
        <f>EDATE($B$40,-6*3)</f>
        <v>48335</v>
      </c>
      <c r="D227" s="23">
        <f>MAX(1,(YEAR(C227)-YEAR('1 - Titoli e shock'!$B$6))+IF(MONTH(C227)*100+DAY(C227)&gt;MONTH('1 - Titoli e shock'!$B$6)*100+DAY('1 - Titoli e shock'!$B$6),1,0))</f>
        <v>6</v>
      </c>
      <c r="E227" s="20">
        <f>IF(C227&lt;='1 - Titoli e shock'!$B$17,('1 - Titoli e shock'!$C$27*100/2-'1 - Titoli e shock'!$B$8*'1 - Titoli e shock'!$C$27*100/2*IF(EDATE(C227,-6)&lt;='1 - Titoli e shock'!$B$6,(C227-'1 - Titoli e shock'!$B$6)/(C227-EDATE(C227,-6)),1))*$C$40,0)</f>
        <v>368.67502035253511</v>
      </c>
      <c r="F227" s="20">
        <f t="shared" si="44"/>
        <v>368.67502035253511</v>
      </c>
      <c r="G227" s="20">
        <f t="shared" si="44"/>
        <v>368.67502035253511</v>
      </c>
      <c r="H227" s="20">
        <f t="shared" si="44"/>
        <v>368.67502035253511</v>
      </c>
      <c r="I227" s="20">
        <f t="shared" si="44"/>
        <v>368.67502035253511</v>
      </c>
      <c r="J227" s="20">
        <f t="shared" si="44"/>
        <v>368.67502035253511</v>
      </c>
      <c r="K227" s="20">
        <f t="shared" si="44"/>
        <v>368.67502035253511</v>
      </c>
      <c r="L227" s="20">
        <f t="shared" si="44"/>
        <v>368.67502035253511</v>
      </c>
      <c r="M227" s="20">
        <f t="shared" si="44"/>
        <v>368.67502035253511</v>
      </c>
      <c r="N227" s="20">
        <f t="shared" si="44"/>
        <v>368.67502035253511</v>
      </c>
      <c r="O227" s="20">
        <f t="shared" si="44"/>
        <v>368.67502035253511</v>
      </c>
      <c r="P227" s="20">
        <f t="shared" si="44"/>
        <v>368.67502035253511</v>
      </c>
      <c r="Q227" s="20">
        <f t="shared" si="44"/>
        <v>368.67502035253511</v>
      </c>
      <c r="R227" s="20">
        <f t="shared" si="44"/>
        <v>368.67502035253511</v>
      </c>
      <c r="S227" s="20">
        <f t="shared" si="44"/>
        <v>368.67502035253511</v>
      </c>
      <c r="T227" s="20">
        <f t="shared" si="44"/>
        <v>368.67502035253511</v>
      </c>
      <c r="U227" s="20">
        <f t="shared" si="44"/>
        <v>368.67502035253511</v>
      </c>
    </row>
    <row r="228" spans="1:21">
      <c r="A228" s="15" t="s">
        <v>266</v>
      </c>
      <c r="B228" s="22" t="str">
        <f>A40</f>
        <v>BTP 4,35% nov 2033</v>
      </c>
      <c r="C228" s="13">
        <f>EDATE($B$40,-6*2)</f>
        <v>48519</v>
      </c>
      <c r="D228" s="23">
        <f>MAX(1,(YEAR(C228)-YEAR('1 - Titoli e shock'!$B$6))+IF(MONTH(C228)*100+DAY(C228)&gt;MONTH('1 - Titoli e shock'!$B$6)*100+DAY('1 - Titoli e shock'!$B$6),1,0))</f>
        <v>7</v>
      </c>
      <c r="E228" s="20">
        <f>IF(C228&lt;='1 - Titoli e shock'!$B$17,('1 - Titoli e shock'!$C$27*100/2-'1 - Titoli e shock'!$B$8*'1 - Titoli e shock'!$C$27*100/2*IF(EDATE(C228,-6)&lt;='1 - Titoli e shock'!$B$6,(C228-'1 - Titoli e shock'!$B$6)/(C228-EDATE(C228,-6)),1))*$C$40,0)</f>
        <v>368.67502035253511</v>
      </c>
      <c r="F228" s="20">
        <f t="shared" si="44"/>
        <v>368.67502035253511</v>
      </c>
      <c r="G228" s="20">
        <f t="shared" si="44"/>
        <v>368.67502035253511</v>
      </c>
      <c r="H228" s="20">
        <f t="shared" si="44"/>
        <v>368.67502035253511</v>
      </c>
      <c r="I228" s="20">
        <f t="shared" si="44"/>
        <v>368.67502035253511</v>
      </c>
      <c r="J228" s="20">
        <f t="shared" si="44"/>
        <v>368.67502035253511</v>
      </c>
      <c r="K228" s="20">
        <f t="shared" si="44"/>
        <v>368.67502035253511</v>
      </c>
      <c r="L228" s="20">
        <f t="shared" si="44"/>
        <v>368.67502035253511</v>
      </c>
      <c r="M228" s="20">
        <f t="shared" si="44"/>
        <v>368.67502035253511</v>
      </c>
      <c r="N228" s="20">
        <f t="shared" si="44"/>
        <v>368.67502035253511</v>
      </c>
      <c r="O228" s="20">
        <f t="shared" si="44"/>
        <v>368.67502035253511</v>
      </c>
      <c r="P228" s="20">
        <f t="shared" si="44"/>
        <v>368.67502035253511</v>
      </c>
      <c r="Q228" s="20">
        <f t="shared" si="44"/>
        <v>368.67502035253511</v>
      </c>
      <c r="R228" s="20">
        <f t="shared" si="44"/>
        <v>368.67502035253511</v>
      </c>
      <c r="S228" s="20">
        <f t="shared" si="44"/>
        <v>368.67502035253511</v>
      </c>
      <c r="T228" s="20">
        <f t="shared" si="44"/>
        <v>368.67502035253511</v>
      </c>
      <c r="U228" s="20">
        <f t="shared" si="44"/>
        <v>368.67502035253511</v>
      </c>
    </row>
    <row r="229" spans="1:21">
      <c r="A229" s="15" t="s">
        <v>266</v>
      </c>
      <c r="B229" s="22" t="str">
        <f>A40</f>
        <v>BTP 4,35% nov 2033</v>
      </c>
      <c r="C229" s="13">
        <f>EDATE($B$40,-6*1)</f>
        <v>48700</v>
      </c>
      <c r="D229" s="23">
        <f>MAX(1,(YEAR(C229)-YEAR('1 - Titoli e shock'!$B$6))+IF(MONTH(C229)*100+DAY(C229)&gt;MONTH('1 - Titoli e shock'!$B$6)*100+DAY('1 - Titoli e shock'!$B$6),1,0))</f>
        <v>7</v>
      </c>
      <c r="E229" s="20">
        <f>IF(C229&lt;='1 - Titoli e shock'!$B$17,('1 - Titoli e shock'!$C$27*100/2-'1 - Titoli e shock'!$B$8*'1 - Titoli e shock'!$C$27*100/2*IF(EDATE(C229,-6)&lt;='1 - Titoli e shock'!$B$6,(C229-'1 - Titoli e shock'!$B$6)/(C229-EDATE(C229,-6)),1))*$C$40,0)</f>
        <v>368.67502035253511</v>
      </c>
      <c r="F229" s="20">
        <f t="shared" si="44"/>
        <v>368.67502035253511</v>
      </c>
      <c r="G229" s="20">
        <f t="shared" si="44"/>
        <v>368.67502035253511</v>
      </c>
      <c r="H229" s="20">
        <f t="shared" si="44"/>
        <v>368.67502035253511</v>
      </c>
      <c r="I229" s="20">
        <f t="shared" si="44"/>
        <v>368.67502035253511</v>
      </c>
      <c r="J229" s="20">
        <f t="shared" si="44"/>
        <v>368.67502035253511</v>
      </c>
      <c r="K229" s="20">
        <f t="shared" si="44"/>
        <v>368.67502035253511</v>
      </c>
      <c r="L229" s="20">
        <f t="shared" si="44"/>
        <v>368.67502035253511</v>
      </c>
      <c r="M229" s="20">
        <f t="shared" si="44"/>
        <v>368.67502035253511</v>
      </c>
      <c r="N229" s="20">
        <f t="shared" si="44"/>
        <v>368.67502035253511</v>
      </c>
      <c r="O229" s="20">
        <f t="shared" si="44"/>
        <v>368.67502035253511</v>
      </c>
      <c r="P229" s="20">
        <f t="shared" si="44"/>
        <v>368.67502035253511</v>
      </c>
      <c r="Q229" s="20">
        <f t="shared" si="44"/>
        <v>368.67502035253511</v>
      </c>
      <c r="R229" s="20">
        <f t="shared" si="44"/>
        <v>368.67502035253511</v>
      </c>
      <c r="S229" s="20">
        <f t="shared" si="44"/>
        <v>368.67502035253511</v>
      </c>
      <c r="T229" s="20">
        <f t="shared" si="44"/>
        <v>368.67502035253511</v>
      </c>
      <c r="U229" s="20">
        <f t="shared" si="44"/>
        <v>368.67502035253511</v>
      </c>
    </row>
    <row r="230" spans="1:21">
      <c r="A230" s="15" t="s">
        <v>266</v>
      </c>
      <c r="B230" s="22" t="str">
        <f>A40</f>
        <v>BTP 4,35% nov 2033</v>
      </c>
      <c r="C230" s="13">
        <f>EDATE($B$40,-6*0)</f>
        <v>48884</v>
      </c>
      <c r="D230" s="23">
        <f>MAX(1,(YEAR(C230)-YEAR('1 - Titoli e shock'!$B$6))+IF(MONTH(C230)*100+DAY(C230)&gt;MONTH('1 - Titoli e shock'!$B$6)*100+DAY('1 - Titoli e shock'!$B$6),1,0))</f>
        <v>8</v>
      </c>
      <c r="E230" s="20">
        <f>IF(C230&lt;='1 - Titoli e shock'!$B$17,('1 - Titoli e shock'!$C$27*100/2-'1 - Titoli e shock'!$B$8*'1 - Titoli e shock'!$C$27*100/2*IF(EDATE(C230,-6)&lt;='1 - Titoli e shock'!$B$6,(C230-'1 - Titoli e shock'!$B$6)/(C230-EDATE(C230,-6)),1))*$C$40,0)</f>
        <v>368.67502035253511</v>
      </c>
      <c r="F230" s="20">
        <f t="shared" si="44"/>
        <v>368.67502035253511</v>
      </c>
      <c r="G230" s="20">
        <f t="shared" si="44"/>
        <v>368.67502035253511</v>
      </c>
      <c r="H230" s="20">
        <f t="shared" si="44"/>
        <v>368.67502035253511</v>
      </c>
      <c r="I230" s="20">
        <f t="shared" si="44"/>
        <v>368.67502035253511</v>
      </c>
      <c r="J230" s="20">
        <f t="shared" si="44"/>
        <v>368.67502035253511</v>
      </c>
      <c r="K230" s="20">
        <f t="shared" si="44"/>
        <v>368.67502035253511</v>
      </c>
      <c r="L230" s="20">
        <f t="shared" si="44"/>
        <v>368.67502035253511</v>
      </c>
      <c r="M230" s="20">
        <f t="shared" si="44"/>
        <v>368.67502035253511</v>
      </c>
      <c r="N230" s="20">
        <f t="shared" si="44"/>
        <v>368.67502035253511</v>
      </c>
      <c r="O230" s="20">
        <f t="shared" si="44"/>
        <v>368.67502035253511</v>
      </c>
      <c r="P230" s="20">
        <f t="shared" si="44"/>
        <v>368.67502035253511</v>
      </c>
      <c r="Q230" s="20">
        <f t="shared" si="44"/>
        <v>368.67502035253511</v>
      </c>
      <c r="R230" s="20">
        <f t="shared" si="44"/>
        <v>368.67502035253511</v>
      </c>
      <c r="S230" s="20">
        <f t="shared" si="44"/>
        <v>368.67502035253511</v>
      </c>
      <c r="T230" s="20">
        <f t="shared" si="44"/>
        <v>368.67502035253511</v>
      </c>
      <c r="U230" s="20">
        <f t="shared" si="44"/>
        <v>368.67502035253511</v>
      </c>
    </row>
    <row r="231" spans="1:21">
      <c r="A231" s="15" t="s">
        <v>266</v>
      </c>
      <c r="B231" s="22" t="str">
        <f>A41</f>
        <v>BTP 3,85% feb 2035</v>
      </c>
      <c r="C231" s="13">
        <f>EDATE($B$41,-6*16)</f>
        <v>46419</v>
      </c>
      <c r="D231" s="23">
        <f>MAX(1,(YEAR(C231)-YEAR('1 - Titoli e shock'!$B$6))+IF(MONTH(C231)*100+DAY(C231)&gt;MONTH('1 - Titoli e shock'!$B$6)*100+DAY('1 - Titoli e shock'!$B$6),1,0))</f>
        <v>1</v>
      </c>
      <c r="E231" s="20">
        <f>IF(C231&lt;='1 - Titoli e shock'!$B$17,('1 - Titoli e shock'!$C$28*100/2-'1 - Titoli e shock'!$B$8*'1 - Titoli e shock'!$C$28*100/2*IF(EDATE(C231,-6)&lt;='1 - Titoli e shock'!$B$6,(C231-'1 - Titoli e shock'!$B$6)/(C231-EDATE(C231,-6)),1))*$C$41,0)</f>
        <v>365.81766690216017</v>
      </c>
      <c r="F231" s="20">
        <f t="shared" ref="F231:U240" si="45">$E231</f>
        <v>365.81766690216017</v>
      </c>
      <c r="G231" s="20">
        <f t="shared" si="45"/>
        <v>365.81766690216017</v>
      </c>
      <c r="H231" s="20">
        <f t="shared" si="45"/>
        <v>365.81766690216017</v>
      </c>
      <c r="I231" s="20">
        <f t="shared" si="45"/>
        <v>365.81766690216017</v>
      </c>
      <c r="J231" s="20">
        <f t="shared" si="45"/>
        <v>365.81766690216017</v>
      </c>
      <c r="K231" s="20">
        <f t="shared" si="45"/>
        <v>365.81766690216017</v>
      </c>
      <c r="L231" s="20">
        <f t="shared" si="45"/>
        <v>365.81766690216017</v>
      </c>
      <c r="M231" s="20">
        <f t="shared" si="45"/>
        <v>365.81766690216017</v>
      </c>
      <c r="N231" s="20">
        <f t="shared" si="45"/>
        <v>365.81766690216017</v>
      </c>
      <c r="O231" s="20">
        <f t="shared" si="45"/>
        <v>365.81766690216017</v>
      </c>
      <c r="P231" s="20">
        <f t="shared" si="45"/>
        <v>365.81766690216017</v>
      </c>
      <c r="Q231" s="20">
        <f t="shared" si="45"/>
        <v>365.81766690216017</v>
      </c>
      <c r="R231" s="20">
        <f t="shared" si="45"/>
        <v>365.81766690216017</v>
      </c>
      <c r="S231" s="20">
        <f t="shared" si="45"/>
        <v>365.81766690216017</v>
      </c>
      <c r="T231" s="20">
        <f t="shared" si="45"/>
        <v>365.81766690216017</v>
      </c>
      <c r="U231" s="20">
        <f t="shared" si="45"/>
        <v>365.81766690216017</v>
      </c>
    </row>
    <row r="232" spans="1:21">
      <c r="A232" s="15" t="s">
        <v>266</v>
      </c>
      <c r="B232" s="22" t="str">
        <f>A41</f>
        <v>BTP 3,85% feb 2035</v>
      </c>
      <c r="C232" s="13">
        <f>EDATE($B$41,-6*15)</f>
        <v>46600</v>
      </c>
      <c r="D232" s="23">
        <f>MAX(1,(YEAR(C232)-YEAR('1 - Titoli e shock'!$B$6))+IF(MONTH(C232)*100+DAY(C232)&gt;MONTH('1 - Titoli e shock'!$B$6)*100+DAY('1 - Titoli e shock'!$B$6),1,0))</f>
        <v>1</v>
      </c>
      <c r="E232" s="20">
        <f>IF(C232&lt;='1 - Titoli e shock'!$B$17,('1 - Titoli e shock'!$C$28*100/2-'1 - Titoli e shock'!$B$8*'1 - Titoli e shock'!$C$28*100/2*IF(EDATE(C232,-6)&lt;='1 - Titoli e shock'!$B$6,(C232-'1 - Titoli e shock'!$B$6)/(C232-EDATE(C232,-6)),1))*$C$41,0)</f>
        <v>344.67677759325693</v>
      </c>
      <c r="F232" s="20">
        <f t="shared" si="45"/>
        <v>344.67677759325693</v>
      </c>
      <c r="G232" s="20">
        <f t="shared" si="45"/>
        <v>344.67677759325693</v>
      </c>
      <c r="H232" s="20">
        <f t="shared" si="45"/>
        <v>344.67677759325693</v>
      </c>
      <c r="I232" s="20">
        <f t="shared" si="45"/>
        <v>344.67677759325693</v>
      </c>
      <c r="J232" s="20">
        <f t="shared" si="45"/>
        <v>344.67677759325693</v>
      </c>
      <c r="K232" s="20">
        <f t="shared" si="45"/>
        <v>344.67677759325693</v>
      </c>
      <c r="L232" s="20">
        <f t="shared" si="45"/>
        <v>344.67677759325693</v>
      </c>
      <c r="M232" s="20">
        <f t="shared" si="45"/>
        <v>344.67677759325693</v>
      </c>
      <c r="N232" s="20">
        <f t="shared" si="45"/>
        <v>344.67677759325693</v>
      </c>
      <c r="O232" s="20">
        <f t="shared" si="45"/>
        <v>344.67677759325693</v>
      </c>
      <c r="P232" s="20">
        <f t="shared" si="45"/>
        <v>344.67677759325693</v>
      </c>
      <c r="Q232" s="20">
        <f t="shared" si="45"/>
        <v>344.67677759325693</v>
      </c>
      <c r="R232" s="20">
        <f t="shared" si="45"/>
        <v>344.67677759325693</v>
      </c>
      <c r="S232" s="20">
        <f t="shared" si="45"/>
        <v>344.67677759325693</v>
      </c>
      <c r="T232" s="20">
        <f t="shared" si="45"/>
        <v>344.67677759325693</v>
      </c>
      <c r="U232" s="20">
        <f t="shared" si="45"/>
        <v>344.67677759325693</v>
      </c>
    </row>
    <row r="233" spans="1:21">
      <c r="A233" s="15" t="s">
        <v>266</v>
      </c>
      <c r="B233" s="22" t="str">
        <f>A41</f>
        <v>BTP 3,85% feb 2035</v>
      </c>
      <c r="C233" s="13">
        <f>EDATE($B$41,-6*14)</f>
        <v>46784</v>
      </c>
      <c r="D233" s="23">
        <f>MAX(1,(YEAR(C233)-YEAR('1 - Titoli e shock'!$B$6))+IF(MONTH(C233)*100+DAY(C233)&gt;MONTH('1 - Titoli e shock'!$B$6)*100+DAY('1 - Titoli e shock'!$B$6),1,0))</f>
        <v>2</v>
      </c>
      <c r="E233" s="20">
        <f>IF(C233&lt;='1 - Titoli e shock'!$B$17,('1 - Titoli e shock'!$C$28*100/2-'1 - Titoli e shock'!$B$8*'1 - Titoli e shock'!$C$28*100/2*IF(EDATE(C233,-6)&lt;='1 - Titoli e shock'!$B$6,(C233-'1 - Titoli e shock'!$B$6)/(C233-EDATE(C233,-6)),1))*$C$41,0)</f>
        <v>344.67677759325693</v>
      </c>
      <c r="F233" s="20">
        <f t="shared" si="45"/>
        <v>344.67677759325693</v>
      </c>
      <c r="G233" s="20">
        <f t="shared" si="45"/>
        <v>344.67677759325693</v>
      </c>
      <c r="H233" s="20">
        <f t="shared" si="45"/>
        <v>344.67677759325693</v>
      </c>
      <c r="I233" s="20">
        <f t="shared" si="45"/>
        <v>344.67677759325693</v>
      </c>
      <c r="J233" s="20">
        <f t="shared" si="45"/>
        <v>344.67677759325693</v>
      </c>
      <c r="K233" s="20">
        <f t="shared" si="45"/>
        <v>344.67677759325693</v>
      </c>
      <c r="L233" s="20">
        <f t="shared" si="45"/>
        <v>344.67677759325693</v>
      </c>
      <c r="M233" s="20">
        <f t="shared" si="45"/>
        <v>344.67677759325693</v>
      </c>
      <c r="N233" s="20">
        <f t="shared" si="45"/>
        <v>344.67677759325693</v>
      </c>
      <c r="O233" s="20">
        <f t="shared" si="45"/>
        <v>344.67677759325693</v>
      </c>
      <c r="P233" s="20">
        <f t="shared" si="45"/>
        <v>344.67677759325693</v>
      </c>
      <c r="Q233" s="20">
        <f t="shared" si="45"/>
        <v>344.67677759325693</v>
      </c>
      <c r="R233" s="20">
        <f t="shared" si="45"/>
        <v>344.67677759325693</v>
      </c>
      <c r="S233" s="20">
        <f t="shared" si="45"/>
        <v>344.67677759325693</v>
      </c>
      <c r="T233" s="20">
        <f t="shared" si="45"/>
        <v>344.67677759325693</v>
      </c>
      <c r="U233" s="20">
        <f t="shared" si="45"/>
        <v>344.67677759325693</v>
      </c>
    </row>
    <row r="234" spans="1:21">
      <c r="A234" s="15" t="s">
        <v>266</v>
      </c>
      <c r="B234" s="22" t="str">
        <f>A41</f>
        <v>BTP 3,85% feb 2035</v>
      </c>
      <c r="C234" s="13">
        <f>EDATE($B$41,-6*13)</f>
        <v>46966</v>
      </c>
      <c r="D234" s="23">
        <f>MAX(1,(YEAR(C234)-YEAR('1 - Titoli e shock'!$B$6))+IF(MONTH(C234)*100+DAY(C234)&gt;MONTH('1 - Titoli e shock'!$B$6)*100+DAY('1 - Titoli e shock'!$B$6),1,0))</f>
        <v>2</v>
      </c>
      <c r="E234" s="20">
        <f>IF(C234&lt;='1 - Titoli e shock'!$B$17,('1 - Titoli e shock'!$C$28*100/2-'1 - Titoli e shock'!$B$8*'1 - Titoli e shock'!$C$28*100/2*IF(EDATE(C234,-6)&lt;='1 - Titoli e shock'!$B$6,(C234-'1 - Titoli e shock'!$B$6)/(C234-EDATE(C234,-6)),1))*$C$41,0)</f>
        <v>344.67677759325693</v>
      </c>
      <c r="F234" s="20">
        <f t="shared" si="45"/>
        <v>344.67677759325693</v>
      </c>
      <c r="G234" s="20">
        <f t="shared" si="45"/>
        <v>344.67677759325693</v>
      </c>
      <c r="H234" s="20">
        <f t="shared" si="45"/>
        <v>344.67677759325693</v>
      </c>
      <c r="I234" s="20">
        <f t="shared" si="45"/>
        <v>344.67677759325693</v>
      </c>
      <c r="J234" s="20">
        <f t="shared" si="45"/>
        <v>344.67677759325693</v>
      </c>
      <c r="K234" s="20">
        <f t="shared" si="45"/>
        <v>344.67677759325693</v>
      </c>
      <c r="L234" s="20">
        <f t="shared" si="45"/>
        <v>344.67677759325693</v>
      </c>
      <c r="M234" s="20">
        <f t="shared" si="45"/>
        <v>344.67677759325693</v>
      </c>
      <c r="N234" s="20">
        <f t="shared" si="45"/>
        <v>344.67677759325693</v>
      </c>
      <c r="O234" s="20">
        <f t="shared" si="45"/>
        <v>344.67677759325693</v>
      </c>
      <c r="P234" s="20">
        <f t="shared" si="45"/>
        <v>344.67677759325693</v>
      </c>
      <c r="Q234" s="20">
        <f t="shared" si="45"/>
        <v>344.67677759325693</v>
      </c>
      <c r="R234" s="20">
        <f t="shared" si="45"/>
        <v>344.67677759325693</v>
      </c>
      <c r="S234" s="20">
        <f t="shared" si="45"/>
        <v>344.67677759325693</v>
      </c>
      <c r="T234" s="20">
        <f t="shared" si="45"/>
        <v>344.67677759325693</v>
      </c>
      <c r="U234" s="20">
        <f t="shared" si="45"/>
        <v>344.67677759325693</v>
      </c>
    </row>
    <row r="235" spans="1:21">
      <c r="A235" s="15" t="s">
        <v>266</v>
      </c>
      <c r="B235" s="22" t="str">
        <f>A41</f>
        <v>BTP 3,85% feb 2035</v>
      </c>
      <c r="C235" s="13">
        <f>EDATE($B$41,-6*12)</f>
        <v>47150</v>
      </c>
      <c r="D235" s="23">
        <f>MAX(1,(YEAR(C235)-YEAR('1 - Titoli e shock'!$B$6))+IF(MONTH(C235)*100+DAY(C235)&gt;MONTH('1 - Titoli e shock'!$B$6)*100+DAY('1 - Titoli e shock'!$B$6),1,0))</f>
        <v>3</v>
      </c>
      <c r="E235" s="20">
        <f>IF(C235&lt;='1 - Titoli e shock'!$B$17,('1 - Titoli e shock'!$C$28*100/2-'1 - Titoli e shock'!$B$8*'1 - Titoli e shock'!$C$28*100/2*IF(EDATE(C235,-6)&lt;='1 - Titoli e shock'!$B$6,(C235-'1 - Titoli e shock'!$B$6)/(C235-EDATE(C235,-6)),1))*$C$41,0)</f>
        <v>344.67677759325693</v>
      </c>
      <c r="F235" s="20">
        <f t="shared" si="45"/>
        <v>344.67677759325693</v>
      </c>
      <c r="G235" s="20">
        <f t="shared" si="45"/>
        <v>344.67677759325693</v>
      </c>
      <c r="H235" s="20">
        <f t="shared" si="45"/>
        <v>344.67677759325693</v>
      </c>
      <c r="I235" s="20">
        <f t="shared" si="45"/>
        <v>344.67677759325693</v>
      </c>
      <c r="J235" s="20">
        <f t="shared" si="45"/>
        <v>344.67677759325693</v>
      </c>
      <c r="K235" s="20">
        <f t="shared" si="45"/>
        <v>344.67677759325693</v>
      </c>
      <c r="L235" s="20">
        <f t="shared" si="45"/>
        <v>344.67677759325693</v>
      </c>
      <c r="M235" s="20">
        <f t="shared" si="45"/>
        <v>344.67677759325693</v>
      </c>
      <c r="N235" s="20">
        <f t="shared" si="45"/>
        <v>344.67677759325693</v>
      </c>
      <c r="O235" s="20">
        <f t="shared" si="45"/>
        <v>344.67677759325693</v>
      </c>
      <c r="P235" s="20">
        <f t="shared" si="45"/>
        <v>344.67677759325693</v>
      </c>
      <c r="Q235" s="20">
        <f t="shared" si="45"/>
        <v>344.67677759325693</v>
      </c>
      <c r="R235" s="20">
        <f t="shared" si="45"/>
        <v>344.67677759325693</v>
      </c>
      <c r="S235" s="20">
        <f t="shared" si="45"/>
        <v>344.67677759325693</v>
      </c>
      <c r="T235" s="20">
        <f t="shared" si="45"/>
        <v>344.67677759325693</v>
      </c>
      <c r="U235" s="20">
        <f t="shared" si="45"/>
        <v>344.67677759325693</v>
      </c>
    </row>
    <row r="236" spans="1:21">
      <c r="A236" s="15" t="s">
        <v>266</v>
      </c>
      <c r="B236" s="22" t="str">
        <f>A41</f>
        <v>BTP 3,85% feb 2035</v>
      </c>
      <c r="C236" s="13">
        <f>EDATE($B$41,-6*11)</f>
        <v>47331</v>
      </c>
      <c r="D236" s="23">
        <f>MAX(1,(YEAR(C236)-YEAR('1 - Titoli e shock'!$B$6))+IF(MONTH(C236)*100+DAY(C236)&gt;MONTH('1 - Titoli e shock'!$B$6)*100+DAY('1 - Titoli e shock'!$B$6),1,0))</f>
        <v>3</v>
      </c>
      <c r="E236" s="20">
        <f>IF(C236&lt;='1 - Titoli e shock'!$B$17,('1 - Titoli e shock'!$C$28*100/2-'1 - Titoli e shock'!$B$8*'1 - Titoli e shock'!$C$28*100/2*IF(EDATE(C236,-6)&lt;='1 - Titoli e shock'!$B$6,(C236-'1 - Titoli e shock'!$B$6)/(C236-EDATE(C236,-6)),1))*$C$41,0)</f>
        <v>344.67677759325693</v>
      </c>
      <c r="F236" s="20">
        <f t="shared" si="45"/>
        <v>344.67677759325693</v>
      </c>
      <c r="G236" s="20">
        <f t="shared" si="45"/>
        <v>344.67677759325693</v>
      </c>
      <c r="H236" s="20">
        <f t="shared" si="45"/>
        <v>344.67677759325693</v>
      </c>
      <c r="I236" s="20">
        <f t="shared" si="45"/>
        <v>344.67677759325693</v>
      </c>
      <c r="J236" s="20">
        <f t="shared" si="45"/>
        <v>344.67677759325693</v>
      </c>
      <c r="K236" s="20">
        <f t="shared" si="45"/>
        <v>344.67677759325693</v>
      </c>
      <c r="L236" s="20">
        <f t="shared" si="45"/>
        <v>344.67677759325693</v>
      </c>
      <c r="M236" s="20">
        <f t="shared" si="45"/>
        <v>344.67677759325693</v>
      </c>
      <c r="N236" s="20">
        <f t="shared" si="45"/>
        <v>344.67677759325693</v>
      </c>
      <c r="O236" s="20">
        <f t="shared" si="45"/>
        <v>344.67677759325693</v>
      </c>
      <c r="P236" s="20">
        <f t="shared" si="45"/>
        <v>344.67677759325693</v>
      </c>
      <c r="Q236" s="20">
        <f t="shared" si="45"/>
        <v>344.67677759325693</v>
      </c>
      <c r="R236" s="20">
        <f t="shared" si="45"/>
        <v>344.67677759325693</v>
      </c>
      <c r="S236" s="20">
        <f t="shared" si="45"/>
        <v>344.67677759325693</v>
      </c>
      <c r="T236" s="20">
        <f t="shared" si="45"/>
        <v>344.67677759325693</v>
      </c>
      <c r="U236" s="20">
        <f t="shared" si="45"/>
        <v>344.67677759325693</v>
      </c>
    </row>
    <row r="237" spans="1:21">
      <c r="A237" s="15" t="s">
        <v>266</v>
      </c>
      <c r="B237" s="22" t="str">
        <f>A41</f>
        <v>BTP 3,85% feb 2035</v>
      </c>
      <c r="C237" s="13">
        <f>EDATE($B$41,-6*10)</f>
        <v>47515</v>
      </c>
      <c r="D237" s="23">
        <f>MAX(1,(YEAR(C237)-YEAR('1 - Titoli e shock'!$B$6))+IF(MONTH(C237)*100+DAY(C237)&gt;MONTH('1 - Titoli e shock'!$B$6)*100+DAY('1 - Titoli e shock'!$B$6),1,0))</f>
        <v>4</v>
      </c>
      <c r="E237" s="20">
        <f>IF(C237&lt;='1 - Titoli e shock'!$B$17,('1 - Titoli e shock'!$C$28*100/2-'1 - Titoli e shock'!$B$8*'1 - Titoli e shock'!$C$28*100/2*IF(EDATE(C237,-6)&lt;='1 - Titoli e shock'!$B$6,(C237-'1 - Titoli e shock'!$B$6)/(C237-EDATE(C237,-6)),1))*$C$41,0)</f>
        <v>344.67677759325693</v>
      </c>
      <c r="F237" s="20">
        <f t="shared" si="45"/>
        <v>344.67677759325693</v>
      </c>
      <c r="G237" s="20">
        <f t="shared" si="45"/>
        <v>344.67677759325693</v>
      </c>
      <c r="H237" s="20">
        <f t="shared" si="45"/>
        <v>344.67677759325693</v>
      </c>
      <c r="I237" s="20">
        <f t="shared" si="45"/>
        <v>344.67677759325693</v>
      </c>
      <c r="J237" s="20">
        <f t="shared" si="45"/>
        <v>344.67677759325693</v>
      </c>
      <c r="K237" s="20">
        <f t="shared" si="45"/>
        <v>344.67677759325693</v>
      </c>
      <c r="L237" s="20">
        <f t="shared" si="45"/>
        <v>344.67677759325693</v>
      </c>
      <c r="M237" s="20">
        <f t="shared" si="45"/>
        <v>344.67677759325693</v>
      </c>
      <c r="N237" s="20">
        <f t="shared" si="45"/>
        <v>344.67677759325693</v>
      </c>
      <c r="O237" s="20">
        <f t="shared" si="45"/>
        <v>344.67677759325693</v>
      </c>
      <c r="P237" s="20">
        <f t="shared" si="45"/>
        <v>344.67677759325693</v>
      </c>
      <c r="Q237" s="20">
        <f t="shared" si="45"/>
        <v>344.67677759325693</v>
      </c>
      <c r="R237" s="20">
        <f t="shared" si="45"/>
        <v>344.67677759325693</v>
      </c>
      <c r="S237" s="20">
        <f t="shared" si="45"/>
        <v>344.67677759325693</v>
      </c>
      <c r="T237" s="20">
        <f t="shared" si="45"/>
        <v>344.67677759325693</v>
      </c>
      <c r="U237" s="20">
        <f t="shared" si="45"/>
        <v>344.67677759325693</v>
      </c>
    </row>
    <row r="238" spans="1:21">
      <c r="A238" s="15" t="s">
        <v>266</v>
      </c>
      <c r="B238" s="22" t="str">
        <f>A41</f>
        <v>BTP 3,85% feb 2035</v>
      </c>
      <c r="C238" s="13">
        <f>EDATE($B$41,-6*9)</f>
        <v>47696</v>
      </c>
      <c r="D238" s="23">
        <f>MAX(1,(YEAR(C238)-YEAR('1 - Titoli e shock'!$B$6))+IF(MONTH(C238)*100+DAY(C238)&gt;MONTH('1 - Titoli e shock'!$B$6)*100+DAY('1 - Titoli e shock'!$B$6),1,0))</f>
        <v>4</v>
      </c>
      <c r="E238" s="20">
        <f>IF(C238&lt;='1 - Titoli e shock'!$B$17,('1 - Titoli e shock'!$C$28*100/2-'1 - Titoli e shock'!$B$8*'1 - Titoli e shock'!$C$28*100/2*IF(EDATE(C238,-6)&lt;='1 - Titoli e shock'!$B$6,(C238-'1 - Titoli e shock'!$B$6)/(C238-EDATE(C238,-6)),1))*$C$41,0)</f>
        <v>344.67677759325693</v>
      </c>
      <c r="F238" s="20">
        <f t="shared" si="45"/>
        <v>344.67677759325693</v>
      </c>
      <c r="G238" s="20">
        <f t="shared" si="45"/>
        <v>344.67677759325693</v>
      </c>
      <c r="H238" s="20">
        <f t="shared" si="45"/>
        <v>344.67677759325693</v>
      </c>
      <c r="I238" s="20">
        <f t="shared" si="45"/>
        <v>344.67677759325693</v>
      </c>
      <c r="J238" s="20">
        <f t="shared" si="45"/>
        <v>344.67677759325693</v>
      </c>
      <c r="K238" s="20">
        <f t="shared" si="45"/>
        <v>344.67677759325693</v>
      </c>
      <c r="L238" s="20">
        <f t="shared" si="45"/>
        <v>344.67677759325693</v>
      </c>
      <c r="M238" s="20">
        <f t="shared" si="45"/>
        <v>344.67677759325693</v>
      </c>
      <c r="N238" s="20">
        <f t="shared" si="45"/>
        <v>344.67677759325693</v>
      </c>
      <c r="O238" s="20">
        <f t="shared" si="45"/>
        <v>344.67677759325693</v>
      </c>
      <c r="P238" s="20">
        <f t="shared" si="45"/>
        <v>344.67677759325693</v>
      </c>
      <c r="Q238" s="20">
        <f t="shared" si="45"/>
        <v>344.67677759325693</v>
      </c>
      <c r="R238" s="20">
        <f t="shared" si="45"/>
        <v>344.67677759325693</v>
      </c>
      <c r="S238" s="20">
        <f t="shared" si="45"/>
        <v>344.67677759325693</v>
      </c>
      <c r="T238" s="20">
        <f t="shared" si="45"/>
        <v>344.67677759325693</v>
      </c>
      <c r="U238" s="20">
        <f t="shared" si="45"/>
        <v>344.67677759325693</v>
      </c>
    </row>
    <row r="239" spans="1:21">
      <c r="A239" s="15" t="s">
        <v>266</v>
      </c>
      <c r="B239" s="22" t="str">
        <f>A41</f>
        <v>BTP 3,85% feb 2035</v>
      </c>
      <c r="C239" s="13">
        <f>EDATE($B$41,-6*8)</f>
        <v>47880</v>
      </c>
      <c r="D239" s="23">
        <f>MAX(1,(YEAR(C239)-YEAR('1 - Titoli e shock'!$B$6))+IF(MONTH(C239)*100+DAY(C239)&gt;MONTH('1 - Titoli e shock'!$B$6)*100+DAY('1 - Titoli e shock'!$B$6),1,0))</f>
        <v>5</v>
      </c>
      <c r="E239" s="20">
        <f>IF(C239&lt;='1 - Titoli e shock'!$B$17,('1 - Titoli e shock'!$C$28*100/2-'1 - Titoli e shock'!$B$8*'1 - Titoli e shock'!$C$28*100/2*IF(EDATE(C239,-6)&lt;='1 - Titoli e shock'!$B$6,(C239-'1 - Titoli e shock'!$B$6)/(C239-EDATE(C239,-6)),1))*$C$41,0)</f>
        <v>344.67677759325693</v>
      </c>
      <c r="F239" s="20">
        <f t="shared" si="45"/>
        <v>344.67677759325693</v>
      </c>
      <c r="G239" s="20">
        <f t="shared" si="45"/>
        <v>344.67677759325693</v>
      </c>
      <c r="H239" s="20">
        <f t="shared" si="45"/>
        <v>344.67677759325693</v>
      </c>
      <c r="I239" s="20">
        <f t="shared" si="45"/>
        <v>344.67677759325693</v>
      </c>
      <c r="J239" s="20">
        <f t="shared" si="45"/>
        <v>344.67677759325693</v>
      </c>
      <c r="K239" s="20">
        <f t="shared" si="45"/>
        <v>344.67677759325693</v>
      </c>
      <c r="L239" s="20">
        <f t="shared" si="45"/>
        <v>344.67677759325693</v>
      </c>
      <c r="M239" s="20">
        <f t="shared" si="45"/>
        <v>344.67677759325693</v>
      </c>
      <c r="N239" s="20">
        <f t="shared" si="45"/>
        <v>344.67677759325693</v>
      </c>
      <c r="O239" s="20">
        <f t="shared" si="45"/>
        <v>344.67677759325693</v>
      </c>
      <c r="P239" s="20">
        <f t="shared" si="45"/>
        <v>344.67677759325693</v>
      </c>
      <c r="Q239" s="20">
        <f t="shared" si="45"/>
        <v>344.67677759325693</v>
      </c>
      <c r="R239" s="20">
        <f t="shared" si="45"/>
        <v>344.67677759325693</v>
      </c>
      <c r="S239" s="20">
        <f t="shared" si="45"/>
        <v>344.67677759325693</v>
      </c>
      <c r="T239" s="20">
        <f t="shared" si="45"/>
        <v>344.67677759325693</v>
      </c>
      <c r="U239" s="20">
        <f t="shared" si="45"/>
        <v>344.67677759325693</v>
      </c>
    </row>
    <row r="240" spans="1:21">
      <c r="A240" s="15" t="s">
        <v>266</v>
      </c>
      <c r="B240" s="22" t="str">
        <f>A41</f>
        <v>BTP 3,85% feb 2035</v>
      </c>
      <c r="C240" s="13">
        <f>EDATE($B$41,-6*7)</f>
        <v>48061</v>
      </c>
      <c r="D240" s="23">
        <f>MAX(1,(YEAR(C240)-YEAR('1 - Titoli e shock'!$B$6))+IF(MONTH(C240)*100+DAY(C240)&gt;MONTH('1 - Titoli e shock'!$B$6)*100+DAY('1 - Titoli e shock'!$B$6),1,0))</f>
        <v>5</v>
      </c>
      <c r="E240" s="20">
        <f>IF(C240&lt;='1 - Titoli e shock'!$B$17,('1 - Titoli e shock'!$C$28*100/2-'1 - Titoli e shock'!$B$8*'1 - Titoli e shock'!$C$28*100/2*IF(EDATE(C240,-6)&lt;='1 - Titoli e shock'!$B$6,(C240-'1 - Titoli e shock'!$B$6)/(C240-EDATE(C240,-6)),1))*$C$41,0)</f>
        <v>344.67677759325693</v>
      </c>
      <c r="F240" s="20">
        <f t="shared" si="45"/>
        <v>344.67677759325693</v>
      </c>
      <c r="G240" s="20">
        <f t="shared" si="45"/>
        <v>344.67677759325693</v>
      </c>
      <c r="H240" s="20">
        <f t="shared" si="45"/>
        <v>344.67677759325693</v>
      </c>
      <c r="I240" s="20">
        <f t="shared" si="45"/>
        <v>344.67677759325693</v>
      </c>
      <c r="J240" s="20">
        <f t="shared" si="45"/>
        <v>344.67677759325693</v>
      </c>
      <c r="K240" s="20">
        <f t="shared" si="45"/>
        <v>344.67677759325693</v>
      </c>
      <c r="L240" s="20">
        <f t="shared" si="45"/>
        <v>344.67677759325693</v>
      </c>
      <c r="M240" s="20">
        <f t="shared" si="45"/>
        <v>344.67677759325693</v>
      </c>
      <c r="N240" s="20">
        <f t="shared" si="45"/>
        <v>344.67677759325693</v>
      </c>
      <c r="O240" s="20">
        <f t="shared" si="45"/>
        <v>344.67677759325693</v>
      </c>
      <c r="P240" s="20">
        <f t="shared" si="45"/>
        <v>344.67677759325693</v>
      </c>
      <c r="Q240" s="20">
        <f t="shared" si="45"/>
        <v>344.67677759325693</v>
      </c>
      <c r="R240" s="20">
        <f t="shared" si="45"/>
        <v>344.67677759325693</v>
      </c>
      <c r="S240" s="20">
        <f t="shared" si="45"/>
        <v>344.67677759325693</v>
      </c>
      <c r="T240" s="20">
        <f t="shared" si="45"/>
        <v>344.67677759325693</v>
      </c>
      <c r="U240" s="20">
        <f t="shared" si="45"/>
        <v>344.67677759325693</v>
      </c>
    </row>
    <row r="241" spans="1:21">
      <c r="A241" s="15" t="s">
        <v>266</v>
      </c>
      <c r="B241" s="22" t="str">
        <f>A41</f>
        <v>BTP 3,85% feb 2035</v>
      </c>
      <c r="C241" s="13">
        <f>EDATE($B$41,-6*6)</f>
        <v>48245</v>
      </c>
      <c r="D241" s="23">
        <f>MAX(1,(YEAR(C241)-YEAR('1 - Titoli e shock'!$B$6))+IF(MONTH(C241)*100+DAY(C241)&gt;MONTH('1 - Titoli e shock'!$B$6)*100+DAY('1 - Titoli e shock'!$B$6),1,0))</f>
        <v>6</v>
      </c>
      <c r="E241" s="20">
        <f>IF(C241&lt;='1 - Titoli e shock'!$B$17,('1 - Titoli e shock'!$C$28*100/2-'1 - Titoli e shock'!$B$8*'1 - Titoli e shock'!$C$28*100/2*IF(EDATE(C241,-6)&lt;='1 - Titoli e shock'!$B$6,(C241-'1 - Titoli e shock'!$B$6)/(C241-EDATE(C241,-6)),1))*$C$41,0)</f>
        <v>344.67677759325693</v>
      </c>
      <c r="F241" s="20">
        <f t="shared" ref="F241:U250" si="46">$E241</f>
        <v>344.67677759325693</v>
      </c>
      <c r="G241" s="20">
        <f t="shared" si="46"/>
        <v>344.67677759325693</v>
      </c>
      <c r="H241" s="20">
        <f t="shared" si="46"/>
        <v>344.67677759325693</v>
      </c>
      <c r="I241" s="20">
        <f t="shared" si="46"/>
        <v>344.67677759325693</v>
      </c>
      <c r="J241" s="20">
        <f t="shared" si="46"/>
        <v>344.67677759325693</v>
      </c>
      <c r="K241" s="20">
        <f t="shared" si="46"/>
        <v>344.67677759325693</v>
      </c>
      <c r="L241" s="20">
        <f t="shared" si="46"/>
        <v>344.67677759325693</v>
      </c>
      <c r="M241" s="20">
        <f t="shared" si="46"/>
        <v>344.67677759325693</v>
      </c>
      <c r="N241" s="20">
        <f t="shared" si="46"/>
        <v>344.67677759325693</v>
      </c>
      <c r="O241" s="20">
        <f t="shared" si="46"/>
        <v>344.67677759325693</v>
      </c>
      <c r="P241" s="20">
        <f t="shared" si="46"/>
        <v>344.67677759325693</v>
      </c>
      <c r="Q241" s="20">
        <f t="shared" si="46"/>
        <v>344.67677759325693</v>
      </c>
      <c r="R241" s="20">
        <f t="shared" si="46"/>
        <v>344.67677759325693</v>
      </c>
      <c r="S241" s="20">
        <f t="shared" si="46"/>
        <v>344.67677759325693</v>
      </c>
      <c r="T241" s="20">
        <f t="shared" si="46"/>
        <v>344.67677759325693</v>
      </c>
      <c r="U241" s="20">
        <f t="shared" si="46"/>
        <v>344.67677759325693</v>
      </c>
    </row>
    <row r="242" spans="1:21">
      <c r="A242" s="15" t="s">
        <v>266</v>
      </c>
      <c r="B242" s="22" t="str">
        <f>A41</f>
        <v>BTP 3,85% feb 2035</v>
      </c>
      <c r="C242" s="13">
        <f>EDATE($B$41,-6*5)</f>
        <v>48427</v>
      </c>
      <c r="D242" s="23">
        <f>MAX(1,(YEAR(C242)-YEAR('1 - Titoli e shock'!$B$6))+IF(MONTH(C242)*100+DAY(C242)&gt;MONTH('1 - Titoli e shock'!$B$6)*100+DAY('1 - Titoli e shock'!$B$6),1,0))</f>
        <v>6</v>
      </c>
      <c r="E242" s="20">
        <f>IF(C242&lt;='1 - Titoli e shock'!$B$17,('1 - Titoli e shock'!$C$28*100/2-'1 - Titoli e shock'!$B$8*'1 - Titoli e shock'!$C$28*100/2*IF(EDATE(C242,-6)&lt;='1 - Titoli e shock'!$B$6,(C242-'1 - Titoli e shock'!$B$6)/(C242-EDATE(C242,-6)),1))*$C$41,0)</f>
        <v>344.67677759325693</v>
      </c>
      <c r="F242" s="20">
        <f t="shared" si="46"/>
        <v>344.67677759325693</v>
      </c>
      <c r="G242" s="20">
        <f t="shared" si="46"/>
        <v>344.67677759325693</v>
      </c>
      <c r="H242" s="20">
        <f t="shared" si="46"/>
        <v>344.67677759325693</v>
      </c>
      <c r="I242" s="20">
        <f t="shared" si="46"/>
        <v>344.67677759325693</v>
      </c>
      <c r="J242" s="20">
        <f t="shared" si="46"/>
        <v>344.67677759325693</v>
      </c>
      <c r="K242" s="20">
        <f t="shared" si="46"/>
        <v>344.67677759325693</v>
      </c>
      <c r="L242" s="20">
        <f t="shared" si="46"/>
        <v>344.67677759325693</v>
      </c>
      <c r="M242" s="20">
        <f t="shared" si="46"/>
        <v>344.67677759325693</v>
      </c>
      <c r="N242" s="20">
        <f t="shared" si="46"/>
        <v>344.67677759325693</v>
      </c>
      <c r="O242" s="20">
        <f t="shared" si="46"/>
        <v>344.67677759325693</v>
      </c>
      <c r="P242" s="20">
        <f t="shared" si="46"/>
        <v>344.67677759325693</v>
      </c>
      <c r="Q242" s="20">
        <f t="shared" si="46"/>
        <v>344.67677759325693</v>
      </c>
      <c r="R242" s="20">
        <f t="shared" si="46"/>
        <v>344.67677759325693</v>
      </c>
      <c r="S242" s="20">
        <f t="shared" si="46"/>
        <v>344.67677759325693</v>
      </c>
      <c r="T242" s="20">
        <f t="shared" si="46"/>
        <v>344.67677759325693</v>
      </c>
      <c r="U242" s="20">
        <f t="shared" si="46"/>
        <v>344.67677759325693</v>
      </c>
    </row>
    <row r="243" spans="1:21">
      <c r="A243" s="15" t="s">
        <v>266</v>
      </c>
      <c r="B243" s="22" t="str">
        <f>A41</f>
        <v>BTP 3,85% feb 2035</v>
      </c>
      <c r="C243" s="13">
        <f>EDATE($B$41,-6*4)</f>
        <v>48611</v>
      </c>
      <c r="D243" s="23">
        <f>MAX(1,(YEAR(C243)-YEAR('1 - Titoli e shock'!$B$6))+IF(MONTH(C243)*100+DAY(C243)&gt;MONTH('1 - Titoli e shock'!$B$6)*100+DAY('1 - Titoli e shock'!$B$6),1,0))</f>
        <v>7</v>
      </c>
      <c r="E243" s="20">
        <f>IF(C243&lt;='1 - Titoli e shock'!$B$17,('1 - Titoli e shock'!$C$28*100/2-'1 - Titoli e shock'!$B$8*'1 - Titoli e shock'!$C$28*100/2*IF(EDATE(C243,-6)&lt;='1 - Titoli e shock'!$B$6,(C243-'1 - Titoli e shock'!$B$6)/(C243-EDATE(C243,-6)),1))*$C$41,0)</f>
        <v>344.67677759325693</v>
      </c>
      <c r="F243" s="20">
        <f t="shared" si="46"/>
        <v>344.67677759325693</v>
      </c>
      <c r="G243" s="20">
        <f t="shared" si="46"/>
        <v>344.67677759325693</v>
      </c>
      <c r="H243" s="20">
        <f t="shared" si="46"/>
        <v>344.67677759325693</v>
      </c>
      <c r="I243" s="20">
        <f t="shared" si="46"/>
        <v>344.67677759325693</v>
      </c>
      <c r="J243" s="20">
        <f t="shared" si="46"/>
        <v>344.67677759325693</v>
      </c>
      <c r="K243" s="20">
        <f t="shared" si="46"/>
        <v>344.67677759325693</v>
      </c>
      <c r="L243" s="20">
        <f t="shared" si="46"/>
        <v>344.67677759325693</v>
      </c>
      <c r="M243" s="20">
        <f t="shared" si="46"/>
        <v>344.67677759325693</v>
      </c>
      <c r="N243" s="20">
        <f t="shared" si="46"/>
        <v>344.67677759325693</v>
      </c>
      <c r="O243" s="20">
        <f t="shared" si="46"/>
        <v>344.67677759325693</v>
      </c>
      <c r="P243" s="20">
        <f t="shared" si="46"/>
        <v>344.67677759325693</v>
      </c>
      <c r="Q243" s="20">
        <f t="shared" si="46"/>
        <v>344.67677759325693</v>
      </c>
      <c r="R243" s="20">
        <f t="shared" si="46"/>
        <v>344.67677759325693</v>
      </c>
      <c r="S243" s="20">
        <f t="shared" si="46"/>
        <v>344.67677759325693</v>
      </c>
      <c r="T243" s="20">
        <f t="shared" si="46"/>
        <v>344.67677759325693</v>
      </c>
      <c r="U243" s="20">
        <f t="shared" si="46"/>
        <v>344.67677759325693</v>
      </c>
    </row>
    <row r="244" spans="1:21">
      <c r="A244" s="15" t="s">
        <v>266</v>
      </c>
      <c r="B244" s="22" t="str">
        <f>A41</f>
        <v>BTP 3,85% feb 2035</v>
      </c>
      <c r="C244" s="13">
        <f>EDATE($B$41,-6*3)</f>
        <v>48792</v>
      </c>
      <c r="D244" s="23">
        <f>MAX(1,(YEAR(C244)-YEAR('1 - Titoli e shock'!$B$6))+IF(MONTH(C244)*100+DAY(C244)&gt;MONTH('1 - Titoli e shock'!$B$6)*100+DAY('1 - Titoli e shock'!$B$6),1,0))</f>
        <v>7</v>
      </c>
      <c r="E244" s="20">
        <f>IF(C244&lt;='1 - Titoli e shock'!$B$17,('1 - Titoli e shock'!$C$28*100/2-'1 - Titoli e shock'!$B$8*'1 - Titoli e shock'!$C$28*100/2*IF(EDATE(C244,-6)&lt;='1 - Titoli e shock'!$B$6,(C244-'1 - Titoli e shock'!$B$6)/(C244-EDATE(C244,-6)),1))*$C$41,0)</f>
        <v>344.67677759325693</v>
      </c>
      <c r="F244" s="20">
        <f t="shared" si="46"/>
        <v>344.67677759325693</v>
      </c>
      <c r="G244" s="20">
        <f t="shared" si="46"/>
        <v>344.67677759325693</v>
      </c>
      <c r="H244" s="20">
        <f t="shared" si="46"/>
        <v>344.67677759325693</v>
      </c>
      <c r="I244" s="20">
        <f t="shared" si="46"/>
        <v>344.67677759325693</v>
      </c>
      <c r="J244" s="20">
        <f t="shared" si="46"/>
        <v>344.67677759325693</v>
      </c>
      <c r="K244" s="20">
        <f t="shared" si="46"/>
        <v>344.67677759325693</v>
      </c>
      <c r="L244" s="20">
        <f t="shared" si="46"/>
        <v>344.67677759325693</v>
      </c>
      <c r="M244" s="20">
        <f t="shared" si="46"/>
        <v>344.67677759325693</v>
      </c>
      <c r="N244" s="20">
        <f t="shared" si="46"/>
        <v>344.67677759325693</v>
      </c>
      <c r="O244" s="20">
        <f t="shared" si="46"/>
        <v>344.67677759325693</v>
      </c>
      <c r="P244" s="20">
        <f t="shared" si="46"/>
        <v>344.67677759325693</v>
      </c>
      <c r="Q244" s="20">
        <f t="shared" si="46"/>
        <v>344.67677759325693</v>
      </c>
      <c r="R244" s="20">
        <f t="shared" si="46"/>
        <v>344.67677759325693</v>
      </c>
      <c r="S244" s="20">
        <f t="shared" si="46"/>
        <v>344.67677759325693</v>
      </c>
      <c r="T244" s="20">
        <f t="shared" si="46"/>
        <v>344.67677759325693</v>
      </c>
      <c r="U244" s="20">
        <f t="shared" si="46"/>
        <v>344.67677759325693</v>
      </c>
    </row>
    <row r="245" spans="1:21">
      <c r="A245" s="15" t="s">
        <v>266</v>
      </c>
      <c r="B245" s="22" t="str">
        <f>A41</f>
        <v>BTP 3,85% feb 2035</v>
      </c>
      <c r="C245" s="13">
        <f>EDATE($B$41,-6*2)</f>
        <v>48976</v>
      </c>
      <c r="D245" s="23">
        <f>MAX(1,(YEAR(C245)-YEAR('1 - Titoli e shock'!$B$6))+IF(MONTH(C245)*100+DAY(C245)&gt;MONTH('1 - Titoli e shock'!$B$6)*100+DAY('1 - Titoli e shock'!$B$6),1,0))</f>
        <v>8</v>
      </c>
      <c r="E245" s="20">
        <f>IF(C245&lt;='1 - Titoli e shock'!$B$17,('1 - Titoli e shock'!$C$28*100/2-'1 - Titoli e shock'!$B$8*'1 - Titoli e shock'!$C$28*100/2*IF(EDATE(C245,-6)&lt;='1 - Titoli e shock'!$B$6,(C245-'1 - Titoli e shock'!$B$6)/(C245-EDATE(C245,-6)),1))*$C$41,0)</f>
        <v>344.67677759325693</v>
      </c>
      <c r="F245" s="20">
        <f t="shared" si="46"/>
        <v>344.67677759325693</v>
      </c>
      <c r="G245" s="20">
        <f t="shared" si="46"/>
        <v>344.67677759325693</v>
      </c>
      <c r="H245" s="20">
        <f t="shared" si="46"/>
        <v>344.67677759325693</v>
      </c>
      <c r="I245" s="20">
        <f t="shared" si="46"/>
        <v>344.67677759325693</v>
      </c>
      <c r="J245" s="20">
        <f t="shared" si="46"/>
        <v>344.67677759325693</v>
      </c>
      <c r="K245" s="20">
        <f t="shared" si="46"/>
        <v>344.67677759325693</v>
      </c>
      <c r="L245" s="20">
        <f t="shared" si="46"/>
        <v>344.67677759325693</v>
      </c>
      <c r="M245" s="20">
        <f t="shared" si="46"/>
        <v>344.67677759325693</v>
      </c>
      <c r="N245" s="20">
        <f t="shared" si="46"/>
        <v>344.67677759325693</v>
      </c>
      <c r="O245" s="20">
        <f t="shared" si="46"/>
        <v>344.67677759325693</v>
      </c>
      <c r="P245" s="20">
        <f t="shared" si="46"/>
        <v>344.67677759325693</v>
      </c>
      <c r="Q245" s="20">
        <f t="shared" si="46"/>
        <v>344.67677759325693</v>
      </c>
      <c r="R245" s="20">
        <f t="shared" si="46"/>
        <v>344.67677759325693</v>
      </c>
      <c r="S245" s="20">
        <f t="shared" si="46"/>
        <v>344.67677759325693</v>
      </c>
      <c r="T245" s="20">
        <f t="shared" si="46"/>
        <v>344.67677759325693</v>
      </c>
      <c r="U245" s="20">
        <f t="shared" si="46"/>
        <v>344.67677759325693</v>
      </c>
    </row>
    <row r="246" spans="1:21">
      <c r="A246" s="15" t="s">
        <v>266</v>
      </c>
      <c r="B246" s="22" t="str">
        <f>A41</f>
        <v>BTP 3,85% feb 2035</v>
      </c>
      <c r="C246" s="13">
        <f>EDATE($B$41,-6*1)</f>
        <v>49157</v>
      </c>
      <c r="D246" s="23">
        <f>MAX(1,(YEAR(C246)-YEAR('1 - Titoli e shock'!$B$6))+IF(MONTH(C246)*100+DAY(C246)&gt;MONTH('1 - Titoli e shock'!$B$6)*100+DAY('1 - Titoli e shock'!$B$6),1,0))</f>
        <v>8</v>
      </c>
      <c r="E246" s="20">
        <f>IF(C246&lt;='1 - Titoli e shock'!$B$17,('1 - Titoli e shock'!$C$28*100/2-'1 - Titoli e shock'!$B$8*'1 - Titoli e shock'!$C$28*100/2*IF(EDATE(C246,-6)&lt;='1 - Titoli e shock'!$B$6,(C246-'1 - Titoli e shock'!$B$6)/(C246-EDATE(C246,-6)),1))*$C$41,0)</f>
        <v>344.67677759325693</v>
      </c>
      <c r="F246" s="20">
        <f t="shared" si="46"/>
        <v>344.67677759325693</v>
      </c>
      <c r="G246" s="20">
        <f t="shared" si="46"/>
        <v>344.67677759325693</v>
      </c>
      <c r="H246" s="20">
        <f t="shared" si="46"/>
        <v>344.67677759325693</v>
      </c>
      <c r="I246" s="20">
        <f t="shared" si="46"/>
        <v>344.67677759325693</v>
      </c>
      <c r="J246" s="20">
        <f t="shared" si="46"/>
        <v>344.67677759325693</v>
      </c>
      <c r="K246" s="20">
        <f t="shared" si="46"/>
        <v>344.67677759325693</v>
      </c>
      <c r="L246" s="20">
        <f t="shared" si="46"/>
        <v>344.67677759325693</v>
      </c>
      <c r="M246" s="20">
        <f t="shared" si="46"/>
        <v>344.67677759325693</v>
      </c>
      <c r="N246" s="20">
        <f t="shared" si="46"/>
        <v>344.67677759325693</v>
      </c>
      <c r="O246" s="20">
        <f t="shared" si="46"/>
        <v>344.67677759325693</v>
      </c>
      <c r="P246" s="20">
        <f t="shared" si="46"/>
        <v>344.67677759325693</v>
      </c>
      <c r="Q246" s="20">
        <f t="shared" si="46"/>
        <v>344.67677759325693</v>
      </c>
      <c r="R246" s="20">
        <f t="shared" si="46"/>
        <v>344.67677759325693</v>
      </c>
      <c r="S246" s="20">
        <f t="shared" si="46"/>
        <v>344.67677759325693</v>
      </c>
      <c r="T246" s="20">
        <f t="shared" si="46"/>
        <v>344.67677759325693</v>
      </c>
      <c r="U246" s="20">
        <f t="shared" si="46"/>
        <v>344.67677759325693</v>
      </c>
    </row>
    <row r="247" spans="1:21">
      <c r="A247" s="15" t="s">
        <v>266</v>
      </c>
      <c r="B247" s="22" t="str">
        <f>A41</f>
        <v>BTP 3,85% feb 2035</v>
      </c>
      <c r="C247" s="13">
        <f>EDATE($B$41,-6*0)</f>
        <v>49341</v>
      </c>
      <c r="D247" s="23">
        <f>MAX(1,(YEAR(C247)-YEAR('1 - Titoli e shock'!$B$6))+IF(MONTH(C247)*100+DAY(C247)&gt;MONTH('1 - Titoli e shock'!$B$6)*100+DAY('1 - Titoli e shock'!$B$6),1,0))</f>
        <v>9</v>
      </c>
      <c r="E247" s="20">
        <f>IF(C247&lt;='1 - Titoli e shock'!$B$17,('1 - Titoli e shock'!$C$28*100/2-'1 - Titoli e shock'!$B$8*'1 - Titoli e shock'!$C$28*100/2*IF(EDATE(C247,-6)&lt;='1 - Titoli e shock'!$B$6,(C247-'1 - Titoli e shock'!$B$6)/(C247-EDATE(C247,-6)),1))*$C$41,0)</f>
        <v>344.67677759325693</v>
      </c>
      <c r="F247" s="20">
        <f t="shared" si="46"/>
        <v>344.67677759325693</v>
      </c>
      <c r="G247" s="20">
        <f t="shared" si="46"/>
        <v>344.67677759325693</v>
      </c>
      <c r="H247" s="20">
        <f t="shared" si="46"/>
        <v>344.67677759325693</v>
      </c>
      <c r="I247" s="20">
        <f t="shared" si="46"/>
        <v>344.67677759325693</v>
      </c>
      <c r="J247" s="20">
        <f t="shared" si="46"/>
        <v>344.67677759325693</v>
      </c>
      <c r="K247" s="20">
        <f t="shared" si="46"/>
        <v>344.67677759325693</v>
      </c>
      <c r="L247" s="20">
        <f t="shared" si="46"/>
        <v>344.67677759325693</v>
      </c>
      <c r="M247" s="20">
        <f t="shared" si="46"/>
        <v>344.67677759325693</v>
      </c>
      <c r="N247" s="20">
        <f t="shared" si="46"/>
        <v>344.67677759325693</v>
      </c>
      <c r="O247" s="20">
        <f t="shared" si="46"/>
        <v>344.67677759325693</v>
      </c>
      <c r="P247" s="20">
        <f t="shared" si="46"/>
        <v>344.67677759325693</v>
      </c>
      <c r="Q247" s="20">
        <f t="shared" si="46"/>
        <v>344.67677759325693</v>
      </c>
      <c r="R247" s="20">
        <f t="shared" si="46"/>
        <v>344.67677759325693</v>
      </c>
      <c r="S247" s="20">
        <f t="shared" si="46"/>
        <v>344.67677759325693</v>
      </c>
      <c r="T247" s="20">
        <f t="shared" si="46"/>
        <v>344.67677759325693</v>
      </c>
      <c r="U247" s="20">
        <f t="shared" si="46"/>
        <v>344.67677759325693</v>
      </c>
    </row>
    <row r="248" spans="1:21">
      <c r="A248" s="15" t="s">
        <v>266</v>
      </c>
      <c r="B248" s="22" t="str">
        <f>A42</f>
        <v>BTP 3,60% ott 2035</v>
      </c>
      <c r="C248" s="13">
        <f>EDATE($B$42,-6*17)</f>
        <v>46478</v>
      </c>
      <c r="D248" s="23">
        <f>MAX(1,(YEAR(C248)-YEAR('1 - Titoli e shock'!$B$6))+IF(MONTH(C248)*100+DAY(C248)&gt;MONTH('1 - Titoli e shock'!$B$6)*100+DAY('1 - Titoli e shock'!$B$6),1,0))</f>
        <v>1</v>
      </c>
      <c r="E248" s="20">
        <f>IF(C248&lt;='1 - Titoli e shock'!$B$17,('1 - Titoli e shock'!$C$29*100/2-'1 - Titoli e shock'!$B$8*'1 - Titoli e shock'!$C$29*100/2*IF(EDATE(C248,-6)&lt;='1 - Titoli e shock'!$B$6,(C248-'1 - Titoli e shock'!$B$6)/(C248-EDATE(C248,-6)),1))*$C$42,0)</f>
        <v>337.40729134022774</v>
      </c>
      <c r="F248" s="20">
        <f t="shared" si="46"/>
        <v>337.40729134022774</v>
      </c>
      <c r="G248" s="20">
        <f t="shared" si="46"/>
        <v>337.40729134022774</v>
      </c>
      <c r="H248" s="20">
        <f t="shared" si="46"/>
        <v>337.40729134022774</v>
      </c>
      <c r="I248" s="20">
        <f t="shared" si="46"/>
        <v>337.40729134022774</v>
      </c>
      <c r="J248" s="20">
        <f t="shared" si="46"/>
        <v>337.40729134022774</v>
      </c>
      <c r="K248" s="20">
        <f t="shared" si="46"/>
        <v>337.40729134022774</v>
      </c>
      <c r="L248" s="20">
        <f t="shared" si="46"/>
        <v>337.40729134022774</v>
      </c>
      <c r="M248" s="20">
        <f t="shared" si="46"/>
        <v>337.40729134022774</v>
      </c>
      <c r="N248" s="20">
        <f t="shared" si="46"/>
        <v>337.40729134022774</v>
      </c>
      <c r="O248" s="20">
        <f t="shared" si="46"/>
        <v>337.40729134022774</v>
      </c>
      <c r="P248" s="20">
        <f t="shared" si="46"/>
        <v>337.40729134022774</v>
      </c>
      <c r="Q248" s="20">
        <f t="shared" si="46"/>
        <v>337.40729134022774</v>
      </c>
      <c r="R248" s="20">
        <f t="shared" si="46"/>
        <v>337.40729134022774</v>
      </c>
      <c r="S248" s="20">
        <f t="shared" si="46"/>
        <v>337.40729134022774</v>
      </c>
      <c r="T248" s="20">
        <f t="shared" si="46"/>
        <v>337.40729134022774</v>
      </c>
      <c r="U248" s="20">
        <f t="shared" si="46"/>
        <v>337.40729134022774</v>
      </c>
    </row>
    <row r="249" spans="1:21">
      <c r="A249" s="15" t="s">
        <v>266</v>
      </c>
      <c r="B249" s="22" t="str">
        <f>A42</f>
        <v>BTP 3,60% ott 2035</v>
      </c>
      <c r="C249" s="13">
        <f>EDATE($B$42,-6*16)</f>
        <v>46661</v>
      </c>
      <c r="D249" s="23">
        <f>MAX(1,(YEAR(C249)-YEAR('1 - Titoli e shock'!$B$6))+IF(MONTH(C249)*100+DAY(C249)&gt;MONTH('1 - Titoli e shock'!$B$6)*100+DAY('1 - Titoli e shock'!$B$6),1,0))</f>
        <v>1</v>
      </c>
      <c r="E249" s="20">
        <f>IF(C249&lt;='1 - Titoli e shock'!$B$17,('1 - Titoli e shock'!$C$29*100/2-'1 - Titoli e shock'!$B$8*'1 - Titoli e shock'!$C$29*100/2*IF(EDATE(C249,-6)&lt;='1 - Titoli e shock'!$B$6,(C249-'1 - Titoli e shock'!$B$6)/(C249-EDATE(C249,-6)),1))*$C$42,0)</f>
        <v>332.70657056304185</v>
      </c>
      <c r="F249" s="20">
        <f t="shared" si="46"/>
        <v>332.70657056304185</v>
      </c>
      <c r="G249" s="20">
        <f t="shared" si="46"/>
        <v>332.70657056304185</v>
      </c>
      <c r="H249" s="20">
        <f t="shared" si="46"/>
        <v>332.70657056304185</v>
      </c>
      <c r="I249" s="20">
        <f t="shared" si="46"/>
        <v>332.70657056304185</v>
      </c>
      <c r="J249" s="20">
        <f t="shared" si="46"/>
        <v>332.70657056304185</v>
      </c>
      <c r="K249" s="20">
        <f t="shared" si="46"/>
        <v>332.70657056304185</v>
      </c>
      <c r="L249" s="20">
        <f t="shared" si="46"/>
        <v>332.70657056304185</v>
      </c>
      <c r="M249" s="20">
        <f t="shared" si="46"/>
        <v>332.70657056304185</v>
      </c>
      <c r="N249" s="20">
        <f t="shared" si="46"/>
        <v>332.70657056304185</v>
      </c>
      <c r="O249" s="20">
        <f t="shared" si="46"/>
        <v>332.70657056304185</v>
      </c>
      <c r="P249" s="20">
        <f t="shared" si="46"/>
        <v>332.70657056304185</v>
      </c>
      <c r="Q249" s="20">
        <f t="shared" si="46"/>
        <v>332.70657056304185</v>
      </c>
      <c r="R249" s="20">
        <f t="shared" si="46"/>
        <v>332.70657056304185</v>
      </c>
      <c r="S249" s="20">
        <f t="shared" si="46"/>
        <v>332.70657056304185</v>
      </c>
      <c r="T249" s="20">
        <f t="shared" si="46"/>
        <v>332.70657056304185</v>
      </c>
      <c r="U249" s="20">
        <f t="shared" si="46"/>
        <v>332.70657056304185</v>
      </c>
    </row>
    <row r="250" spans="1:21">
      <c r="A250" s="15" t="s">
        <v>266</v>
      </c>
      <c r="B250" s="22" t="str">
        <f>A42</f>
        <v>BTP 3,60% ott 2035</v>
      </c>
      <c r="C250" s="13">
        <f>EDATE($B$42,-6*15)</f>
        <v>46844</v>
      </c>
      <c r="D250" s="23">
        <f>MAX(1,(YEAR(C250)-YEAR('1 - Titoli e shock'!$B$6))+IF(MONTH(C250)*100+DAY(C250)&gt;MONTH('1 - Titoli e shock'!$B$6)*100+DAY('1 - Titoli e shock'!$B$6),1,0))</f>
        <v>2</v>
      </c>
      <c r="E250" s="20">
        <f>IF(C250&lt;='1 - Titoli e shock'!$B$17,('1 - Titoli e shock'!$C$29*100/2-'1 - Titoli e shock'!$B$8*'1 - Titoli e shock'!$C$29*100/2*IF(EDATE(C250,-6)&lt;='1 - Titoli e shock'!$B$6,(C250-'1 - Titoli e shock'!$B$6)/(C250-EDATE(C250,-6)),1))*$C$42,0)</f>
        <v>332.70657056304185</v>
      </c>
      <c r="F250" s="20">
        <f t="shared" si="46"/>
        <v>332.70657056304185</v>
      </c>
      <c r="G250" s="20">
        <f t="shared" si="46"/>
        <v>332.70657056304185</v>
      </c>
      <c r="H250" s="20">
        <f t="shared" si="46"/>
        <v>332.70657056304185</v>
      </c>
      <c r="I250" s="20">
        <f t="shared" si="46"/>
        <v>332.70657056304185</v>
      </c>
      <c r="J250" s="20">
        <f t="shared" si="46"/>
        <v>332.70657056304185</v>
      </c>
      <c r="K250" s="20">
        <f t="shared" si="46"/>
        <v>332.70657056304185</v>
      </c>
      <c r="L250" s="20">
        <f t="shared" si="46"/>
        <v>332.70657056304185</v>
      </c>
      <c r="M250" s="20">
        <f t="shared" si="46"/>
        <v>332.70657056304185</v>
      </c>
      <c r="N250" s="20">
        <f t="shared" si="46"/>
        <v>332.70657056304185</v>
      </c>
      <c r="O250" s="20">
        <f t="shared" si="46"/>
        <v>332.70657056304185</v>
      </c>
      <c r="P250" s="20">
        <f t="shared" si="46"/>
        <v>332.70657056304185</v>
      </c>
      <c r="Q250" s="20">
        <f t="shared" si="46"/>
        <v>332.70657056304185</v>
      </c>
      <c r="R250" s="20">
        <f t="shared" si="46"/>
        <v>332.70657056304185</v>
      </c>
      <c r="S250" s="20">
        <f t="shared" si="46"/>
        <v>332.70657056304185</v>
      </c>
      <c r="T250" s="20">
        <f t="shared" si="46"/>
        <v>332.70657056304185</v>
      </c>
      <c r="U250" s="20">
        <f t="shared" si="46"/>
        <v>332.70657056304185</v>
      </c>
    </row>
    <row r="251" spans="1:21">
      <c r="A251" s="15" t="s">
        <v>266</v>
      </c>
      <c r="B251" s="22" t="str">
        <f>A42</f>
        <v>BTP 3,60% ott 2035</v>
      </c>
      <c r="C251" s="13">
        <f>EDATE($B$42,-6*14)</f>
        <v>47027</v>
      </c>
      <c r="D251" s="23">
        <f>MAX(1,(YEAR(C251)-YEAR('1 - Titoli e shock'!$B$6))+IF(MONTH(C251)*100+DAY(C251)&gt;MONTH('1 - Titoli e shock'!$B$6)*100+DAY('1 - Titoli e shock'!$B$6),1,0))</f>
        <v>2</v>
      </c>
      <c r="E251" s="20">
        <f>IF(C251&lt;='1 - Titoli e shock'!$B$17,('1 - Titoli e shock'!$C$29*100/2-'1 - Titoli e shock'!$B$8*'1 - Titoli e shock'!$C$29*100/2*IF(EDATE(C251,-6)&lt;='1 - Titoli e shock'!$B$6,(C251-'1 - Titoli e shock'!$B$6)/(C251-EDATE(C251,-6)),1))*$C$42,0)</f>
        <v>332.70657056304185</v>
      </c>
      <c r="F251" s="20">
        <f t="shared" ref="F251:U260" si="47">$E251</f>
        <v>332.70657056304185</v>
      </c>
      <c r="G251" s="20">
        <f t="shared" si="47"/>
        <v>332.70657056304185</v>
      </c>
      <c r="H251" s="20">
        <f t="shared" si="47"/>
        <v>332.70657056304185</v>
      </c>
      <c r="I251" s="20">
        <f t="shared" si="47"/>
        <v>332.70657056304185</v>
      </c>
      <c r="J251" s="20">
        <f t="shared" si="47"/>
        <v>332.70657056304185</v>
      </c>
      <c r="K251" s="20">
        <f t="shared" si="47"/>
        <v>332.70657056304185</v>
      </c>
      <c r="L251" s="20">
        <f t="shared" si="47"/>
        <v>332.70657056304185</v>
      </c>
      <c r="M251" s="20">
        <f t="shared" si="47"/>
        <v>332.70657056304185</v>
      </c>
      <c r="N251" s="20">
        <f t="shared" si="47"/>
        <v>332.70657056304185</v>
      </c>
      <c r="O251" s="20">
        <f t="shared" si="47"/>
        <v>332.70657056304185</v>
      </c>
      <c r="P251" s="20">
        <f t="shared" si="47"/>
        <v>332.70657056304185</v>
      </c>
      <c r="Q251" s="20">
        <f t="shared" si="47"/>
        <v>332.70657056304185</v>
      </c>
      <c r="R251" s="20">
        <f t="shared" si="47"/>
        <v>332.70657056304185</v>
      </c>
      <c r="S251" s="20">
        <f t="shared" si="47"/>
        <v>332.70657056304185</v>
      </c>
      <c r="T251" s="20">
        <f t="shared" si="47"/>
        <v>332.70657056304185</v>
      </c>
      <c r="U251" s="20">
        <f t="shared" si="47"/>
        <v>332.70657056304185</v>
      </c>
    </row>
    <row r="252" spans="1:21">
      <c r="A252" s="15" t="s">
        <v>266</v>
      </c>
      <c r="B252" s="22" t="str">
        <f>A42</f>
        <v>BTP 3,60% ott 2035</v>
      </c>
      <c r="C252" s="13">
        <f>EDATE($B$42,-6*13)</f>
        <v>47209</v>
      </c>
      <c r="D252" s="23">
        <f>MAX(1,(YEAR(C252)-YEAR('1 - Titoli e shock'!$B$6))+IF(MONTH(C252)*100+DAY(C252)&gt;MONTH('1 - Titoli e shock'!$B$6)*100+DAY('1 - Titoli e shock'!$B$6),1,0))</f>
        <v>3</v>
      </c>
      <c r="E252" s="20">
        <f>IF(C252&lt;='1 - Titoli e shock'!$B$17,('1 - Titoli e shock'!$C$29*100/2-'1 - Titoli e shock'!$B$8*'1 - Titoli e shock'!$C$29*100/2*IF(EDATE(C252,-6)&lt;='1 - Titoli e shock'!$B$6,(C252-'1 - Titoli e shock'!$B$6)/(C252-EDATE(C252,-6)),1))*$C$42,0)</f>
        <v>332.70657056304185</v>
      </c>
      <c r="F252" s="20">
        <f t="shared" si="47"/>
        <v>332.70657056304185</v>
      </c>
      <c r="G252" s="20">
        <f t="shared" si="47"/>
        <v>332.70657056304185</v>
      </c>
      <c r="H252" s="20">
        <f t="shared" si="47"/>
        <v>332.70657056304185</v>
      </c>
      <c r="I252" s="20">
        <f t="shared" si="47"/>
        <v>332.70657056304185</v>
      </c>
      <c r="J252" s="20">
        <f t="shared" si="47"/>
        <v>332.70657056304185</v>
      </c>
      <c r="K252" s="20">
        <f t="shared" si="47"/>
        <v>332.70657056304185</v>
      </c>
      <c r="L252" s="20">
        <f t="shared" si="47"/>
        <v>332.70657056304185</v>
      </c>
      <c r="M252" s="20">
        <f t="shared" si="47"/>
        <v>332.70657056304185</v>
      </c>
      <c r="N252" s="20">
        <f t="shared" si="47"/>
        <v>332.70657056304185</v>
      </c>
      <c r="O252" s="20">
        <f t="shared" si="47"/>
        <v>332.70657056304185</v>
      </c>
      <c r="P252" s="20">
        <f t="shared" si="47"/>
        <v>332.70657056304185</v>
      </c>
      <c r="Q252" s="20">
        <f t="shared" si="47"/>
        <v>332.70657056304185</v>
      </c>
      <c r="R252" s="20">
        <f t="shared" si="47"/>
        <v>332.70657056304185</v>
      </c>
      <c r="S252" s="20">
        <f t="shared" si="47"/>
        <v>332.70657056304185</v>
      </c>
      <c r="T252" s="20">
        <f t="shared" si="47"/>
        <v>332.70657056304185</v>
      </c>
      <c r="U252" s="20">
        <f t="shared" si="47"/>
        <v>332.70657056304185</v>
      </c>
    </row>
    <row r="253" spans="1:21">
      <c r="A253" s="15" t="s">
        <v>266</v>
      </c>
      <c r="B253" s="22" t="str">
        <f>A42</f>
        <v>BTP 3,60% ott 2035</v>
      </c>
      <c r="C253" s="13">
        <f>EDATE($B$42,-6*12)</f>
        <v>47392</v>
      </c>
      <c r="D253" s="23">
        <f>MAX(1,(YEAR(C253)-YEAR('1 - Titoli e shock'!$B$6))+IF(MONTH(C253)*100+DAY(C253)&gt;MONTH('1 - Titoli e shock'!$B$6)*100+DAY('1 - Titoli e shock'!$B$6),1,0))</f>
        <v>3</v>
      </c>
      <c r="E253" s="20">
        <f>IF(C253&lt;='1 - Titoli e shock'!$B$17,('1 - Titoli e shock'!$C$29*100/2-'1 - Titoli e shock'!$B$8*'1 - Titoli e shock'!$C$29*100/2*IF(EDATE(C253,-6)&lt;='1 - Titoli e shock'!$B$6,(C253-'1 - Titoli e shock'!$B$6)/(C253-EDATE(C253,-6)),1))*$C$42,0)</f>
        <v>332.70657056304185</v>
      </c>
      <c r="F253" s="20">
        <f t="shared" si="47"/>
        <v>332.70657056304185</v>
      </c>
      <c r="G253" s="20">
        <f t="shared" si="47"/>
        <v>332.70657056304185</v>
      </c>
      <c r="H253" s="20">
        <f t="shared" si="47"/>
        <v>332.70657056304185</v>
      </c>
      <c r="I253" s="20">
        <f t="shared" si="47"/>
        <v>332.70657056304185</v>
      </c>
      <c r="J253" s="20">
        <f t="shared" si="47"/>
        <v>332.70657056304185</v>
      </c>
      <c r="K253" s="20">
        <f t="shared" si="47"/>
        <v>332.70657056304185</v>
      </c>
      <c r="L253" s="20">
        <f t="shared" si="47"/>
        <v>332.70657056304185</v>
      </c>
      <c r="M253" s="20">
        <f t="shared" si="47"/>
        <v>332.70657056304185</v>
      </c>
      <c r="N253" s="20">
        <f t="shared" si="47"/>
        <v>332.70657056304185</v>
      </c>
      <c r="O253" s="20">
        <f t="shared" si="47"/>
        <v>332.70657056304185</v>
      </c>
      <c r="P253" s="20">
        <f t="shared" si="47"/>
        <v>332.70657056304185</v>
      </c>
      <c r="Q253" s="20">
        <f t="shared" si="47"/>
        <v>332.70657056304185</v>
      </c>
      <c r="R253" s="20">
        <f t="shared" si="47"/>
        <v>332.70657056304185</v>
      </c>
      <c r="S253" s="20">
        <f t="shared" si="47"/>
        <v>332.70657056304185</v>
      </c>
      <c r="T253" s="20">
        <f t="shared" si="47"/>
        <v>332.70657056304185</v>
      </c>
      <c r="U253" s="20">
        <f t="shared" si="47"/>
        <v>332.70657056304185</v>
      </c>
    </row>
    <row r="254" spans="1:21">
      <c r="A254" s="15" t="s">
        <v>266</v>
      </c>
      <c r="B254" s="22" t="str">
        <f>A42</f>
        <v>BTP 3,60% ott 2035</v>
      </c>
      <c r="C254" s="13">
        <f>EDATE($B$42,-6*11)</f>
        <v>47574</v>
      </c>
      <c r="D254" s="23">
        <f>MAX(1,(YEAR(C254)-YEAR('1 - Titoli e shock'!$B$6))+IF(MONTH(C254)*100+DAY(C254)&gt;MONTH('1 - Titoli e shock'!$B$6)*100+DAY('1 - Titoli e shock'!$B$6),1,0))</f>
        <v>4</v>
      </c>
      <c r="E254" s="20">
        <f>IF(C254&lt;='1 - Titoli e shock'!$B$17,('1 - Titoli e shock'!$C$29*100/2-'1 - Titoli e shock'!$B$8*'1 - Titoli e shock'!$C$29*100/2*IF(EDATE(C254,-6)&lt;='1 - Titoli e shock'!$B$6,(C254-'1 - Titoli e shock'!$B$6)/(C254-EDATE(C254,-6)),1))*$C$42,0)</f>
        <v>332.70657056304185</v>
      </c>
      <c r="F254" s="20">
        <f t="shared" si="47"/>
        <v>332.70657056304185</v>
      </c>
      <c r="G254" s="20">
        <f t="shared" si="47"/>
        <v>332.70657056304185</v>
      </c>
      <c r="H254" s="20">
        <f t="shared" si="47"/>
        <v>332.70657056304185</v>
      </c>
      <c r="I254" s="20">
        <f t="shared" si="47"/>
        <v>332.70657056304185</v>
      </c>
      <c r="J254" s="20">
        <f t="shared" si="47"/>
        <v>332.70657056304185</v>
      </c>
      <c r="K254" s="20">
        <f t="shared" si="47"/>
        <v>332.70657056304185</v>
      </c>
      <c r="L254" s="20">
        <f t="shared" si="47"/>
        <v>332.70657056304185</v>
      </c>
      <c r="M254" s="20">
        <f t="shared" si="47"/>
        <v>332.70657056304185</v>
      </c>
      <c r="N254" s="20">
        <f t="shared" si="47"/>
        <v>332.70657056304185</v>
      </c>
      <c r="O254" s="20">
        <f t="shared" si="47"/>
        <v>332.70657056304185</v>
      </c>
      <c r="P254" s="20">
        <f t="shared" si="47"/>
        <v>332.70657056304185</v>
      </c>
      <c r="Q254" s="20">
        <f t="shared" si="47"/>
        <v>332.70657056304185</v>
      </c>
      <c r="R254" s="20">
        <f t="shared" si="47"/>
        <v>332.70657056304185</v>
      </c>
      <c r="S254" s="20">
        <f t="shared" si="47"/>
        <v>332.70657056304185</v>
      </c>
      <c r="T254" s="20">
        <f t="shared" si="47"/>
        <v>332.70657056304185</v>
      </c>
      <c r="U254" s="20">
        <f t="shared" si="47"/>
        <v>332.70657056304185</v>
      </c>
    </row>
    <row r="255" spans="1:21">
      <c r="A255" s="15" t="s">
        <v>266</v>
      </c>
      <c r="B255" s="22" t="str">
        <f>A42</f>
        <v>BTP 3,60% ott 2035</v>
      </c>
      <c r="C255" s="13">
        <f>EDATE($B$42,-6*10)</f>
        <v>47757</v>
      </c>
      <c r="D255" s="23">
        <f>MAX(1,(YEAR(C255)-YEAR('1 - Titoli e shock'!$B$6))+IF(MONTH(C255)*100+DAY(C255)&gt;MONTH('1 - Titoli e shock'!$B$6)*100+DAY('1 - Titoli e shock'!$B$6),1,0))</f>
        <v>4</v>
      </c>
      <c r="E255" s="20">
        <f>IF(C255&lt;='1 - Titoli e shock'!$B$17,('1 - Titoli e shock'!$C$29*100/2-'1 - Titoli e shock'!$B$8*'1 - Titoli e shock'!$C$29*100/2*IF(EDATE(C255,-6)&lt;='1 - Titoli e shock'!$B$6,(C255-'1 - Titoli e shock'!$B$6)/(C255-EDATE(C255,-6)),1))*$C$42,0)</f>
        <v>332.70657056304185</v>
      </c>
      <c r="F255" s="20">
        <f t="shared" si="47"/>
        <v>332.70657056304185</v>
      </c>
      <c r="G255" s="20">
        <f t="shared" si="47"/>
        <v>332.70657056304185</v>
      </c>
      <c r="H255" s="20">
        <f t="shared" si="47"/>
        <v>332.70657056304185</v>
      </c>
      <c r="I255" s="20">
        <f t="shared" si="47"/>
        <v>332.70657056304185</v>
      </c>
      <c r="J255" s="20">
        <f t="shared" si="47"/>
        <v>332.70657056304185</v>
      </c>
      <c r="K255" s="20">
        <f t="shared" si="47"/>
        <v>332.70657056304185</v>
      </c>
      <c r="L255" s="20">
        <f t="shared" si="47"/>
        <v>332.70657056304185</v>
      </c>
      <c r="M255" s="20">
        <f t="shared" si="47"/>
        <v>332.70657056304185</v>
      </c>
      <c r="N255" s="20">
        <f t="shared" si="47"/>
        <v>332.70657056304185</v>
      </c>
      <c r="O255" s="20">
        <f t="shared" si="47"/>
        <v>332.70657056304185</v>
      </c>
      <c r="P255" s="20">
        <f t="shared" si="47"/>
        <v>332.70657056304185</v>
      </c>
      <c r="Q255" s="20">
        <f t="shared" si="47"/>
        <v>332.70657056304185</v>
      </c>
      <c r="R255" s="20">
        <f t="shared" si="47"/>
        <v>332.70657056304185</v>
      </c>
      <c r="S255" s="20">
        <f t="shared" si="47"/>
        <v>332.70657056304185</v>
      </c>
      <c r="T255" s="20">
        <f t="shared" si="47"/>
        <v>332.70657056304185</v>
      </c>
      <c r="U255" s="20">
        <f t="shared" si="47"/>
        <v>332.70657056304185</v>
      </c>
    </row>
    <row r="256" spans="1:21">
      <c r="A256" s="15" t="s">
        <v>266</v>
      </c>
      <c r="B256" s="22" t="str">
        <f>A42</f>
        <v>BTP 3,60% ott 2035</v>
      </c>
      <c r="C256" s="13">
        <f>EDATE($B$42,-6*9)</f>
        <v>47939</v>
      </c>
      <c r="D256" s="23">
        <f>MAX(1,(YEAR(C256)-YEAR('1 - Titoli e shock'!$B$6))+IF(MONTH(C256)*100+DAY(C256)&gt;MONTH('1 - Titoli e shock'!$B$6)*100+DAY('1 - Titoli e shock'!$B$6),1,0))</f>
        <v>5</v>
      </c>
      <c r="E256" s="20">
        <f>IF(C256&lt;='1 - Titoli e shock'!$B$17,('1 - Titoli e shock'!$C$29*100/2-'1 - Titoli e shock'!$B$8*'1 - Titoli e shock'!$C$29*100/2*IF(EDATE(C256,-6)&lt;='1 - Titoli e shock'!$B$6,(C256-'1 - Titoli e shock'!$B$6)/(C256-EDATE(C256,-6)),1))*$C$42,0)</f>
        <v>332.70657056304185</v>
      </c>
      <c r="F256" s="20">
        <f t="shared" si="47"/>
        <v>332.70657056304185</v>
      </c>
      <c r="G256" s="20">
        <f t="shared" si="47"/>
        <v>332.70657056304185</v>
      </c>
      <c r="H256" s="20">
        <f t="shared" si="47"/>
        <v>332.70657056304185</v>
      </c>
      <c r="I256" s="20">
        <f t="shared" si="47"/>
        <v>332.70657056304185</v>
      </c>
      <c r="J256" s="20">
        <f t="shared" si="47"/>
        <v>332.70657056304185</v>
      </c>
      <c r="K256" s="20">
        <f t="shared" si="47"/>
        <v>332.70657056304185</v>
      </c>
      <c r="L256" s="20">
        <f t="shared" si="47"/>
        <v>332.70657056304185</v>
      </c>
      <c r="M256" s="20">
        <f t="shared" si="47"/>
        <v>332.70657056304185</v>
      </c>
      <c r="N256" s="20">
        <f t="shared" si="47"/>
        <v>332.70657056304185</v>
      </c>
      <c r="O256" s="20">
        <f t="shared" si="47"/>
        <v>332.70657056304185</v>
      </c>
      <c r="P256" s="20">
        <f t="shared" si="47"/>
        <v>332.70657056304185</v>
      </c>
      <c r="Q256" s="20">
        <f t="shared" si="47"/>
        <v>332.70657056304185</v>
      </c>
      <c r="R256" s="20">
        <f t="shared" si="47"/>
        <v>332.70657056304185</v>
      </c>
      <c r="S256" s="20">
        <f t="shared" si="47"/>
        <v>332.70657056304185</v>
      </c>
      <c r="T256" s="20">
        <f t="shared" si="47"/>
        <v>332.70657056304185</v>
      </c>
      <c r="U256" s="20">
        <f t="shared" si="47"/>
        <v>332.70657056304185</v>
      </c>
    </row>
    <row r="257" spans="1:21">
      <c r="A257" s="15" t="s">
        <v>266</v>
      </c>
      <c r="B257" s="22" t="str">
        <f>A42</f>
        <v>BTP 3,60% ott 2035</v>
      </c>
      <c r="C257" s="13">
        <f>EDATE($B$42,-6*8)</f>
        <v>48122</v>
      </c>
      <c r="D257" s="23">
        <f>MAX(1,(YEAR(C257)-YEAR('1 - Titoli e shock'!$B$6))+IF(MONTH(C257)*100+DAY(C257)&gt;MONTH('1 - Titoli e shock'!$B$6)*100+DAY('1 - Titoli e shock'!$B$6),1,0))</f>
        <v>5</v>
      </c>
      <c r="E257" s="20">
        <f>IF(C257&lt;='1 - Titoli e shock'!$B$17,('1 - Titoli e shock'!$C$29*100/2-'1 - Titoli e shock'!$B$8*'1 - Titoli e shock'!$C$29*100/2*IF(EDATE(C257,-6)&lt;='1 - Titoli e shock'!$B$6,(C257-'1 - Titoli e shock'!$B$6)/(C257-EDATE(C257,-6)),1))*$C$42,0)</f>
        <v>332.70657056304185</v>
      </c>
      <c r="F257" s="20">
        <f t="shared" si="47"/>
        <v>332.70657056304185</v>
      </c>
      <c r="G257" s="20">
        <f t="shared" si="47"/>
        <v>332.70657056304185</v>
      </c>
      <c r="H257" s="20">
        <f t="shared" si="47"/>
        <v>332.70657056304185</v>
      </c>
      <c r="I257" s="20">
        <f t="shared" si="47"/>
        <v>332.70657056304185</v>
      </c>
      <c r="J257" s="20">
        <f t="shared" si="47"/>
        <v>332.70657056304185</v>
      </c>
      <c r="K257" s="20">
        <f t="shared" si="47"/>
        <v>332.70657056304185</v>
      </c>
      <c r="L257" s="20">
        <f t="shared" si="47"/>
        <v>332.70657056304185</v>
      </c>
      <c r="M257" s="20">
        <f t="shared" si="47"/>
        <v>332.70657056304185</v>
      </c>
      <c r="N257" s="20">
        <f t="shared" si="47"/>
        <v>332.70657056304185</v>
      </c>
      <c r="O257" s="20">
        <f t="shared" si="47"/>
        <v>332.70657056304185</v>
      </c>
      <c r="P257" s="20">
        <f t="shared" si="47"/>
        <v>332.70657056304185</v>
      </c>
      <c r="Q257" s="20">
        <f t="shared" si="47"/>
        <v>332.70657056304185</v>
      </c>
      <c r="R257" s="20">
        <f t="shared" si="47"/>
        <v>332.70657056304185</v>
      </c>
      <c r="S257" s="20">
        <f t="shared" si="47"/>
        <v>332.70657056304185</v>
      </c>
      <c r="T257" s="20">
        <f t="shared" si="47"/>
        <v>332.70657056304185</v>
      </c>
      <c r="U257" s="20">
        <f t="shared" si="47"/>
        <v>332.70657056304185</v>
      </c>
    </row>
    <row r="258" spans="1:21">
      <c r="A258" s="15" t="s">
        <v>266</v>
      </c>
      <c r="B258" s="22" t="str">
        <f>A42</f>
        <v>BTP 3,60% ott 2035</v>
      </c>
      <c r="C258" s="13">
        <f>EDATE($B$42,-6*7)</f>
        <v>48305</v>
      </c>
      <c r="D258" s="23">
        <f>MAX(1,(YEAR(C258)-YEAR('1 - Titoli e shock'!$B$6))+IF(MONTH(C258)*100+DAY(C258)&gt;MONTH('1 - Titoli e shock'!$B$6)*100+DAY('1 - Titoli e shock'!$B$6),1,0))</f>
        <v>6</v>
      </c>
      <c r="E258" s="20">
        <f>IF(C258&lt;='1 - Titoli e shock'!$B$17,('1 - Titoli e shock'!$C$29*100/2-'1 - Titoli e shock'!$B$8*'1 - Titoli e shock'!$C$29*100/2*IF(EDATE(C258,-6)&lt;='1 - Titoli e shock'!$B$6,(C258-'1 - Titoli e shock'!$B$6)/(C258-EDATE(C258,-6)),1))*$C$42,0)</f>
        <v>332.70657056304185</v>
      </c>
      <c r="F258" s="20">
        <f t="shared" si="47"/>
        <v>332.70657056304185</v>
      </c>
      <c r="G258" s="20">
        <f t="shared" si="47"/>
        <v>332.70657056304185</v>
      </c>
      <c r="H258" s="20">
        <f t="shared" si="47"/>
        <v>332.70657056304185</v>
      </c>
      <c r="I258" s="20">
        <f t="shared" si="47"/>
        <v>332.70657056304185</v>
      </c>
      <c r="J258" s="20">
        <f t="shared" si="47"/>
        <v>332.70657056304185</v>
      </c>
      <c r="K258" s="20">
        <f t="shared" si="47"/>
        <v>332.70657056304185</v>
      </c>
      <c r="L258" s="20">
        <f t="shared" si="47"/>
        <v>332.70657056304185</v>
      </c>
      <c r="M258" s="20">
        <f t="shared" si="47"/>
        <v>332.70657056304185</v>
      </c>
      <c r="N258" s="20">
        <f t="shared" si="47"/>
        <v>332.70657056304185</v>
      </c>
      <c r="O258" s="20">
        <f t="shared" si="47"/>
        <v>332.70657056304185</v>
      </c>
      <c r="P258" s="20">
        <f t="shared" si="47"/>
        <v>332.70657056304185</v>
      </c>
      <c r="Q258" s="20">
        <f t="shared" si="47"/>
        <v>332.70657056304185</v>
      </c>
      <c r="R258" s="20">
        <f t="shared" si="47"/>
        <v>332.70657056304185</v>
      </c>
      <c r="S258" s="20">
        <f t="shared" si="47"/>
        <v>332.70657056304185</v>
      </c>
      <c r="T258" s="20">
        <f t="shared" si="47"/>
        <v>332.70657056304185</v>
      </c>
      <c r="U258" s="20">
        <f t="shared" si="47"/>
        <v>332.70657056304185</v>
      </c>
    </row>
    <row r="259" spans="1:21">
      <c r="A259" s="15" t="s">
        <v>266</v>
      </c>
      <c r="B259" s="22" t="str">
        <f>A42</f>
        <v>BTP 3,60% ott 2035</v>
      </c>
      <c r="C259" s="13">
        <f>EDATE($B$42,-6*6)</f>
        <v>48488</v>
      </c>
      <c r="D259" s="23">
        <f>MAX(1,(YEAR(C259)-YEAR('1 - Titoli e shock'!$B$6))+IF(MONTH(C259)*100+DAY(C259)&gt;MONTH('1 - Titoli e shock'!$B$6)*100+DAY('1 - Titoli e shock'!$B$6),1,0))</f>
        <v>6</v>
      </c>
      <c r="E259" s="20">
        <f>IF(C259&lt;='1 - Titoli e shock'!$B$17,('1 - Titoli e shock'!$C$29*100/2-'1 - Titoli e shock'!$B$8*'1 - Titoli e shock'!$C$29*100/2*IF(EDATE(C259,-6)&lt;='1 - Titoli e shock'!$B$6,(C259-'1 - Titoli e shock'!$B$6)/(C259-EDATE(C259,-6)),1))*$C$42,0)</f>
        <v>332.70657056304185</v>
      </c>
      <c r="F259" s="20">
        <f t="shared" si="47"/>
        <v>332.70657056304185</v>
      </c>
      <c r="G259" s="20">
        <f t="shared" si="47"/>
        <v>332.70657056304185</v>
      </c>
      <c r="H259" s="20">
        <f t="shared" si="47"/>
        <v>332.70657056304185</v>
      </c>
      <c r="I259" s="20">
        <f t="shared" si="47"/>
        <v>332.70657056304185</v>
      </c>
      <c r="J259" s="20">
        <f t="shared" si="47"/>
        <v>332.70657056304185</v>
      </c>
      <c r="K259" s="20">
        <f t="shared" si="47"/>
        <v>332.70657056304185</v>
      </c>
      <c r="L259" s="20">
        <f t="shared" si="47"/>
        <v>332.70657056304185</v>
      </c>
      <c r="M259" s="20">
        <f t="shared" si="47"/>
        <v>332.70657056304185</v>
      </c>
      <c r="N259" s="20">
        <f t="shared" si="47"/>
        <v>332.70657056304185</v>
      </c>
      <c r="O259" s="20">
        <f t="shared" si="47"/>
        <v>332.70657056304185</v>
      </c>
      <c r="P259" s="20">
        <f t="shared" si="47"/>
        <v>332.70657056304185</v>
      </c>
      <c r="Q259" s="20">
        <f t="shared" si="47"/>
        <v>332.70657056304185</v>
      </c>
      <c r="R259" s="20">
        <f t="shared" si="47"/>
        <v>332.70657056304185</v>
      </c>
      <c r="S259" s="20">
        <f t="shared" si="47"/>
        <v>332.70657056304185</v>
      </c>
      <c r="T259" s="20">
        <f t="shared" si="47"/>
        <v>332.70657056304185</v>
      </c>
      <c r="U259" s="20">
        <f t="shared" si="47"/>
        <v>332.70657056304185</v>
      </c>
    </row>
    <row r="260" spans="1:21">
      <c r="A260" s="15" t="s">
        <v>266</v>
      </c>
      <c r="B260" s="22" t="str">
        <f>A42</f>
        <v>BTP 3,60% ott 2035</v>
      </c>
      <c r="C260" s="13">
        <f>EDATE($B$42,-6*5)</f>
        <v>48670</v>
      </c>
      <c r="D260" s="23">
        <f>MAX(1,(YEAR(C260)-YEAR('1 - Titoli e shock'!$B$6))+IF(MONTH(C260)*100+DAY(C260)&gt;MONTH('1 - Titoli e shock'!$B$6)*100+DAY('1 - Titoli e shock'!$B$6),1,0))</f>
        <v>7</v>
      </c>
      <c r="E260" s="20">
        <f>IF(C260&lt;='1 - Titoli e shock'!$B$17,('1 - Titoli e shock'!$C$29*100/2-'1 - Titoli e shock'!$B$8*'1 - Titoli e shock'!$C$29*100/2*IF(EDATE(C260,-6)&lt;='1 - Titoli e shock'!$B$6,(C260-'1 - Titoli e shock'!$B$6)/(C260-EDATE(C260,-6)),1))*$C$42,0)</f>
        <v>332.70657056304185</v>
      </c>
      <c r="F260" s="20">
        <f t="shared" si="47"/>
        <v>332.70657056304185</v>
      </c>
      <c r="G260" s="20">
        <f t="shared" si="47"/>
        <v>332.70657056304185</v>
      </c>
      <c r="H260" s="20">
        <f t="shared" si="47"/>
        <v>332.70657056304185</v>
      </c>
      <c r="I260" s="20">
        <f t="shared" si="47"/>
        <v>332.70657056304185</v>
      </c>
      <c r="J260" s="20">
        <f t="shared" si="47"/>
        <v>332.70657056304185</v>
      </c>
      <c r="K260" s="20">
        <f t="shared" si="47"/>
        <v>332.70657056304185</v>
      </c>
      <c r="L260" s="20">
        <f t="shared" si="47"/>
        <v>332.70657056304185</v>
      </c>
      <c r="M260" s="20">
        <f t="shared" si="47"/>
        <v>332.70657056304185</v>
      </c>
      <c r="N260" s="20">
        <f t="shared" si="47"/>
        <v>332.70657056304185</v>
      </c>
      <c r="O260" s="20">
        <f t="shared" si="47"/>
        <v>332.70657056304185</v>
      </c>
      <c r="P260" s="20">
        <f t="shared" si="47"/>
        <v>332.70657056304185</v>
      </c>
      <c r="Q260" s="20">
        <f t="shared" si="47"/>
        <v>332.70657056304185</v>
      </c>
      <c r="R260" s="20">
        <f t="shared" si="47"/>
        <v>332.70657056304185</v>
      </c>
      <c r="S260" s="20">
        <f t="shared" si="47"/>
        <v>332.70657056304185</v>
      </c>
      <c r="T260" s="20">
        <f t="shared" si="47"/>
        <v>332.70657056304185</v>
      </c>
      <c r="U260" s="20">
        <f t="shared" si="47"/>
        <v>332.70657056304185</v>
      </c>
    </row>
    <row r="261" spans="1:21">
      <c r="A261" s="15" t="s">
        <v>266</v>
      </c>
      <c r="B261" s="22" t="str">
        <f>A42</f>
        <v>BTP 3,60% ott 2035</v>
      </c>
      <c r="C261" s="13">
        <f>EDATE($B$42,-6*4)</f>
        <v>48853</v>
      </c>
      <c r="D261" s="23">
        <f>MAX(1,(YEAR(C261)-YEAR('1 - Titoli e shock'!$B$6))+IF(MONTH(C261)*100+DAY(C261)&gt;MONTH('1 - Titoli e shock'!$B$6)*100+DAY('1 - Titoli e shock'!$B$6),1,0))</f>
        <v>7</v>
      </c>
      <c r="E261" s="20">
        <f>IF(C261&lt;='1 - Titoli e shock'!$B$17,('1 - Titoli e shock'!$C$29*100/2-'1 - Titoli e shock'!$B$8*'1 - Titoli e shock'!$C$29*100/2*IF(EDATE(C261,-6)&lt;='1 - Titoli e shock'!$B$6,(C261-'1 - Titoli e shock'!$B$6)/(C261-EDATE(C261,-6)),1))*$C$42,0)</f>
        <v>332.70657056304185</v>
      </c>
      <c r="F261" s="20">
        <f t="shared" ref="F261:U270" si="48">$E261</f>
        <v>332.70657056304185</v>
      </c>
      <c r="G261" s="20">
        <f t="shared" si="48"/>
        <v>332.70657056304185</v>
      </c>
      <c r="H261" s="20">
        <f t="shared" si="48"/>
        <v>332.70657056304185</v>
      </c>
      <c r="I261" s="20">
        <f t="shared" si="48"/>
        <v>332.70657056304185</v>
      </c>
      <c r="J261" s="20">
        <f t="shared" si="48"/>
        <v>332.70657056304185</v>
      </c>
      <c r="K261" s="20">
        <f t="shared" si="48"/>
        <v>332.70657056304185</v>
      </c>
      <c r="L261" s="20">
        <f t="shared" si="48"/>
        <v>332.70657056304185</v>
      </c>
      <c r="M261" s="20">
        <f t="shared" si="48"/>
        <v>332.70657056304185</v>
      </c>
      <c r="N261" s="20">
        <f t="shared" si="48"/>
        <v>332.70657056304185</v>
      </c>
      <c r="O261" s="20">
        <f t="shared" si="48"/>
        <v>332.70657056304185</v>
      </c>
      <c r="P261" s="20">
        <f t="shared" si="48"/>
        <v>332.70657056304185</v>
      </c>
      <c r="Q261" s="20">
        <f t="shared" si="48"/>
        <v>332.70657056304185</v>
      </c>
      <c r="R261" s="20">
        <f t="shared" si="48"/>
        <v>332.70657056304185</v>
      </c>
      <c r="S261" s="20">
        <f t="shared" si="48"/>
        <v>332.70657056304185</v>
      </c>
      <c r="T261" s="20">
        <f t="shared" si="48"/>
        <v>332.70657056304185</v>
      </c>
      <c r="U261" s="20">
        <f t="shared" si="48"/>
        <v>332.70657056304185</v>
      </c>
    </row>
    <row r="262" spans="1:21">
      <c r="A262" s="15" t="s">
        <v>266</v>
      </c>
      <c r="B262" s="22" t="str">
        <f>A42</f>
        <v>BTP 3,60% ott 2035</v>
      </c>
      <c r="C262" s="13">
        <f>EDATE($B$42,-6*3)</f>
        <v>49035</v>
      </c>
      <c r="D262" s="23">
        <f>MAX(1,(YEAR(C262)-YEAR('1 - Titoli e shock'!$B$6))+IF(MONTH(C262)*100+DAY(C262)&gt;MONTH('1 - Titoli e shock'!$B$6)*100+DAY('1 - Titoli e shock'!$B$6),1,0))</f>
        <v>8</v>
      </c>
      <c r="E262" s="20">
        <f>IF(C262&lt;='1 - Titoli e shock'!$B$17,('1 - Titoli e shock'!$C$29*100/2-'1 - Titoli e shock'!$B$8*'1 - Titoli e shock'!$C$29*100/2*IF(EDATE(C262,-6)&lt;='1 - Titoli e shock'!$B$6,(C262-'1 - Titoli e shock'!$B$6)/(C262-EDATE(C262,-6)),1))*$C$42,0)</f>
        <v>332.70657056304185</v>
      </c>
      <c r="F262" s="20">
        <f t="shared" si="48"/>
        <v>332.70657056304185</v>
      </c>
      <c r="G262" s="20">
        <f t="shared" si="48"/>
        <v>332.70657056304185</v>
      </c>
      <c r="H262" s="20">
        <f t="shared" si="48"/>
        <v>332.70657056304185</v>
      </c>
      <c r="I262" s="20">
        <f t="shared" si="48"/>
        <v>332.70657056304185</v>
      </c>
      <c r="J262" s="20">
        <f t="shared" si="48"/>
        <v>332.70657056304185</v>
      </c>
      <c r="K262" s="20">
        <f t="shared" si="48"/>
        <v>332.70657056304185</v>
      </c>
      <c r="L262" s="20">
        <f t="shared" si="48"/>
        <v>332.70657056304185</v>
      </c>
      <c r="M262" s="20">
        <f t="shared" si="48"/>
        <v>332.70657056304185</v>
      </c>
      <c r="N262" s="20">
        <f t="shared" si="48"/>
        <v>332.70657056304185</v>
      </c>
      <c r="O262" s="20">
        <f t="shared" si="48"/>
        <v>332.70657056304185</v>
      </c>
      <c r="P262" s="20">
        <f t="shared" si="48"/>
        <v>332.70657056304185</v>
      </c>
      <c r="Q262" s="20">
        <f t="shared" si="48"/>
        <v>332.70657056304185</v>
      </c>
      <c r="R262" s="20">
        <f t="shared" si="48"/>
        <v>332.70657056304185</v>
      </c>
      <c r="S262" s="20">
        <f t="shared" si="48"/>
        <v>332.70657056304185</v>
      </c>
      <c r="T262" s="20">
        <f t="shared" si="48"/>
        <v>332.70657056304185</v>
      </c>
      <c r="U262" s="20">
        <f t="shared" si="48"/>
        <v>332.70657056304185</v>
      </c>
    </row>
    <row r="263" spans="1:21">
      <c r="A263" s="15" t="s">
        <v>266</v>
      </c>
      <c r="B263" s="22" t="str">
        <f>A42</f>
        <v>BTP 3,60% ott 2035</v>
      </c>
      <c r="C263" s="13">
        <f>EDATE($B$42,-6*2)</f>
        <v>49218</v>
      </c>
      <c r="D263" s="23">
        <f>MAX(1,(YEAR(C263)-YEAR('1 - Titoli e shock'!$B$6))+IF(MONTH(C263)*100+DAY(C263)&gt;MONTH('1 - Titoli e shock'!$B$6)*100+DAY('1 - Titoli e shock'!$B$6),1,0))</f>
        <v>8</v>
      </c>
      <c r="E263" s="20">
        <f>IF(C263&lt;='1 - Titoli e shock'!$B$17,('1 - Titoli e shock'!$C$29*100/2-'1 - Titoli e shock'!$B$8*'1 - Titoli e shock'!$C$29*100/2*IF(EDATE(C263,-6)&lt;='1 - Titoli e shock'!$B$6,(C263-'1 - Titoli e shock'!$B$6)/(C263-EDATE(C263,-6)),1))*$C$42,0)</f>
        <v>332.70657056304185</v>
      </c>
      <c r="F263" s="20">
        <f t="shared" si="48"/>
        <v>332.70657056304185</v>
      </c>
      <c r="G263" s="20">
        <f t="shared" si="48"/>
        <v>332.70657056304185</v>
      </c>
      <c r="H263" s="20">
        <f t="shared" si="48"/>
        <v>332.70657056304185</v>
      </c>
      <c r="I263" s="20">
        <f t="shared" si="48"/>
        <v>332.70657056304185</v>
      </c>
      <c r="J263" s="20">
        <f t="shared" si="48"/>
        <v>332.70657056304185</v>
      </c>
      <c r="K263" s="20">
        <f t="shared" si="48"/>
        <v>332.70657056304185</v>
      </c>
      <c r="L263" s="20">
        <f t="shared" si="48"/>
        <v>332.70657056304185</v>
      </c>
      <c r="M263" s="20">
        <f t="shared" si="48"/>
        <v>332.70657056304185</v>
      </c>
      <c r="N263" s="20">
        <f t="shared" si="48"/>
        <v>332.70657056304185</v>
      </c>
      <c r="O263" s="20">
        <f t="shared" si="48"/>
        <v>332.70657056304185</v>
      </c>
      <c r="P263" s="20">
        <f t="shared" si="48"/>
        <v>332.70657056304185</v>
      </c>
      <c r="Q263" s="20">
        <f t="shared" si="48"/>
        <v>332.70657056304185</v>
      </c>
      <c r="R263" s="20">
        <f t="shared" si="48"/>
        <v>332.70657056304185</v>
      </c>
      <c r="S263" s="20">
        <f t="shared" si="48"/>
        <v>332.70657056304185</v>
      </c>
      <c r="T263" s="20">
        <f t="shared" si="48"/>
        <v>332.70657056304185</v>
      </c>
      <c r="U263" s="20">
        <f t="shared" si="48"/>
        <v>332.70657056304185</v>
      </c>
    </row>
    <row r="264" spans="1:21">
      <c r="A264" s="15" t="s">
        <v>266</v>
      </c>
      <c r="B264" s="22" t="str">
        <f>A42</f>
        <v>BTP 3,60% ott 2035</v>
      </c>
      <c r="C264" s="13">
        <f>EDATE($B$42,-6*1)</f>
        <v>49400</v>
      </c>
      <c r="D264" s="23">
        <f>MAX(1,(YEAR(C264)-YEAR('1 - Titoli e shock'!$B$6))+IF(MONTH(C264)*100+DAY(C264)&gt;MONTH('1 - Titoli e shock'!$B$6)*100+DAY('1 - Titoli e shock'!$B$6),1,0))</f>
        <v>9</v>
      </c>
      <c r="E264" s="20">
        <f>IF(C264&lt;='1 - Titoli e shock'!$B$17,('1 - Titoli e shock'!$C$29*100/2-'1 - Titoli e shock'!$B$8*'1 - Titoli e shock'!$C$29*100/2*IF(EDATE(C264,-6)&lt;='1 - Titoli e shock'!$B$6,(C264-'1 - Titoli e shock'!$B$6)/(C264-EDATE(C264,-6)),1))*$C$42,0)</f>
        <v>332.70657056304185</v>
      </c>
      <c r="F264" s="20">
        <f t="shared" si="48"/>
        <v>332.70657056304185</v>
      </c>
      <c r="G264" s="20">
        <f t="shared" si="48"/>
        <v>332.70657056304185</v>
      </c>
      <c r="H264" s="20">
        <f t="shared" si="48"/>
        <v>332.70657056304185</v>
      </c>
      <c r="I264" s="20">
        <f t="shared" si="48"/>
        <v>332.70657056304185</v>
      </c>
      <c r="J264" s="20">
        <f t="shared" si="48"/>
        <v>332.70657056304185</v>
      </c>
      <c r="K264" s="20">
        <f t="shared" si="48"/>
        <v>332.70657056304185</v>
      </c>
      <c r="L264" s="20">
        <f t="shared" si="48"/>
        <v>332.70657056304185</v>
      </c>
      <c r="M264" s="20">
        <f t="shared" si="48"/>
        <v>332.70657056304185</v>
      </c>
      <c r="N264" s="20">
        <f t="shared" si="48"/>
        <v>332.70657056304185</v>
      </c>
      <c r="O264" s="20">
        <f t="shared" si="48"/>
        <v>332.70657056304185</v>
      </c>
      <c r="P264" s="20">
        <f t="shared" si="48"/>
        <v>332.70657056304185</v>
      </c>
      <c r="Q264" s="20">
        <f t="shared" si="48"/>
        <v>332.70657056304185</v>
      </c>
      <c r="R264" s="20">
        <f t="shared" si="48"/>
        <v>332.70657056304185</v>
      </c>
      <c r="S264" s="20">
        <f t="shared" si="48"/>
        <v>332.70657056304185</v>
      </c>
      <c r="T264" s="20">
        <f t="shared" si="48"/>
        <v>332.70657056304185</v>
      </c>
      <c r="U264" s="20">
        <f t="shared" si="48"/>
        <v>332.70657056304185</v>
      </c>
    </row>
    <row r="265" spans="1:21">
      <c r="A265" s="15" t="s">
        <v>266</v>
      </c>
      <c r="B265" s="22" t="str">
        <f>A42</f>
        <v>BTP 3,60% ott 2035</v>
      </c>
      <c r="C265" s="13">
        <f>EDATE($B$42,-6*0)</f>
        <v>49583</v>
      </c>
      <c r="D265" s="23">
        <f>MAX(1,(YEAR(C265)-YEAR('1 - Titoli e shock'!$B$6))+IF(MONTH(C265)*100+DAY(C265)&gt;MONTH('1 - Titoli e shock'!$B$6)*100+DAY('1 - Titoli e shock'!$B$6),1,0))</f>
        <v>9</v>
      </c>
      <c r="E265" s="20">
        <f>IF(C265&lt;='1 - Titoli e shock'!$B$17,('1 - Titoli e shock'!$C$29*100/2-'1 - Titoli e shock'!$B$8*'1 - Titoli e shock'!$C$29*100/2*IF(EDATE(C265,-6)&lt;='1 - Titoli e shock'!$B$6,(C265-'1 - Titoli e shock'!$B$6)/(C265-EDATE(C265,-6)),1))*$C$42,0)</f>
        <v>332.70657056304185</v>
      </c>
      <c r="F265" s="20">
        <f t="shared" si="48"/>
        <v>332.70657056304185</v>
      </c>
      <c r="G265" s="20">
        <f t="shared" si="48"/>
        <v>332.70657056304185</v>
      </c>
      <c r="H265" s="20">
        <f t="shared" si="48"/>
        <v>332.70657056304185</v>
      </c>
      <c r="I265" s="20">
        <f t="shared" si="48"/>
        <v>332.70657056304185</v>
      </c>
      <c r="J265" s="20">
        <f t="shared" si="48"/>
        <v>332.70657056304185</v>
      </c>
      <c r="K265" s="20">
        <f t="shared" si="48"/>
        <v>332.70657056304185</v>
      </c>
      <c r="L265" s="20">
        <f t="shared" si="48"/>
        <v>332.70657056304185</v>
      </c>
      <c r="M265" s="20">
        <f t="shared" si="48"/>
        <v>332.70657056304185</v>
      </c>
      <c r="N265" s="20">
        <f t="shared" si="48"/>
        <v>332.70657056304185</v>
      </c>
      <c r="O265" s="20">
        <f t="shared" si="48"/>
        <v>332.70657056304185</v>
      </c>
      <c r="P265" s="20">
        <f t="shared" si="48"/>
        <v>332.70657056304185</v>
      </c>
      <c r="Q265" s="20">
        <f t="shared" si="48"/>
        <v>332.70657056304185</v>
      </c>
      <c r="R265" s="20">
        <f t="shared" si="48"/>
        <v>332.70657056304185</v>
      </c>
      <c r="S265" s="20">
        <f t="shared" si="48"/>
        <v>332.70657056304185</v>
      </c>
      <c r="T265" s="20">
        <f t="shared" si="48"/>
        <v>332.70657056304185</v>
      </c>
      <c r="U265" s="20">
        <f t="shared" si="48"/>
        <v>332.70657056304185</v>
      </c>
    </row>
    <row r="266" spans="1:21">
      <c r="A266" s="15" t="s">
        <v>266</v>
      </c>
      <c r="B266" s="22" t="str">
        <f>A43</f>
        <v>BTP 4,00% ott 2036</v>
      </c>
      <c r="C266" s="13">
        <f>EDATE($B$43,-6*19)</f>
        <v>46478</v>
      </c>
      <c r="D266" s="23">
        <f>MAX(1,(YEAR(C266)-YEAR('1 - Titoli e shock'!$B$6))+IF(MONTH(C266)*100+DAY(C266)&gt;MONTH('1 - Titoli e shock'!$B$6)*100+DAY('1 - Titoli e shock'!$B$6),1,0))</f>
        <v>1</v>
      </c>
      <c r="E266" s="20">
        <f>IF(C266&lt;='1 - Titoli e shock'!$B$17,('1 - Titoli e shock'!$C$30*100/2-'1 - Titoli e shock'!$B$8*'1 - Titoli e shock'!$C$30*100/2*IF(EDATE(C266,-6)&lt;='1 - Titoli e shock'!$B$6,(C266-'1 - Titoli e shock'!$B$6)/(C266-EDATE(C266,-6)),1))*$C$43,0)</f>
        <v>367.06631058582872</v>
      </c>
      <c r="F266" s="20">
        <f t="shared" si="48"/>
        <v>367.06631058582872</v>
      </c>
      <c r="G266" s="20">
        <f t="shared" si="48"/>
        <v>367.06631058582872</v>
      </c>
      <c r="H266" s="20">
        <f t="shared" si="48"/>
        <v>367.06631058582872</v>
      </c>
      <c r="I266" s="20">
        <f t="shared" si="48"/>
        <v>367.06631058582872</v>
      </c>
      <c r="J266" s="20">
        <f t="shared" si="48"/>
        <v>367.06631058582872</v>
      </c>
      <c r="K266" s="20">
        <f t="shared" si="48"/>
        <v>367.06631058582872</v>
      </c>
      <c r="L266" s="20">
        <f t="shared" si="48"/>
        <v>367.06631058582872</v>
      </c>
      <c r="M266" s="20">
        <f t="shared" si="48"/>
        <v>367.06631058582872</v>
      </c>
      <c r="N266" s="20">
        <f t="shared" si="48"/>
        <v>367.06631058582872</v>
      </c>
      <c r="O266" s="20">
        <f t="shared" si="48"/>
        <v>367.06631058582872</v>
      </c>
      <c r="P266" s="20">
        <f t="shared" si="48"/>
        <v>367.06631058582872</v>
      </c>
      <c r="Q266" s="20">
        <f t="shared" si="48"/>
        <v>367.06631058582872</v>
      </c>
      <c r="R266" s="20">
        <f t="shared" si="48"/>
        <v>367.06631058582872</v>
      </c>
      <c r="S266" s="20">
        <f t="shared" si="48"/>
        <v>367.06631058582872</v>
      </c>
      <c r="T266" s="20">
        <f t="shared" si="48"/>
        <v>367.06631058582872</v>
      </c>
      <c r="U266" s="20">
        <f t="shared" si="48"/>
        <v>367.06631058582872</v>
      </c>
    </row>
    <row r="267" spans="1:21">
      <c r="A267" s="15" t="s">
        <v>266</v>
      </c>
      <c r="B267" s="22" t="str">
        <f>A43</f>
        <v>BTP 4,00% ott 2036</v>
      </c>
      <c r="C267" s="13">
        <f>EDATE($B$43,-6*18)</f>
        <v>46661</v>
      </c>
      <c r="D267" s="23">
        <f>MAX(1,(YEAR(C267)-YEAR('1 - Titoli e shock'!$B$6))+IF(MONTH(C267)*100+DAY(C267)&gt;MONTH('1 - Titoli e shock'!$B$6)*100+DAY('1 - Titoli e shock'!$B$6),1,0))</f>
        <v>1</v>
      </c>
      <c r="E267" s="20">
        <f>IF(C267&lt;='1 - Titoli e shock'!$B$17,('1 - Titoli e shock'!$C$30*100/2-'1 - Titoli e shock'!$B$8*'1 - Titoli e shock'!$C$30*100/2*IF(EDATE(C267,-6)&lt;='1 - Titoli e shock'!$B$6,(C267-'1 - Titoli e shock'!$B$6)/(C267-EDATE(C267,-6)),1))*$C$43,0)</f>
        <v>361.95238365816238</v>
      </c>
      <c r="F267" s="20">
        <f t="shared" si="48"/>
        <v>361.95238365816238</v>
      </c>
      <c r="G267" s="20">
        <f t="shared" si="48"/>
        <v>361.95238365816238</v>
      </c>
      <c r="H267" s="20">
        <f t="shared" si="48"/>
        <v>361.95238365816238</v>
      </c>
      <c r="I267" s="20">
        <f t="shared" si="48"/>
        <v>361.95238365816238</v>
      </c>
      <c r="J267" s="20">
        <f t="shared" si="48"/>
        <v>361.95238365816238</v>
      </c>
      <c r="K267" s="20">
        <f t="shared" si="48"/>
        <v>361.95238365816238</v>
      </c>
      <c r="L267" s="20">
        <f t="shared" si="48"/>
        <v>361.95238365816238</v>
      </c>
      <c r="M267" s="20">
        <f t="shared" si="48"/>
        <v>361.95238365816238</v>
      </c>
      <c r="N267" s="20">
        <f t="shared" si="48"/>
        <v>361.95238365816238</v>
      </c>
      <c r="O267" s="20">
        <f t="shared" si="48"/>
        <v>361.95238365816238</v>
      </c>
      <c r="P267" s="20">
        <f t="shared" si="48"/>
        <v>361.95238365816238</v>
      </c>
      <c r="Q267" s="20">
        <f t="shared" si="48"/>
        <v>361.95238365816238</v>
      </c>
      <c r="R267" s="20">
        <f t="shared" si="48"/>
        <v>361.95238365816238</v>
      </c>
      <c r="S267" s="20">
        <f t="shared" si="48"/>
        <v>361.95238365816238</v>
      </c>
      <c r="T267" s="20">
        <f t="shared" si="48"/>
        <v>361.95238365816238</v>
      </c>
      <c r="U267" s="20">
        <f t="shared" si="48"/>
        <v>361.95238365816238</v>
      </c>
    </row>
    <row r="268" spans="1:21">
      <c r="A268" s="15" t="s">
        <v>266</v>
      </c>
      <c r="B268" s="22" t="str">
        <f>A43</f>
        <v>BTP 4,00% ott 2036</v>
      </c>
      <c r="C268" s="13">
        <f>EDATE($B$43,-6*17)</f>
        <v>46844</v>
      </c>
      <c r="D268" s="23">
        <f>MAX(1,(YEAR(C268)-YEAR('1 - Titoli e shock'!$B$6))+IF(MONTH(C268)*100+DAY(C268)&gt;MONTH('1 - Titoli e shock'!$B$6)*100+DAY('1 - Titoli e shock'!$B$6),1,0))</f>
        <v>2</v>
      </c>
      <c r="E268" s="20">
        <f>IF(C268&lt;='1 - Titoli e shock'!$B$17,('1 - Titoli e shock'!$C$30*100/2-'1 - Titoli e shock'!$B$8*'1 - Titoli e shock'!$C$30*100/2*IF(EDATE(C268,-6)&lt;='1 - Titoli e shock'!$B$6,(C268-'1 - Titoli e shock'!$B$6)/(C268-EDATE(C268,-6)),1))*$C$43,0)</f>
        <v>361.95238365816238</v>
      </c>
      <c r="F268" s="20">
        <f t="shared" si="48"/>
        <v>361.95238365816238</v>
      </c>
      <c r="G268" s="20">
        <f t="shared" si="48"/>
        <v>361.95238365816238</v>
      </c>
      <c r="H268" s="20">
        <f t="shared" si="48"/>
        <v>361.95238365816238</v>
      </c>
      <c r="I268" s="20">
        <f t="shared" si="48"/>
        <v>361.95238365816238</v>
      </c>
      <c r="J268" s="20">
        <f t="shared" si="48"/>
        <v>361.95238365816238</v>
      </c>
      <c r="K268" s="20">
        <f t="shared" si="48"/>
        <v>361.95238365816238</v>
      </c>
      <c r="L268" s="20">
        <f t="shared" si="48"/>
        <v>361.95238365816238</v>
      </c>
      <c r="M268" s="20">
        <f t="shared" si="48"/>
        <v>361.95238365816238</v>
      </c>
      <c r="N268" s="20">
        <f t="shared" si="48"/>
        <v>361.95238365816238</v>
      </c>
      <c r="O268" s="20">
        <f t="shared" si="48"/>
        <v>361.95238365816238</v>
      </c>
      <c r="P268" s="20">
        <f t="shared" si="48"/>
        <v>361.95238365816238</v>
      </c>
      <c r="Q268" s="20">
        <f t="shared" si="48"/>
        <v>361.95238365816238</v>
      </c>
      <c r="R268" s="20">
        <f t="shared" si="48"/>
        <v>361.95238365816238</v>
      </c>
      <c r="S268" s="20">
        <f t="shared" si="48"/>
        <v>361.95238365816238</v>
      </c>
      <c r="T268" s="20">
        <f t="shared" si="48"/>
        <v>361.95238365816238</v>
      </c>
      <c r="U268" s="20">
        <f t="shared" si="48"/>
        <v>361.95238365816238</v>
      </c>
    </row>
    <row r="269" spans="1:21">
      <c r="A269" s="15" t="s">
        <v>266</v>
      </c>
      <c r="B269" s="22" t="str">
        <f>A43</f>
        <v>BTP 4,00% ott 2036</v>
      </c>
      <c r="C269" s="13">
        <f>EDATE($B$43,-6*16)</f>
        <v>47027</v>
      </c>
      <c r="D269" s="23">
        <f>MAX(1,(YEAR(C269)-YEAR('1 - Titoli e shock'!$B$6))+IF(MONTH(C269)*100+DAY(C269)&gt;MONTH('1 - Titoli e shock'!$B$6)*100+DAY('1 - Titoli e shock'!$B$6),1,0))</f>
        <v>2</v>
      </c>
      <c r="E269" s="20">
        <f>IF(C269&lt;='1 - Titoli e shock'!$B$17,('1 - Titoli e shock'!$C$30*100/2-'1 - Titoli e shock'!$B$8*'1 - Titoli e shock'!$C$30*100/2*IF(EDATE(C269,-6)&lt;='1 - Titoli e shock'!$B$6,(C269-'1 - Titoli e shock'!$B$6)/(C269-EDATE(C269,-6)),1))*$C$43,0)</f>
        <v>361.95238365816238</v>
      </c>
      <c r="F269" s="20">
        <f t="shared" si="48"/>
        <v>361.95238365816238</v>
      </c>
      <c r="G269" s="20">
        <f t="shared" si="48"/>
        <v>361.95238365816238</v>
      </c>
      <c r="H269" s="20">
        <f t="shared" si="48"/>
        <v>361.95238365816238</v>
      </c>
      <c r="I269" s="20">
        <f t="shared" si="48"/>
        <v>361.95238365816238</v>
      </c>
      <c r="J269" s="20">
        <f t="shared" si="48"/>
        <v>361.95238365816238</v>
      </c>
      <c r="K269" s="20">
        <f t="shared" si="48"/>
        <v>361.95238365816238</v>
      </c>
      <c r="L269" s="20">
        <f t="shared" si="48"/>
        <v>361.95238365816238</v>
      </c>
      <c r="M269" s="20">
        <f t="shared" si="48"/>
        <v>361.95238365816238</v>
      </c>
      <c r="N269" s="20">
        <f t="shared" si="48"/>
        <v>361.95238365816238</v>
      </c>
      <c r="O269" s="20">
        <f t="shared" si="48"/>
        <v>361.95238365816238</v>
      </c>
      <c r="P269" s="20">
        <f t="shared" si="48"/>
        <v>361.95238365816238</v>
      </c>
      <c r="Q269" s="20">
        <f t="shared" si="48"/>
        <v>361.95238365816238</v>
      </c>
      <c r="R269" s="20">
        <f t="shared" si="48"/>
        <v>361.95238365816238</v>
      </c>
      <c r="S269" s="20">
        <f t="shared" si="48"/>
        <v>361.95238365816238</v>
      </c>
      <c r="T269" s="20">
        <f t="shared" si="48"/>
        <v>361.95238365816238</v>
      </c>
      <c r="U269" s="20">
        <f t="shared" si="48"/>
        <v>361.95238365816238</v>
      </c>
    </row>
    <row r="270" spans="1:21">
      <c r="A270" s="15" t="s">
        <v>266</v>
      </c>
      <c r="B270" s="22" t="str">
        <f>A43</f>
        <v>BTP 4,00% ott 2036</v>
      </c>
      <c r="C270" s="13">
        <f>EDATE($B$43,-6*15)</f>
        <v>47209</v>
      </c>
      <c r="D270" s="23">
        <f>MAX(1,(YEAR(C270)-YEAR('1 - Titoli e shock'!$B$6))+IF(MONTH(C270)*100+DAY(C270)&gt;MONTH('1 - Titoli e shock'!$B$6)*100+DAY('1 - Titoli e shock'!$B$6),1,0))</f>
        <v>3</v>
      </c>
      <c r="E270" s="20">
        <f>IF(C270&lt;='1 - Titoli e shock'!$B$17,('1 - Titoli e shock'!$C$30*100/2-'1 - Titoli e shock'!$B$8*'1 - Titoli e shock'!$C$30*100/2*IF(EDATE(C270,-6)&lt;='1 - Titoli e shock'!$B$6,(C270-'1 - Titoli e shock'!$B$6)/(C270-EDATE(C270,-6)),1))*$C$43,0)</f>
        <v>361.95238365816238</v>
      </c>
      <c r="F270" s="20">
        <f t="shared" si="48"/>
        <v>361.95238365816238</v>
      </c>
      <c r="G270" s="20">
        <f t="shared" si="48"/>
        <v>361.95238365816238</v>
      </c>
      <c r="H270" s="20">
        <f t="shared" si="48"/>
        <v>361.95238365816238</v>
      </c>
      <c r="I270" s="20">
        <f t="shared" si="48"/>
        <v>361.95238365816238</v>
      </c>
      <c r="J270" s="20">
        <f t="shared" si="48"/>
        <v>361.95238365816238</v>
      </c>
      <c r="K270" s="20">
        <f t="shared" si="48"/>
        <v>361.95238365816238</v>
      </c>
      <c r="L270" s="20">
        <f t="shared" si="48"/>
        <v>361.95238365816238</v>
      </c>
      <c r="M270" s="20">
        <f t="shared" si="48"/>
        <v>361.95238365816238</v>
      </c>
      <c r="N270" s="20">
        <f t="shared" si="48"/>
        <v>361.95238365816238</v>
      </c>
      <c r="O270" s="20">
        <f t="shared" si="48"/>
        <v>361.95238365816238</v>
      </c>
      <c r="P270" s="20">
        <f t="shared" si="48"/>
        <v>361.95238365816238</v>
      </c>
      <c r="Q270" s="20">
        <f t="shared" si="48"/>
        <v>361.95238365816238</v>
      </c>
      <c r="R270" s="20">
        <f t="shared" si="48"/>
        <v>361.95238365816238</v>
      </c>
      <c r="S270" s="20">
        <f t="shared" si="48"/>
        <v>361.95238365816238</v>
      </c>
      <c r="T270" s="20">
        <f t="shared" si="48"/>
        <v>361.95238365816238</v>
      </c>
      <c r="U270" s="20">
        <f t="shared" si="48"/>
        <v>361.95238365816238</v>
      </c>
    </row>
    <row r="271" spans="1:21">
      <c r="A271" s="15" t="s">
        <v>266</v>
      </c>
      <c r="B271" s="22" t="str">
        <f>A43</f>
        <v>BTP 4,00% ott 2036</v>
      </c>
      <c r="C271" s="13">
        <f>EDATE($B$43,-6*14)</f>
        <v>47392</v>
      </c>
      <c r="D271" s="23">
        <f>MAX(1,(YEAR(C271)-YEAR('1 - Titoli e shock'!$B$6))+IF(MONTH(C271)*100+DAY(C271)&gt;MONTH('1 - Titoli e shock'!$B$6)*100+DAY('1 - Titoli e shock'!$B$6),1,0))</f>
        <v>3</v>
      </c>
      <c r="E271" s="20">
        <f>IF(C271&lt;='1 - Titoli e shock'!$B$17,('1 - Titoli e shock'!$C$30*100/2-'1 - Titoli e shock'!$B$8*'1 - Titoli e shock'!$C$30*100/2*IF(EDATE(C271,-6)&lt;='1 - Titoli e shock'!$B$6,(C271-'1 - Titoli e shock'!$B$6)/(C271-EDATE(C271,-6)),1))*$C$43,0)</f>
        <v>361.95238365816238</v>
      </c>
      <c r="F271" s="20">
        <f t="shared" ref="F271:U285" si="49">$E271</f>
        <v>361.95238365816238</v>
      </c>
      <c r="G271" s="20">
        <f t="shared" si="49"/>
        <v>361.95238365816238</v>
      </c>
      <c r="H271" s="20">
        <f t="shared" si="49"/>
        <v>361.95238365816238</v>
      </c>
      <c r="I271" s="20">
        <f t="shared" si="49"/>
        <v>361.95238365816238</v>
      </c>
      <c r="J271" s="20">
        <f t="shared" si="49"/>
        <v>361.95238365816238</v>
      </c>
      <c r="K271" s="20">
        <f t="shared" si="49"/>
        <v>361.95238365816238</v>
      </c>
      <c r="L271" s="20">
        <f t="shared" si="49"/>
        <v>361.95238365816238</v>
      </c>
      <c r="M271" s="20">
        <f t="shared" si="49"/>
        <v>361.95238365816238</v>
      </c>
      <c r="N271" s="20">
        <f t="shared" si="49"/>
        <v>361.95238365816238</v>
      </c>
      <c r="O271" s="20">
        <f t="shared" si="49"/>
        <v>361.95238365816238</v>
      </c>
      <c r="P271" s="20">
        <f t="shared" si="49"/>
        <v>361.95238365816238</v>
      </c>
      <c r="Q271" s="20">
        <f t="shared" si="49"/>
        <v>361.95238365816238</v>
      </c>
      <c r="R271" s="20">
        <f t="shared" si="49"/>
        <v>361.95238365816238</v>
      </c>
      <c r="S271" s="20">
        <f t="shared" si="49"/>
        <v>361.95238365816238</v>
      </c>
      <c r="T271" s="20">
        <f t="shared" si="49"/>
        <v>361.95238365816238</v>
      </c>
      <c r="U271" s="20">
        <f t="shared" si="49"/>
        <v>361.95238365816238</v>
      </c>
    </row>
    <row r="272" spans="1:21">
      <c r="A272" s="15" t="s">
        <v>266</v>
      </c>
      <c r="B272" s="22" t="str">
        <f>A43</f>
        <v>BTP 4,00% ott 2036</v>
      </c>
      <c r="C272" s="13">
        <f>EDATE($B$43,-6*13)</f>
        <v>47574</v>
      </c>
      <c r="D272" s="23">
        <f>MAX(1,(YEAR(C272)-YEAR('1 - Titoli e shock'!$B$6))+IF(MONTH(C272)*100+DAY(C272)&gt;MONTH('1 - Titoli e shock'!$B$6)*100+DAY('1 - Titoli e shock'!$B$6),1,0))</f>
        <v>4</v>
      </c>
      <c r="E272" s="20">
        <f>IF(C272&lt;='1 - Titoli e shock'!$B$17,('1 - Titoli e shock'!$C$30*100/2-'1 - Titoli e shock'!$B$8*'1 - Titoli e shock'!$C$30*100/2*IF(EDATE(C272,-6)&lt;='1 - Titoli e shock'!$B$6,(C272-'1 - Titoli e shock'!$B$6)/(C272-EDATE(C272,-6)),1))*$C$43,0)</f>
        <v>361.95238365816238</v>
      </c>
      <c r="F272" s="20">
        <f t="shared" si="49"/>
        <v>361.95238365816238</v>
      </c>
      <c r="G272" s="20">
        <f t="shared" si="49"/>
        <v>361.95238365816238</v>
      </c>
      <c r="H272" s="20">
        <f t="shared" si="49"/>
        <v>361.95238365816238</v>
      </c>
      <c r="I272" s="20">
        <f t="shared" si="49"/>
        <v>361.95238365816238</v>
      </c>
      <c r="J272" s="20">
        <f t="shared" si="49"/>
        <v>361.95238365816238</v>
      </c>
      <c r="K272" s="20">
        <f t="shared" si="49"/>
        <v>361.95238365816238</v>
      </c>
      <c r="L272" s="20">
        <f t="shared" si="49"/>
        <v>361.95238365816238</v>
      </c>
      <c r="M272" s="20">
        <f t="shared" si="49"/>
        <v>361.95238365816238</v>
      </c>
      <c r="N272" s="20">
        <f t="shared" si="49"/>
        <v>361.95238365816238</v>
      </c>
      <c r="O272" s="20">
        <f t="shared" si="49"/>
        <v>361.95238365816238</v>
      </c>
      <c r="P272" s="20">
        <f t="shared" si="49"/>
        <v>361.95238365816238</v>
      </c>
      <c r="Q272" s="20">
        <f t="shared" si="49"/>
        <v>361.95238365816238</v>
      </c>
      <c r="R272" s="20">
        <f t="shared" si="49"/>
        <v>361.95238365816238</v>
      </c>
      <c r="S272" s="20">
        <f t="shared" si="49"/>
        <v>361.95238365816238</v>
      </c>
      <c r="T272" s="20">
        <f t="shared" si="49"/>
        <v>361.95238365816238</v>
      </c>
      <c r="U272" s="20">
        <f t="shared" si="49"/>
        <v>361.95238365816238</v>
      </c>
    </row>
    <row r="273" spans="1:21">
      <c r="A273" s="15" t="s">
        <v>266</v>
      </c>
      <c r="B273" s="22" t="str">
        <f>A43</f>
        <v>BTP 4,00% ott 2036</v>
      </c>
      <c r="C273" s="13">
        <f>EDATE($B$43,-6*12)</f>
        <v>47757</v>
      </c>
      <c r="D273" s="23">
        <f>MAX(1,(YEAR(C273)-YEAR('1 - Titoli e shock'!$B$6))+IF(MONTH(C273)*100+DAY(C273)&gt;MONTH('1 - Titoli e shock'!$B$6)*100+DAY('1 - Titoli e shock'!$B$6),1,0))</f>
        <v>4</v>
      </c>
      <c r="E273" s="20">
        <f>IF(C273&lt;='1 - Titoli e shock'!$B$17,('1 - Titoli e shock'!$C$30*100/2-'1 - Titoli e shock'!$B$8*'1 - Titoli e shock'!$C$30*100/2*IF(EDATE(C273,-6)&lt;='1 - Titoli e shock'!$B$6,(C273-'1 - Titoli e shock'!$B$6)/(C273-EDATE(C273,-6)),1))*$C$43,0)</f>
        <v>361.95238365816238</v>
      </c>
      <c r="F273" s="20">
        <f t="shared" si="49"/>
        <v>361.95238365816238</v>
      </c>
      <c r="G273" s="20">
        <f t="shared" si="49"/>
        <v>361.95238365816238</v>
      </c>
      <c r="H273" s="20">
        <f t="shared" si="49"/>
        <v>361.95238365816238</v>
      </c>
      <c r="I273" s="20">
        <f t="shared" si="49"/>
        <v>361.95238365816238</v>
      </c>
      <c r="J273" s="20">
        <f t="shared" si="49"/>
        <v>361.95238365816238</v>
      </c>
      <c r="K273" s="20">
        <f t="shared" si="49"/>
        <v>361.95238365816238</v>
      </c>
      <c r="L273" s="20">
        <f t="shared" si="49"/>
        <v>361.95238365816238</v>
      </c>
      <c r="M273" s="20">
        <f t="shared" si="49"/>
        <v>361.95238365816238</v>
      </c>
      <c r="N273" s="20">
        <f t="shared" si="49"/>
        <v>361.95238365816238</v>
      </c>
      <c r="O273" s="20">
        <f t="shared" si="49"/>
        <v>361.95238365816238</v>
      </c>
      <c r="P273" s="20">
        <f t="shared" si="49"/>
        <v>361.95238365816238</v>
      </c>
      <c r="Q273" s="20">
        <f t="shared" si="49"/>
        <v>361.95238365816238</v>
      </c>
      <c r="R273" s="20">
        <f t="shared" si="49"/>
        <v>361.95238365816238</v>
      </c>
      <c r="S273" s="20">
        <f t="shared" si="49"/>
        <v>361.95238365816238</v>
      </c>
      <c r="T273" s="20">
        <f t="shared" si="49"/>
        <v>361.95238365816238</v>
      </c>
      <c r="U273" s="20">
        <f t="shared" si="49"/>
        <v>361.95238365816238</v>
      </c>
    </row>
    <row r="274" spans="1:21">
      <c r="A274" s="15" t="s">
        <v>266</v>
      </c>
      <c r="B274" s="22" t="str">
        <f>A43</f>
        <v>BTP 4,00% ott 2036</v>
      </c>
      <c r="C274" s="13">
        <f>EDATE($B$43,-6*11)</f>
        <v>47939</v>
      </c>
      <c r="D274" s="23">
        <f>MAX(1,(YEAR(C274)-YEAR('1 - Titoli e shock'!$B$6))+IF(MONTH(C274)*100+DAY(C274)&gt;MONTH('1 - Titoli e shock'!$B$6)*100+DAY('1 - Titoli e shock'!$B$6),1,0))</f>
        <v>5</v>
      </c>
      <c r="E274" s="20">
        <f>IF(C274&lt;='1 - Titoli e shock'!$B$17,('1 - Titoli e shock'!$C$30*100/2-'1 - Titoli e shock'!$B$8*'1 - Titoli e shock'!$C$30*100/2*IF(EDATE(C274,-6)&lt;='1 - Titoli e shock'!$B$6,(C274-'1 - Titoli e shock'!$B$6)/(C274-EDATE(C274,-6)),1))*$C$43,0)</f>
        <v>361.95238365816238</v>
      </c>
      <c r="F274" s="20">
        <f t="shared" si="49"/>
        <v>361.95238365816238</v>
      </c>
      <c r="G274" s="20">
        <f t="shared" si="49"/>
        <v>361.95238365816238</v>
      </c>
      <c r="H274" s="20">
        <f t="shared" si="49"/>
        <v>361.95238365816238</v>
      </c>
      <c r="I274" s="20">
        <f t="shared" si="49"/>
        <v>361.95238365816238</v>
      </c>
      <c r="J274" s="20">
        <f t="shared" si="49"/>
        <v>361.95238365816238</v>
      </c>
      <c r="K274" s="20">
        <f t="shared" si="49"/>
        <v>361.95238365816238</v>
      </c>
      <c r="L274" s="20">
        <f t="shared" si="49"/>
        <v>361.95238365816238</v>
      </c>
      <c r="M274" s="20">
        <f t="shared" si="49"/>
        <v>361.95238365816238</v>
      </c>
      <c r="N274" s="20">
        <f t="shared" si="49"/>
        <v>361.95238365816238</v>
      </c>
      <c r="O274" s="20">
        <f t="shared" si="49"/>
        <v>361.95238365816238</v>
      </c>
      <c r="P274" s="20">
        <f t="shared" si="49"/>
        <v>361.95238365816238</v>
      </c>
      <c r="Q274" s="20">
        <f t="shared" si="49"/>
        <v>361.95238365816238</v>
      </c>
      <c r="R274" s="20">
        <f t="shared" si="49"/>
        <v>361.95238365816238</v>
      </c>
      <c r="S274" s="20">
        <f t="shared" si="49"/>
        <v>361.95238365816238</v>
      </c>
      <c r="T274" s="20">
        <f t="shared" si="49"/>
        <v>361.95238365816238</v>
      </c>
      <c r="U274" s="20">
        <f t="shared" si="49"/>
        <v>361.95238365816238</v>
      </c>
    </row>
    <row r="275" spans="1:21">
      <c r="A275" s="15" t="s">
        <v>266</v>
      </c>
      <c r="B275" s="22" t="str">
        <f>A43</f>
        <v>BTP 4,00% ott 2036</v>
      </c>
      <c r="C275" s="13">
        <f>EDATE($B$43,-6*10)</f>
        <v>48122</v>
      </c>
      <c r="D275" s="23">
        <f>MAX(1,(YEAR(C275)-YEAR('1 - Titoli e shock'!$B$6))+IF(MONTH(C275)*100+DAY(C275)&gt;MONTH('1 - Titoli e shock'!$B$6)*100+DAY('1 - Titoli e shock'!$B$6),1,0))</f>
        <v>5</v>
      </c>
      <c r="E275" s="20">
        <f>IF(C275&lt;='1 - Titoli e shock'!$B$17,('1 - Titoli e shock'!$C$30*100/2-'1 - Titoli e shock'!$B$8*'1 - Titoli e shock'!$C$30*100/2*IF(EDATE(C275,-6)&lt;='1 - Titoli e shock'!$B$6,(C275-'1 - Titoli e shock'!$B$6)/(C275-EDATE(C275,-6)),1))*$C$43,0)</f>
        <v>361.95238365816238</v>
      </c>
      <c r="F275" s="20">
        <f t="shared" si="49"/>
        <v>361.95238365816238</v>
      </c>
      <c r="G275" s="20">
        <f t="shared" si="49"/>
        <v>361.95238365816238</v>
      </c>
      <c r="H275" s="20">
        <f t="shared" si="49"/>
        <v>361.95238365816238</v>
      </c>
      <c r="I275" s="20">
        <f t="shared" si="49"/>
        <v>361.95238365816238</v>
      </c>
      <c r="J275" s="20">
        <f t="shared" si="49"/>
        <v>361.95238365816238</v>
      </c>
      <c r="K275" s="20">
        <f t="shared" si="49"/>
        <v>361.95238365816238</v>
      </c>
      <c r="L275" s="20">
        <f t="shared" si="49"/>
        <v>361.95238365816238</v>
      </c>
      <c r="M275" s="20">
        <f t="shared" si="49"/>
        <v>361.95238365816238</v>
      </c>
      <c r="N275" s="20">
        <f t="shared" si="49"/>
        <v>361.95238365816238</v>
      </c>
      <c r="O275" s="20">
        <f t="shared" si="49"/>
        <v>361.95238365816238</v>
      </c>
      <c r="P275" s="20">
        <f t="shared" si="49"/>
        <v>361.95238365816238</v>
      </c>
      <c r="Q275" s="20">
        <f t="shared" si="49"/>
        <v>361.95238365816238</v>
      </c>
      <c r="R275" s="20">
        <f t="shared" si="49"/>
        <v>361.95238365816238</v>
      </c>
      <c r="S275" s="20">
        <f t="shared" si="49"/>
        <v>361.95238365816238</v>
      </c>
      <c r="T275" s="20">
        <f t="shared" si="49"/>
        <v>361.95238365816238</v>
      </c>
      <c r="U275" s="20">
        <f t="shared" si="49"/>
        <v>361.95238365816238</v>
      </c>
    </row>
    <row r="276" spans="1:21">
      <c r="A276" s="15" t="s">
        <v>266</v>
      </c>
      <c r="B276" s="22" t="str">
        <f>A43</f>
        <v>BTP 4,00% ott 2036</v>
      </c>
      <c r="C276" s="13">
        <f>EDATE($B$43,-6*9)</f>
        <v>48305</v>
      </c>
      <c r="D276" s="23">
        <f>MAX(1,(YEAR(C276)-YEAR('1 - Titoli e shock'!$B$6))+IF(MONTH(C276)*100+DAY(C276)&gt;MONTH('1 - Titoli e shock'!$B$6)*100+DAY('1 - Titoli e shock'!$B$6),1,0))</f>
        <v>6</v>
      </c>
      <c r="E276" s="20">
        <f>IF(C276&lt;='1 - Titoli e shock'!$B$17,('1 - Titoli e shock'!$C$30*100/2-'1 - Titoli e shock'!$B$8*'1 - Titoli e shock'!$C$30*100/2*IF(EDATE(C276,-6)&lt;='1 - Titoli e shock'!$B$6,(C276-'1 - Titoli e shock'!$B$6)/(C276-EDATE(C276,-6)),1))*$C$43,0)</f>
        <v>361.95238365816238</v>
      </c>
      <c r="F276" s="20">
        <f t="shared" si="49"/>
        <v>361.95238365816238</v>
      </c>
      <c r="G276" s="20">
        <f t="shared" si="49"/>
        <v>361.95238365816238</v>
      </c>
      <c r="H276" s="20">
        <f t="shared" si="49"/>
        <v>361.95238365816238</v>
      </c>
      <c r="I276" s="20">
        <f t="shared" si="49"/>
        <v>361.95238365816238</v>
      </c>
      <c r="J276" s="20">
        <f t="shared" si="49"/>
        <v>361.95238365816238</v>
      </c>
      <c r="K276" s="20">
        <f t="shared" si="49"/>
        <v>361.95238365816238</v>
      </c>
      <c r="L276" s="20">
        <f t="shared" si="49"/>
        <v>361.95238365816238</v>
      </c>
      <c r="M276" s="20">
        <f t="shared" si="49"/>
        <v>361.95238365816238</v>
      </c>
      <c r="N276" s="20">
        <f t="shared" si="49"/>
        <v>361.95238365816238</v>
      </c>
      <c r="O276" s="20">
        <f t="shared" si="49"/>
        <v>361.95238365816238</v>
      </c>
      <c r="P276" s="20">
        <f t="shared" si="49"/>
        <v>361.95238365816238</v>
      </c>
      <c r="Q276" s="20">
        <f t="shared" si="49"/>
        <v>361.95238365816238</v>
      </c>
      <c r="R276" s="20">
        <f t="shared" si="49"/>
        <v>361.95238365816238</v>
      </c>
      <c r="S276" s="20">
        <f t="shared" si="49"/>
        <v>361.95238365816238</v>
      </c>
      <c r="T276" s="20">
        <f t="shared" si="49"/>
        <v>361.95238365816238</v>
      </c>
      <c r="U276" s="20">
        <f t="shared" si="49"/>
        <v>361.95238365816238</v>
      </c>
    </row>
    <row r="277" spans="1:21">
      <c r="A277" s="15" t="s">
        <v>266</v>
      </c>
      <c r="B277" s="22" t="str">
        <f>A43</f>
        <v>BTP 4,00% ott 2036</v>
      </c>
      <c r="C277" s="13">
        <f>EDATE($B$43,-6*8)</f>
        <v>48488</v>
      </c>
      <c r="D277" s="23">
        <f>MAX(1,(YEAR(C277)-YEAR('1 - Titoli e shock'!$B$6))+IF(MONTH(C277)*100+DAY(C277)&gt;MONTH('1 - Titoli e shock'!$B$6)*100+DAY('1 - Titoli e shock'!$B$6),1,0))</f>
        <v>6</v>
      </c>
      <c r="E277" s="20">
        <f>IF(C277&lt;='1 - Titoli e shock'!$B$17,('1 - Titoli e shock'!$C$30*100/2-'1 - Titoli e shock'!$B$8*'1 - Titoli e shock'!$C$30*100/2*IF(EDATE(C277,-6)&lt;='1 - Titoli e shock'!$B$6,(C277-'1 - Titoli e shock'!$B$6)/(C277-EDATE(C277,-6)),1))*$C$43,0)</f>
        <v>361.95238365816238</v>
      </c>
      <c r="F277" s="20">
        <f t="shared" si="49"/>
        <v>361.95238365816238</v>
      </c>
      <c r="G277" s="20">
        <f t="shared" si="49"/>
        <v>361.95238365816238</v>
      </c>
      <c r="H277" s="20">
        <f t="shared" si="49"/>
        <v>361.95238365816238</v>
      </c>
      <c r="I277" s="20">
        <f t="shared" si="49"/>
        <v>361.95238365816238</v>
      </c>
      <c r="J277" s="20">
        <f t="shared" si="49"/>
        <v>361.95238365816238</v>
      </c>
      <c r="K277" s="20">
        <f t="shared" si="49"/>
        <v>361.95238365816238</v>
      </c>
      <c r="L277" s="20">
        <f t="shared" si="49"/>
        <v>361.95238365816238</v>
      </c>
      <c r="M277" s="20">
        <f t="shared" si="49"/>
        <v>361.95238365816238</v>
      </c>
      <c r="N277" s="20">
        <f t="shared" si="49"/>
        <v>361.95238365816238</v>
      </c>
      <c r="O277" s="20">
        <f t="shared" si="49"/>
        <v>361.95238365816238</v>
      </c>
      <c r="P277" s="20">
        <f t="shared" si="49"/>
        <v>361.95238365816238</v>
      </c>
      <c r="Q277" s="20">
        <f t="shared" si="49"/>
        <v>361.95238365816238</v>
      </c>
      <c r="R277" s="20">
        <f t="shared" si="49"/>
        <v>361.95238365816238</v>
      </c>
      <c r="S277" s="20">
        <f t="shared" si="49"/>
        <v>361.95238365816238</v>
      </c>
      <c r="T277" s="20">
        <f t="shared" si="49"/>
        <v>361.95238365816238</v>
      </c>
      <c r="U277" s="20">
        <f t="shared" si="49"/>
        <v>361.95238365816238</v>
      </c>
    </row>
    <row r="278" spans="1:21">
      <c r="A278" s="15" t="s">
        <v>266</v>
      </c>
      <c r="B278" s="22" t="str">
        <f>A43</f>
        <v>BTP 4,00% ott 2036</v>
      </c>
      <c r="C278" s="13">
        <f>EDATE($B$43,-6*7)</f>
        <v>48670</v>
      </c>
      <c r="D278" s="23">
        <f>MAX(1,(YEAR(C278)-YEAR('1 - Titoli e shock'!$B$6))+IF(MONTH(C278)*100+DAY(C278)&gt;MONTH('1 - Titoli e shock'!$B$6)*100+DAY('1 - Titoli e shock'!$B$6),1,0))</f>
        <v>7</v>
      </c>
      <c r="E278" s="20">
        <f>IF(C278&lt;='1 - Titoli e shock'!$B$17,('1 - Titoli e shock'!$C$30*100/2-'1 - Titoli e shock'!$B$8*'1 - Titoli e shock'!$C$30*100/2*IF(EDATE(C278,-6)&lt;='1 - Titoli e shock'!$B$6,(C278-'1 - Titoli e shock'!$B$6)/(C278-EDATE(C278,-6)),1))*$C$43,0)</f>
        <v>361.95238365816238</v>
      </c>
      <c r="F278" s="20">
        <f t="shared" si="49"/>
        <v>361.95238365816238</v>
      </c>
      <c r="G278" s="20">
        <f t="shared" si="49"/>
        <v>361.95238365816238</v>
      </c>
      <c r="H278" s="20">
        <f t="shared" si="49"/>
        <v>361.95238365816238</v>
      </c>
      <c r="I278" s="20">
        <f t="shared" si="49"/>
        <v>361.95238365816238</v>
      </c>
      <c r="J278" s="20">
        <f t="shared" si="49"/>
        <v>361.95238365816238</v>
      </c>
      <c r="K278" s="20">
        <f t="shared" si="49"/>
        <v>361.95238365816238</v>
      </c>
      <c r="L278" s="20">
        <f t="shared" si="49"/>
        <v>361.95238365816238</v>
      </c>
      <c r="M278" s="20">
        <f t="shared" si="49"/>
        <v>361.95238365816238</v>
      </c>
      <c r="N278" s="20">
        <f t="shared" si="49"/>
        <v>361.95238365816238</v>
      </c>
      <c r="O278" s="20">
        <f t="shared" si="49"/>
        <v>361.95238365816238</v>
      </c>
      <c r="P278" s="20">
        <f t="shared" si="49"/>
        <v>361.95238365816238</v>
      </c>
      <c r="Q278" s="20">
        <f t="shared" si="49"/>
        <v>361.95238365816238</v>
      </c>
      <c r="R278" s="20">
        <f t="shared" si="49"/>
        <v>361.95238365816238</v>
      </c>
      <c r="S278" s="20">
        <f t="shared" si="49"/>
        <v>361.95238365816238</v>
      </c>
      <c r="T278" s="20">
        <f t="shared" si="49"/>
        <v>361.95238365816238</v>
      </c>
      <c r="U278" s="20">
        <f t="shared" si="49"/>
        <v>361.95238365816238</v>
      </c>
    </row>
    <row r="279" spans="1:21">
      <c r="A279" s="15" t="s">
        <v>266</v>
      </c>
      <c r="B279" s="22" t="str">
        <f>A43</f>
        <v>BTP 4,00% ott 2036</v>
      </c>
      <c r="C279" s="13">
        <f>EDATE($B$43,-6*6)</f>
        <v>48853</v>
      </c>
      <c r="D279" s="23">
        <f>MAX(1,(YEAR(C279)-YEAR('1 - Titoli e shock'!$B$6))+IF(MONTH(C279)*100+DAY(C279)&gt;MONTH('1 - Titoli e shock'!$B$6)*100+DAY('1 - Titoli e shock'!$B$6),1,0))</f>
        <v>7</v>
      </c>
      <c r="E279" s="20">
        <f>IF(C279&lt;='1 - Titoli e shock'!$B$17,('1 - Titoli e shock'!$C$30*100/2-'1 - Titoli e shock'!$B$8*'1 - Titoli e shock'!$C$30*100/2*IF(EDATE(C279,-6)&lt;='1 - Titoli e shock'!$B$6,(C279-'1 - Titoli e shock'!$B$6)/(C279-EDATE(C279,-6)),1))*$C$43,0)</f>
        <v>361.95238365816238</v>
      </c>
      <c r="F279" s="20">
        <f t="shared" si="49"/>
        <v>361.95238365816238</v>
      </c>
      <c r="G279" s="20">
        <f t="shared" si="49"/>
        <v>361.95238365816238</v>
      </c>
      <c r="H279" s="20">
        <f t="shared" si="49"/>
        <v>361.95238365816238</v>
      </c>
      <c r="I279" s="20">
        <f t="shared" si="49"/>
        <v>361.95238365816238</v>
      </c>
      <c r="J279" s="20">
        <f t="shared" si="49"/>
        <v>361.95238365816238</v>
      </c>
      <c r="K279" s="20">
        <f t="shared" si="49"/>
        <v>361.95238365816238</v>
      </c>
      <c r="L279" s="20">
        <f t="shared" si="49"/>
        <v>361.95238365816238</v>
      </c>
      <c r="M279" s="20">
        <f t="shared" si="49"/>
        <v>361.95238365816238</v>
      </c>
      <c r="N279" s="20">
        <f t="shared" si="49"/>
        <v>361.95238365816238</v>
      </c>
      <c r="O279" s="20">
        <f t="shared" si="49"/>
        <v>361.95238365816238</v>
      </c>
      <c r="P279" s="20">
        <f t="shared" si="49"/>
        <v>361.95238365816238</v>
      </c>
      <c r="Q279" s="20">
        <f t="shared" si="49"/>
        <v>361.95238365816238</v>
      </c>
      <c r="R279" s="20">
        <f t="shared" si="49"/>
        <v>361.95238365816238</v>
      </c>
      <c r="S279" s="20">
        <f t="shared" si="49"/>
        <v>361.95238365816238</v>
      </c>
      <c r="T279" s="20">
        <f t="shared" si="49"/>
        <v>361.95238365816238</v>
      </c>
      <c r="U279" s="20">
        <f t="shared" si="49"/>
        <v>361.95238365816238</v>
      </c>
    </row>
    <row r="280" spans="1:21">
      <c r="A280" s="15" t="s">
        <v>266</v>
      </c>
      <c r="B280" s="22" t="str">
        <f>A43</f>
        <v>BTP 4,00% ott 2036</v>
      </c>
      <c r="C280" s="13">
        <f>EDATE($B$43,-6*5)</f>
        <v>49035</v>
      </c>
      <c r="D280" s="23">
        <f>MAX(1,(YEAR(C280)-YEAR('1 - Titoli e shock'!$B$6))+IF(MONTH(C280)*100+DAY(C280)&gt;MONTH('1 - Titoli e shock'!$B$6)*100+DAY('1 - Titoli e shock'!$B$6),1,0))</f>
        <v>8</v>
      </c>
      <c r="E280" s="20">
        <f>IF(C280&lt;='1 - Titoli e shock'!$B$17,('1 - Titoli e shock'!$C$30*100/2-'1 - Titoli e shock'!$B$8*'1 - Titoli e shock'!$C$30*100/2*IF(EDATE(C280,-6)&lt;='1 - Titoli e shock'!$B$6,(C280-'1 - Titoli e shock'!$B$6)/(C280-EDATE(C280,-6)),1))*$C$43,0)</f>
        <v>361.95238365816238</v>
      </c>
      <c r="F280" s="20">
        <f t="shared" si="49"/>
        <v>361.95238365816238</v>
      </c>
      <c r="G280" s="20">
        <f t="shared" si="49"/>
        <v>361.95238365816238</v>
      </c>
      <c r="H280" s="20">
        <f t="shared" si="49"/>
        <v>361.95238365816238</v>
      </c>
      <c r="I280" s="20">
        <f t="shared" si="49"/>
        <v>361.95238365816238</v>
      </c>
      <c r="J280" s="20">
        <f t="shared" si="49"/>
        <v>361.95238365816238</v>
      </c>
      <c r="K280" s="20">
        <f t="shared" si="49"/>
        <v>361.95238365816238</v>
      </c>
      <c r="L280" s="20">
        <f t="shared" si="49"/>
        <v>361.95238365816238</v>
      </c>
      <c r="M280" s="20">
        <f t="shared" si="49"/>
        <v>361.95238365816238</v>
      </c>
      <c r="N280" s="20">
        <f t="shared" si="49"/>
        <v>361.95238365816238</v>
      </c>
      <c r="O280" s="20">
        <f t="shared" si="49"/>
        <v>361.95238365816238</v>
      </c>
      <c r="P280" s="20">
        <f t="shared" si="49"/>
        <v>361.95238365816238</v>
      </c>
      <c r="Q280" s="20">
        <f t="shared" si="49"/>
        <v>361.95238365816238</v>
      </c>
      <c r="R280" s="20">
        <f t="shared" si="49"/>
        <v>361.95238365816238</v>
      </c>
      <c r="S280" s="20">
        <f t="shared" si="49"/>
        <v>361.95238365816238</v>
      </c>
      <c r="T280" s="20">
        <f t="shared" si="49"/>
        <v>361.95238365816238</v>
      </c>
      <c r="U280" s="20">
        <f t="shared" si="49"/>
        <v>361.95238365816238</v>
      </c>
    </row>
    <row r="281" spans="1:21">
      <c r="A281" s="15" t="s">
        <v>266</v>
      </c>
      <c r="B281" s="22" t="str">
        <f>A43</f>
        <v>BTP 4,00% ott 2036</v>
      </c>
      <c r="C281" s="13">
        <f>EDATE($B$43,-6*4)</f>
        <v>49218</v>
      </c>
      <c r="D281" s="23">
        <f>MAX(1,(YEAR(C281)-YEAR('1 - Titoli e shock'!$B$6))+IF(MONTH(C281)*100+DAY(C281)&gt;MONTH('1 - Titoli e shock'!$B$6)*100+DAY('1 - Titoli e shock'!$B$6),1,0))</f>
        <v>8</v>
      </c>
      <c r="E281" s="20">
        <f>IF(C281&lt;='1 - Titoli e shock'!$B$17,('1 - Titoli e shock'!$C$30*100/2-'1 - Titoli e shock'!$B$8*'1 - Titoli e shock'!$C$30*100/2*IF(EDATE(C281,-6)&lt;='1 - Titoli e shock'!$B$6,(C281-'1 - Titoli e shock'!$B$6)/(C281-EDATE(C281,-6)),1))*$C$43,0)</f>
        <v>361.95238365816238</v>
      </c>
      <c r="F281" s="20">
        <f t="shared" si="49"/>
        <v>361.95238365816238</v>
      </c>
      <c r="G281" s="20">
        <f t="shared" si="49"/>
        <v>361.95238365816238</v>
      </c>
      <c r="H281" s="20">
        <f t="shared" si="49"/>
        <v>361.95238365816238</v>
      </c>
      <c r="I281" s="20">
        <f t="shared" si="49"/>
        <v>361.95238365816238</v>
      </c>
      <c r="J281" s="20">
        <f t="shared" si="49"/>
        <v>361.95238365816238</v>
      </c>
      <c r="K281" s="20">
        <f t="shared" si="49"/>
        <v>361.95238365816238</v>
      </c>
      <c r="L281" s="20">
        <f t="shared" si="49"/>
        <v>361.95238365816238</v>
      </c>
      <c r="M281" s="20">
        <f t="shared" si="49"/>
        <v>361.95238365816238</v>
      </c>
      <c r="N281" s="20">
        <f t="shared" si="49"/>
        <v>361.95238365816238</v>
      </c>
      <c r="O281" s="20">
        <f t="shared" si="49"/>
        <v>361.95238365816238</v>
      </c>
      <c r="P281" s="20">
        <f t="shared" si="49"/>
        <v>361.95238365816238</v>
      </c>
      <c r="Q281" s="20">
        <f t="shared" si="49"/>
        <v>361.95238365816238</v>
      </c>
      <c r="R281" s="20">
        <f t="shared" si="49"/>
        <v>361.95238365816238</v>
      </c>
      <c r="S281" s="20">
        <f t="shared" si="49"/>
        <v>361.95238365816238</v>
      </c>
      <c r="T281" s="20">
        <f t="shared" si="49"/>
        <v>361.95238365816238</v>
      </c>
      <c r="U281" s="20">
        <f t="shared" si="49"/>
        <v>361.95238365816238</v>
      </c>
    </row>
    <row r="282" spans="1:21">
      <c r="A282" s="15" t="s">
        <v>266</v>
      </c>
      <c r="B282" s="22" t="str">
        <f>A43</f>
        <v>BTP 4,00% ott 2036</v>
      </c>
      <c r="C282" s="13">
        <f>EDATE($B$43,-6*3)</f>
        <v>49400</v>
      </c>
      <c r="D282" s="23">
        <f>MAX(1,(YEAR(C282)-YEAR('1 - Titoli e shock'!$B$6))+IF(MONTH(C282)*100+DAY(C282)&gt;MONTH('1 - Titoli e shock'!$B$6)*100+DAY('1 - Titoli e shock'!$B$6),1,0))</f>
        <v>9</v>
      </c>
      <c r="E282" s="20">
        <f>IF(C282&lt;='1 - Titoli e shock'!$B$17,('1 - Titoli e shock'!$C$30*100/2-'1 - Titoli e shock'!$B$8*'1 - Titoli e shock'!$C$30*100/2*IF(EDATE(C282,-6)&lt;='1 - Titoli e shock'!$B$6,(C282-'1 - Titoli e shock'!$B$6)/(C282-EDATE(C282,-6)),1))*$C$43,0)</f>
        <v>361.95238365816238</v>
      </c>
      <c r="F282" s="20">
        <f t="shared" si="49"/>
        <v>361.95238365816238</v>
      </c>
      <c r="G282" s="20">
        <f t="shared" si="49"/>
        <v>361.95238365816238</v>
      </c>
      <c r="H282" s="20">
        <f t="shared" si="49"/>
        <v>361.95238365816238</v>
      </c>
      <c r="I282" s="20">
        <f t="shared" si="49"/>
        <v>361.95238365816238</v>
      </c>
      <c r="J282" s="20">
        <f t="shared" si="49"/>
        <v>361.95238365816238</v>
      </c>
      <c r="K282" s="20">
        <f t="shared" si="49"/>
        <v>361.95238365816238</v>
      </c>
      <c r="L282" s="20">
        <f t="shared" si="49"/>
        <v>361.95238365816238</v>
      </c>
      <c r="M282" s="20">
        <f t="shared" si="49"/>
        <v>361.95238365816238</v>
      </c>
      <c r="N282" s="20">
        <f t="shared" si="49"/>
        <v>361.95238365816238</v>
      </c>
      <c r="O282" s="20">
        <f t="shared" si="49"/>
        <v>361.95238365816238</v>
      </c>
      <c r="P282" s="20">
        <f t="shared" si="49"/>
        <v>361.95238365816238</v>
      </c>
      <c r="Q282" s="20">
        <f t="shared" si="49"/>
        <v>361.95238365816238</v>
      </c>
      <c r="R282" s="20">
        <f t="shared" si="49"/>
        <v>361.95238365816238</v>
      </c>
      <c r="S282" s="20">
        <f t="shared" si="49"/>
        <v>361.95238365816238</v>
      </c>
      <c r="T282" s="20">
        <f t="shared" si="49"/>
        <v>361.95238365816238</v>
      </c>
      <c r="U282" s="20">
        <f t="shared" si="49"/>
        <v>361.95238365816238</v>
      </c>
    </row>
    <row r="283" spans="1:21">
      <c r="A283" s="15" t="s">
        <v>266</v>
      </c>
      <c r="B283" s="22" t="str">
        <f>A43</f>
        <v>BTP 4,00% ott 2036</v>
      </c>
      <c r="C283" s="13">
        <f>EDATE($B$43,-6*2)</f>
        <v>49583</v>
      </c>
      <c r="D283" s="23">
        <f>MAX(1,(YEAR(C283)-YEAR('1 - Titoli e shock'!$B$6))+IF(MONTH(C283)*100+DAY(C283)&gt;MONTH('1 - Titoli e shock'!$B$6)*100+DAY('1 - Titoli e shock'!$B$6),1,0))</f>
        <v>9</v>
      </c>
      <c r="E283" s="20">
        <f>IF(C283&lt;='1 - Titoli e shock'!$B$17,('1 - Titoli e shock'!$C$30*100/2-'1 - Titoli e shock'!$B$8*'1 - Titoli e shock'!$C$30*100/2*IF(EDATE(C283,-6)&lt;='1 - Titoli e shock'!$B$6,(C283-'1 - Titoli e shock'!$B$6)/(C283-EDATE(C283,-6)),1))*$C$43,0)</f>
        <v>361.95238365816238</v>
      </c>
      <c r="F283" s="20">
        <f t="shared" si="49"/>
        <v>361.95238365816238</v>
      </c>
      <c r="G283" s="20">
        <f t="shared" si="49"/>
        <v>361.95238365816238</v>
      </c>
      <c r="H283" s="20">
        <f t="shared" si="49"/>
        <v>361.95238365816238</v>
      </c>
      <c r="I283" s="20">
        <f t="shared" si="49"/>
        <v>361.95238365816238</v>
      </c>
      <c r="J283" s="20">
        <f t="shared" si="49"/>
        <v>361.95238365816238</v>
      </c>
      <c r="K283" s="20">
        <f t="shared" si="49"/>
        <v>361.95238365816238</v>
      </c>
      <c r="L283" s="20">
        <f t="shared" si="49"/>
        <v>361.95238365816238</v>
      </c>
      <c r="M283" s="20">
        <f t="shared" si="49"/>
        <v>361.95238365816238</v>
      </c>
      <c r="N283" s="20">
        <f t="shared" si="49"/>
        <v>361.95238365816238</v>
      </c>
      <c r="O283" s="20">
        <f t="shared" si="49"/>
        <v>361.95238365816238</v>
      </c>
      <c r="P283" s="20">
        <f t="shared" si="49"/>
        <v>361.95238365816238</v>
      </c>
      <c r="Q283" s="20">
        <f t="shared" si="49"/>
        <v>361.95238365816238</v>
      </c>
      <c r="R283" s="20">
        <f t="shared" si="49"/>
        <v>361.95238365816238</v>
      </c>
      <c r="S283" s="20">
        <f t="shared" si="49"/>
        <v>361.95238365816238</v>
      </c>
      <c r="T283" s="20">
        <f t="shared" si="49"/>
        <v>361.95238365816238</v>
      </c>
      <c r="U283" s="20">
        <f t="shared" si="49"/>
        <v>361.95238365816238</v>
      </c>
    </row>
    <row r="284" spans="1:21">
      <c r="A284" s="15" t="s">
        <v>266</v>
      </c>
      <c r="B284" s="22" t="str">
        <f>A43</f>
        <v>BTP 4,00% ott 2036</v>
      </c>
      <c r="C284" s="13">
        <f>EDATE($B$43,-6*1)</f>
        <v>49766</v>
      </c>
      <c r="D284" s="23">
        <f>MAX(1,(YEAR(C284)-YEAR('1 - Titoli e shock'!$B$6))+IF(MONTH(C284)*100+DAY(C284)&gt;MONTH('1 - Titoli e shock'!$B$6)*100+DAY('1 - Titoli e shock'!$B$6),1,0))</f>
        <v>10</v>
      </c>
      <c r="E284" s="20">
        <f>IF(C284&lt;='1 - Titoli e shock'!$B$17,('1 - Titoli e shock'!$C$30*100/2-'1 - Titoli e shock'!$B$8*'1 - Titoli e shock'!$C$30*100/2*IF(EDATE(C284,-6)&lt;='1 - Titoli e shock'!$B$6,(C284-'1 - Titoli e shock'!$B$6)/(C284-EDATE(C284,-6)),1))*$C$43,0)</f>
        <v>361.95238365816238</v>
      </c>
      <c r="F284" s="20">
        <f t="shared" si="49"/>
        <v>361.95238365816238</v>
      </c>
      <c r="G284" s="20">
        <f t="shared" si="49"/>
        <v>361.95238365816238</v>
      </c>
      <c r="H284" s="20">
        <f t="shared" si="49"/>
        <v>361.95238365816238</v>
      </c>
      <c r="I284" s="20">
        <f t="shared" si="49"/>
        <v>361.95238365816238</v>
      </c>
      <c r="J284" s="20">
        <f t="shared" si="49"/>
        <v>361.95238365816238</v>
      </c>
      <c r="K284" s="20">
        <f t="shared" si="49"/>
        <v>361.95238365816238</v>
      </c>
      <c r="L284" s="20">
        <f t="shared" si="49"/>
        <v>361.95238365816238</v>
      </c>
      <c r="M284" s="20">
        <f t="shared" si="49"/>
        <v>361.95238365816238</v>
      </c>
      <c r="N284" s="20">
        <f t="shared" si="49"/>
        <v>361.95238365816238</v>
      </c>
      <c r="O284" s="20">
        <f t="shared" si="49"/>
        <v>361.95238365816238</v>
      </c>
      <c r="P284" s="20">
        <f t="shared" si="49"/>
        <v>361.95238365816238</v>
      </c>
      <c r="Q284" s="20">
        <f t="shared" si="49"/>
        <v>361.95238365816238</v>
      </c>
      <c r="R284" s="20">
        <f t="shared" si="49"/>
        <v>361.95238365816238</v>
      </c>
      <c r="S284" s="20">
        <f t="shared" si="49"/>
        <v>361.95238365816238</v>
      </c>
      <c r="T284" s="20">
        <f t="shared" si="49"/>
        <v>361.95238365816238</v>
      </c>
      <c r="U284" s="20">
        <f t="shared" si="49"/>
        <v>361.95238365816238</v>
      </c>
    </row>
    <row r="285" spans="1:21">
      <c r="A285" s="15" t="s">
        <v>266</v>
      </c>
      <c r="B285" s="22" t="str">
        <f>A43</f>
        <v>BTP 4,00% ott 2036</v>
      </c>
      <c r="C285" s="13">
        <f>EDATE($B$43,-6*0)</f>
        <v>49949</v>
      </c>
      <c r="D285" s="23">
        <f>MAX(1,(YEAR(C285)-YEAR('1 - Titoli e shock'!$B$6))+IF(MONTH(C285)*100+DAY(C285)&gt;MONTH('1 - Titoli e shock'!$B$6)*100+DAY('1 - Titoli e shock'!$B$6),1,0))</f>
        <v>10</v>
      </c>
      <c r="E285" s="20">
        <f>IF(C285&lt;='1 - Titoli e shock'!$B$17,('1 - Titoli e shock'!$C$30*100/2-'1 - Titoli e shock'!$B$8*'1 - Titoli e shock'!$C$30*100/2*IF(EDATE(C285,-6)&lt;='1 - Titoli e shock'!$B$6,(C285-'1 - Titoli e shock'!$B$6)/(C285-EDATE(C285,-6)),1))*$C$43,0)</f>
        <v>361.95238365816238</v>
      </c>
      <c r="F285" s="20">
        <f t="shared" si="49"/>
        <v>361.95238365816238</v>
      </c>
      <c r="G285" s="20">
        <f t="shared" si="49"/>
        <v>361.95238365816238</v>
      </c>
      <c r="H285" s="20">
        <f t="shared" si="49"/>
        <v>361.95238365816238</v>
      </c>
      <c r="I285" s="20">
        <f t="shared" si="49"/>
        <v>361.95238365816238</v>
      </c>
      <c r="J285" s="20">
        <f t="shared" si="49"/>
        <v>361.95238365816238</v>
      </c>
      <c r="K285" s="20">
        <f t="shared" si="49"/>
        <v>361.95238365816238</v>
      </c>
      <c r="L285" s="20">
        <f t="shared" si="49"/>
        <v>361.95238365816238</v>
      </c>
      <c r="M285" s="20">
        <f t="shared" si="49"/>
        <v>361.95238365816238</v>
      </c>
      <c r="N285" s="20">
        <f t="shared" si="49"/>
        <v>361.95238365816238</v>
      </c>
      <c r="O285" s="20">
        <f t="shared" si="49"/>
        <v>361.95238365816238</v>
      </c>
      <c r="P285" s="20">
        <f t="shared" si="49"/>
        <v>361.95238365816238</v>
      </c>
      <c r="Q285" s="20">
        <f t="shared" si="49"/>
        <v>361.95238365816238</v>
      </c>
      <c r="R285" s="20">
        <f t="shared" si="49"/>
        <v>361.95238365816238</v>
      </c>
      <c r="S285" s="20">
        <f t="shared" si="49"/>
        <v>361.95238365816238</v>
      </c>
      <c r="T285" s="20">
        <f t="shared" si="49"/>
        <v>361.95238365816238</v>
      </c>
      <c r="U285" s="20">
        <f t="shared" si="49"/>
        <v>361.95238365816238</v>
      </c>
    </row>
    <row r="286" spans="1:21">
      <c r="A286" s="15" t="s">
        <v>267</v>
      </c>
      <c r="B286" s="22" t="str">
        <f>A34</f>
        <v>BTP 2,70% ott 2027</v>
      </c>
      <c r="C286" s="13">
        <f>EDATE($B$34,6*1)</f>
        <v>46858</v>
      </c>
      <c r="D286" s="23">
        <f>MAX(1,(YEAR(C286)-YEAR('1 - Titoli e shock'!$B$6))+IF(MONTH(C286)*100+DAY(C286)&gt;MONTH('1 - Titoli e shock'!$B$6)*100+DAY('1 - Titoli e shock'!$B$6),1,0))</f>
        <v>2</v>
      </c>
      <c r="F286" s="20">
        <f>IF(AND($B$34&lt;='1 - Titoli e shock'!$B$17,$C286&lt;='1 - Titoli e shock'!$B$17),$D$34*F$6/2*(1-'1 - Titoli e shock'!$B$8),0)</f>
        <v>303.67035103868147</v>
      </c>
      <c r="G286" s="20">
        <f>IF(AND($B$34&lt;='1 - Titoli e shock'!$B$17,$C286&lt;='1 - Titoli e shock'!$B$17),$D$34*G$6/2*(1-'1 - Titoli e shock'!$B$8),0)</f>
        <v>389.78555627611047</v>
      </c>
      <c r="H286" s="20">
        <f>IF(AND($B$34&lt;='1 - Titoli e shock'!$B$17,$C286&lt;='1 - Titoli e shock'!$B$17),$D$34*H$6/2*(1-'1 - Titoli e shock'!$B$8),0)</f>
        <v>475.48965609384118</v>
      </c>
      <c r="I286" s="20">
        <f>IF(AND($B$34&lt;='1 - Titoli e shock'!$B$17,$C286&lt;='1 - Titoli e shock'!$B$17),$D$34*I$6/2*(1-'1 - Titoli e shock'!$B$8),0)</f>
        <v>560.78848260294933</v>
      </c>
      <c r="J286" s="20">
        <f>IF(AND($B$34&lt;='1 - Titoli e shock'!$B$17,$C286&lt;='1 - Titoli e shock'!$B$17),$D$34*J$6/2*(1-'1 - Titoli e shock'!$B$8),0)</f>
        <v>411.24989216942373</v>
      </c>
      <c r="K286" s="20">
        <f>IF(AND($B$34&lt;='1 - Titoli e shock'!$B$17,$C286&lt;='1 - Titoli e shock'!$B$17),$D$34*K$6/2*(1-'1 - Titoli e shock'!$B$8),0)</f>
        <v>432.68862660053048</v>
      </c>
      <c r="L286" s="20">
        <f>IF(AND($B$34&lt;='1 - Titoli e shock'!$B$17,$C286&lt;='1 - Titoli e shock'!$B$17),$D$34*L$6/2*(1-'1 - Titoli e shock'!$B$8),0)</f>
        <v>441.25697245319822</v>
      </c>
      <c r="M286" s="20">
        <f>IF(AND($B$34&lt;='1 - Titoli e shock'!$B$17,$C286&lt;='1 - Titoli e shock'!$B$17),$D$34*M$6/2*(1-'1 - Titoli e shock'!$B$8),0)</f>
        <v>449.82124252499352</v>
      </c>
      <c r="N286" s="20">
        <f>IF(AND($B$34&lt;='1 - Titoli e shock'!$B$17,$C286&lt;='1 - Titoli e shock'!$B$17),$D$34*N$6/2*(1-'1 - Titoli e shock'!$B$8),0)</f>
        <v>458.38144262668129</v>
      </c>
      <c r="O286" s="20">
        <f>IF(AND($B$34&lt;='1 - Titoli e shock'!$B$17,$C286&lt;='1 - Titoli e shock'!$B$17),$D$34*O$6/2*(1-'1 - Titoli e shock'!$B$8),0)</f>
        <v>466.93757855522102</v>
      </c>
      <c r="P286" s="20">
        <f>IF(AND($B$34&lt;='1 - Titoli e shock'!$B$17,$C286&lt;='1 - Titoli e shock'!$B$17),$D$34*P$6/2*(1-'1 - Titoli e shock'!$B$8),0)</f>
        <v>484.03768101204679</v>
      </c>
      <c r="Q286" s="20">
        <f>IF(AND($B$34&lt;='1 - Titoli e shock'!$B$17,$C286&lt;='1 - Titoli e shock'!$B$17),$D$34*Q$6/2*(1-'1 - Titoli e shock'!$B$8),0)</f>
        <v>492.58165906570923</v>
      </c>
      <c r="R286" s="20">
        <f>IF(AND($B$34&lt;='1 - Titoli e shock'!$B$17,$C286&lt;='1 - Titoli e shock'!$B$17),$D$34*R$6/2*(1-'1 - Titoli e shock'!$B$8),0)</f>
        <v>501.12159599706251</v>
      </c>
      <c r="S286" s="20">
        <f>IF(AND($B$34&lt;='1 - Titoli e shock'!$B$17,$C286&lt;='1 - Titoli e shock'!$B$17),$D$34*S$6/2*(1-'1 - Titoli e shock'!$B$8),0)</f>
        <v>509.65749753479264</v>
      </c>
      <c r="T286" s="20">
        <f>IF(AND($B$34&lt;='1 - Titoli e shock'!$B$17,$C286&lt;='1 - Titoli e shock'!$B$17),$D$34*T$6/2*(1-'1 - Titoli e shock'!$B$8),0)</f>
        <v>518.18936939405739</v>
      </c>
      <c r="U286" s="20">
        <f>IF(AND($B$34&lt;='1 - Titoli e shock'!$B$17,$C286&lt;='1 - Titoli e shock'!$B$17),$D$34*U$6/2*(1-'1 - Titoli e shock'!$B$8),0)</f>
        <v>645.68773131039484</v>
      </c>
    </row>
    <row r="287" spans="1:21">
      <c r="A287" s="15" t="s">
        <v>267</v>
      </c>
      <c r="B287" s="22" t="str">
        <f>A34</f>
        <v>BTP 2,70% ott 2027</v>
      </c>
      <c r="C287" s="13">
        <f>EDATE($B$34,6*2)</f>
        <v>47041</v>
      </c>
      <c r="D287" s="23">
        <f>MAX(1,(YEAR(C287)-YEAR('1 - Titoli e shock'!$B$6))+IF(MONTH(C287)*100+DAY(C287)&gt;MONTH('1 - Titoli e shock'!$B$6)*100+DAY('1 - Titoli e shock'!$B$6),1,0))</f>
        <v>2</v>
      </c>
      <c r="F287" s="20">
        <f>IF(AND($B$34&lt;='1 - Titoli e shock'!$B$17,$C287&lt;='1 - Titoli e shock'!$B$17),$D$34*F$6/2*(1-'1 - Titoli e shock'!$B$8),0)</f>
        <v>303.67035103868147</v>
      </c>
      <c r="G287" s="20">
        <f>IF(AND($B$34&lt;='1 - Titoli e shock'!$B$17,$C287&lt;='1 - Titoli e shock'!$B$17),$D$34*G$6/2*(1-'1 - Titoli e shock'!$B$8),0)</f>
        <v>389.78555627611047</v>
      </c>
      <c r="H287" s="20">
        <f>IF(AND($B$34&lt;='1 - Titoli e shock'!$B$17,$C287&lt;='1 - Titoli e shock'!$B$17),$D$34*H$6/2*(1-'1 - Titoli e shock'!$B$8),0)</f>
        <v>475.48965609384118</v>
      </c>
      <c r="I287" s="20">
        <f>IF(AND($B$34&lt;='1 - Titoli e shock'!$B$17,$C287&lt;='1 - Titoli e shock'!$B$17),$D$34*I$6/2*(1-'1 - Titoli e shock'!$B$8),0)</f>
        <v>560.78848260294933</v>
      </c>
      <c r="J287" s="20">
        <f>IF(AND($B$34&lt;='1 - Titoli e shock'!$B$17,$C287&lt;='1 - Titoli e shock'!$B$17),$D$34*J$6/2*(1-'1 - Titoli e shock'!$B$8),0)</f>
        <v>411.24989216942373</v>
      </c>
      <c r="K287" s="20">
        <f>IF(AND($B$34&lt;='1 - Titoli e shock'!$B$17,$C287&lt;='1 - Titoli e shock'!$B$17),$D$34*K$6/2*(1-'1 - Titoli e shock'!$B$8),0)</f>
        <v>432.68862660053048</v>
      </c>
      <c r="L287" s="20">
        <f>IF(AND($B$34&lt;='1 - Titoli e shock'!$B$17,$C287&lt;='1 - Titoli e shock'!$B$17),$D$34*L$6/2*(1-'1 - Titoli e shock'!$B$8),0)</f>
        <v>441.25697245319822</v>
      </c>
      <c r="M287" s="20">
        <f>IF(AND($B$34&lt;='1 - Titoli e shock'!$B$17,$C287&lt;='1 - Titoli e shock'!$B$17),$D$34*M$6/2*(1-'1 - Titoli e shock'!$B$8),0)</f>
        <v>449.82124252499352</v>
      </c>
      <c r="N287" s="20">
        <f>IF(AND($B$34&lt;='1 - Titoli e shock'!$B$17,$C287&lt;='1 - Titoli e shock'!$B$17),$D$34*N$6/2*(1-'1 - Titoli e shock'!$B$8),0)</f>
        <v>458.38144262668129</v>
      </c>
      <c r="O287" s="20">
        <f>IF(AND($B$34&lt;='1 - Titoli e shock'!$B$17,$C287&lt;='1 - Titoli e shock'!$B$17),$D$34*O$6/2*(1-'1 - Titoli e shock'!$B$8),0)</f>
        <v>466.93757855522102</v>
      </c>
      <c r="P287" s="20">
        <f>IF(AND($B$34&lt;='1 - Titoli e shock'!$B$17,$C287&lt;='1 - Titoli e shock'!$B$17),$D$34*P$6/2*(1-'1 - Titoli e shock'!$B$8),0)</f>
        <v>484.03768101204679</v>
      </c>
      <c r="Q287" s="20">
        <f>IF(AND($B$34&lt;='1 - Titoli e shock'!$B$17,$C287&lt;='1 - Titoli e shock'!$B$17),$D$34*Q$6/2*(1-'1 - Titoli e shock'!$B$8),0)</f>
        <v>492.58165906570923</v>
      </c>
      <c r="R287" s="20">
        <f>IF(AND($B$34&lt;='1 - Titoli e shock'!$B$17,$C287&lt;='1 - Titoli e shock'!$B$17),$D$34*R$6/2*(1-'1 - Titoli e shock'!$B$8),0)</f>
        <v>501.12159599706251</v>
      </c>
      <c r="S287" s="20">
        <f>IF(AND($B$34&lt;='1 - Titoli e shock'!$B$17,$C287&lt;='1 - Titoli e shock'!$B$17),$D$34*S$6/2*(1-'1 - Titoli e shock'!$B$8),0)</f>
        <v>509.65749753479264</v>
      </c>
      <c r="T287" s="20">
        <f>IF(AND($B$34&lt;='1 - Titoli e shock'!$B$17,$C287&lt;='1 - Titoli e shock'!$B$17),$D$34*T$6/2*(1-'1 - Titoli e shock'!$B$8),0)</f>
        <v>518.18936939405739</v>
      </c>
      <c r="U287" s="20">
        <f>IF(AND($B$34&lt;='1 - Titoli e shock'!$B$17,$C287&lt;='1 - Titoli e shock'!$B$17),$D$34*U$6/2*(1-'1 - Titoli e shock'!$B$8),0)</f>
        <v>645.68773131039484</v>
      </c>
    </row>
    <row r="288" spans="1:21">
      <c r="A288" s="15" t="s">
        <v>267</v>
      </c>
      <c r="B288" s="22" t="str">
        <f>A34</f>
        <v>BTP 2,70% ott 2027</v>
      </c>
      <c r="C288" s="13">
        <f>EDATE($B$34,6*3)</f>
        <v>47223</v>
      </c>
      <c r="D288" s="23">
        <f>MAX(1,(YEAR(C288)-YEAR('1 - Titoli e shock'!$B$6))+IF(MONTH(C288)*100+DAY(C288)&gt;MONTH('1 - Titoli e shock'!$B$6)*100+DAY('1 - Titoli e shock'!$B$6),1,0))</f>
        <v>3</v>
      </c>
      <c r="F288" s="20">
        <f>IF(AND($B$34&lt;='1 - Titoli e shock'!$B$17,$C288&lt;='1 - Titoli e shock'!$B$17),$D$34*F$6/2*(1-'1 - Titoli e shock'!$B$8),0)</f>
        <v>303.67035103868147</v>
      </c>
      <c r="G288" s="20">
        <f>IF(AND($B$34&lt;='1 - Titoli e shock'!$B$17,$C288&lt;='1 - Titoli e shock'!$B$17),$D$34*G$6/2*(1-'1 - Titoli e shock'!$B$8),0)</f>
        <v>389.78555627611047</v>
      </c>
      <c r="H288" s="20">
        <f>IF(AND($B$34&lt;='1 - Titoli e shock'!$B$17,$C288&lt;='1 - Titoli e shock'!$B$17),$D$34*H$6/2*(1-'1 - Titoli e shock'!$B$8),0)</f>
        <v>475.48965609384118</v>
      </c>
      <c r="I288" s="20">
        <f>IF(AND($B$34&lt;='1 - Titoli e shock'!$B$17,$C288&lt;='1 - Titoli e shock'!$B$17),$D$34*I$6/2*(1-'1 - Titoli e shock'!$B$8),0)</f>
        <v>560.78848260294933</v>
      </c>
      <c r="J288" s="20">
        <f>IF(AND($B$34&lt;='1 - Titoli e shock'!$B$17,$C288&lt;='1 - Titoli e shock'!$B$17),$D$34*J$6/2*(1-'1 - Titoli e shock'!$B$8),0)</f>
        <v>411.24989216942373</v>
      </c>
      <c r="K288" s="20">
        <f>IF(AND($B$34&lt;='1 - Titoli e shock'!$B$17,$C288&lt;='1 - Titoli e shock'!$B$17),$D$34*K$6/2*(1-'1 - Titoli e shock'!$B$8),0)</f>
        <v>432.68862660053048</v>
      </c>
      <c r="L288" s="20">
        <f>IF(AND($B$34&lt;='1 - Titoli e shock'!$B$17,$C288&lt;='1 - Titoli e shock'!$B$17),$D$34*L$6/2*(1-'1 - Titoli e shock'!$B$8),0)</f>
        <v>441.25697245319822</v>
      </c>
      <c r="M288" s="20">
        <f>IF(AND($B$34&lt;='1 - Titoli e shock'!$B$17,$C288&lt;='1 - Titoli e shock'!$B$17),$D$34*M$6/2*(1-'1 - Titoli e shock'!$B$8),0)</f>
        <v>449.82124252499352</v>
      </c>
      <c r="N288" s="20">
        <f>IF(AND($B$34&lt;='1 - Titoli e shock'!$B$17,$C288&lt;='1 - Titoli e shock'!$B$17),$D$34*N$6/2*(1-'1 - Titoli e shock'!$B$8),0)</f>
        <v>458.38144262668129</v>
      </c>
      <c r="O288" s="20">
        <f>IF(AND($B$34&lt;='1 - Titoli e shock'!$B$17,$C288&lt;='1 - Titoli e shock'!$B$17),$D$34*O$6/2*(1-'1 - Titoli e shock'!$B$8),0)</f>
        <v>466.93757855522102</v>
      </c>
      <c r="P288" s="20">
        <f>IF(AND($B$34&lt;='1 - Titoli e shock'!$B$17,$C288&lt;='1 - Titoli e shock'!$B$17),$D$34*P$6/2*(1-'1 - Titoli e shock'!$B$8),0)</f>
        <v>484.03768101204679</v>
      </c>
      <c r="Q288" s="20">
        <f>IF(AND($B$34&lt;='1 - Titoli e shock'!$B$17,$C288&lt;='1 - Titoli e shock'!$B$17),$D$34*Q$6/2*(1-'1 - Titoli e shock'!$B$8),0)</f>
        <v>492.58165906570923</v>
      </c>
      <c r="R288" s="20">
        <f>IF(AND($B$34&lt;='1 - Titoli e shock'!$B$17,$C288&lt;='1 - Titoli e shock'!$B$17),$D$34*R$6/2*(1-'1 - Titoli e shock'!$B$8),0)</f>
        <v>501.12159599706251</v>
      </c>
      <c r="S288" s="20">
        <f>IF(AND($B$34&lt;='1 - Titoli e shock'!$B$17,$C288&lt;='1 - Titoli e shock'!$B$17),$D$34*S$6/2*(1-'1 - Titoli e shock'!$B$8),0)</f>
        <v>509.65749753479264</v>
      </c>
      <c r="T288" s="20">
        <f>IF(AND($B$34&lt;='1 - Titoli e shock'!$B$17,$C288&lt;='1 - Titoli e shock'!$B$17),$D$34*T$6/2*(1-'1 - Titoli e shock'!$B$8),0)</f>
        <v>518.18936939405739</v>
      </c>
      <c r="U288" s="20">
        <f>IF(AND($B$34&lt;='1 - Titoli e shock'!$B$17,$C288&lt;='1 - Titoli e shock'!$B$17),$D$34*U$6/2*(1-'1 - Titoli e shock'!$B$8),0)</f>
        <v>645.68773131039484</v>
      </c>
    </row>
    <row r="289" spans="1:21">
      <c r="A289" s="15" t="s">
        <v>267</v>
      </c>
      <c r="B289" s="22" t="str">
        <f>A34</f>
        <v>BTP 2,70% ott 2027</v>
      </c>
      <c r="C289" s="13">
        <f>EDATE($B$34,6*4)</f>
        <v>47406</v>
      </c>
      <c r="D289" s="23">
        <f>MAX(1,(YEAR(C289)-YEAR('1 - Titoli e shock'!$B$6))+IF(MONTH(C289)*100+DAY(C289)&gt;MONTH('1 - Titoli e shock'!$B$6)*100+DAY('1 - Titoli e shock'!$B$6),1,0))</f>
        <v>3</v>
      </c>
      <c r="F289" s="20">
        <f>IF(AND($B$34&lt;='1 - Titoli e shock'!$B$17,$C289&lt;='1 - Titoli e shock'!$B$17),$D$34*F$6/2*(1-'1 - Titoli e shock'!$B$8),0)</f>
        <v>303.67035103868147</v>
      </c>
      <c r="G289" s="20">
        <f>IF(AND($B$34&lt;='1 - Titoli e shock'!$B$17,$C289&lt;='1 - Titoli e shock'!$B$17),$D$34*G$6/2*(1-'1 - Titoli e shock'!$B$8),0)</f>
        <v>389.78555627611047</v>
      </c>
      <c r="H289" s="20">
        <f>IF(AND($B$34&lt;='1 - Titoli e shock'!$B$17,$C289&lt;='1 - Titoli e shock'!$B$17),$D$34*H$6/2*(1-'1 - Titoli e shock'!$B$8),0)</f>
        <v>475.48965609384118</v>
      </c>
      <c r="I289" s="20">
        <f>IF(AND($B$34&lt;='1 - Titoli e shock'!$B$17,$C289&lt;='1 - Titoli e shock'!$B$17),$D$34*I$6/2*(1-'1 - Titoli e shock'!$B$8),0)</f>
        <v>560.78848260294933</v>
      </c>
      <c r="J289" s="20">
        <f>IF(AND($B$34&lt;='1 - Titoli e shock'!$B$17,$C289&lt;='1 - Titoli e shock'!$B$17),$D$34*J$6/2*(1-'1 - Titoli e shock'!$B$8),0)</f>
        <v>411.24989216942373</v>
      </c>
      <c r="K289" s="20">
        <f>IF(AND($B$34&lt;='1 - Titoli e shock'!$B$17,$C289&lt;='1 - Titoli e shock'!$B$17),$D$34*K$6/2*(1-'1 - Titoli e shock'!$B$8),0)</f>
        <v>432.68862660053048</v>
      </c>
      <c r="L289" s="20">
        <f>IF(AND($B$34&lt;='1 - Titoli e shock'!$B$17,$C289&lt;='1 - Titoli e shock'!$B$17),$D$34*L$6/2*(1-'1 - Titoli e shock'!$B$8),0)</f>
        <v>441.25697245319822</v>
      </c>
      <c r="M289" s="20">
        <f>IF(AND($B$34&lt;='1 - Titoli e shock'!$B$17,$C289&lt;='1 - Titoli e shock'!$B$17),$D$34*M$6/2*(1-'1 - Titoli e shock'!$B$8),0)</f>
        <v>449.82124252499352</v>
      </c>
      <c r="N289" s="20">
        <f>IF(AND($B$34&lt;='1 - Titoli e shock'!$B$17,$C289&lt;='1 - Titoli e shock'!$B$17),$D$34*N$6/2*(1-'1 - Titoli e shock'!$B$8),0)</f>
        <v>458.38144262668129</v>
      </c>
      <c r="O289" s="20">
        <f>IF(AND($B$34&lt;='1 - Titoli e shock'!$B$17,$C289&lt;='1 - Titoli e shock'!$B$17),$D$34*O$6/2*(1-'1 - Titoli e shock'!$B$8),0)</f>
        <v>466.93757855522102</v>
      </c>
      <c r="P289" s="20">
        <f>IF(AND($B$34&lt;='1 - Titoli e shock'!$B$17,$C289&lt;='1 - Titoli e shock'!$B$17),$D$34*P$6/2*(1-'1 - Titoli e shock'!$B$8),0)</f>
        <v>484.03768101204679</v>
      </c>
      <c r="Q289" s="20">
        <f>IF(AND($B$34&lt;='1 - Titoli e shock'!$B$17,$C289&lt;='1 - Titoli e shock'!$B$17),$D$34*Q$6/2*(1-'1 - Titoli e shock'!$B$8),0)</f>
        <v>492.58165906570923</v>
      </c>
      <c r="R289" s="20">
        <f>IF(AND($B$34&lt;='1 - Titoli e shock'!$B$17,$C289&lt;='1 - Titoli e shock'!$B$17),$D$34*R$6/2*(1-'1 - Titoli e shock'!$B$8),0)</f>
        <v>501.12159599706251</v>
      </c>
      <c r="S289" s="20">
        <f>IF(AND($B$34&lt;='1 - Titoli e shock'!$B$17,$C289&lt;='1 - Titoli e shock'!$B$17),$D$34*S$6/2*(1-'1 - Titoli e shock'!$B$8),0)</f>
        <v>509.65749753479264</v>
      </c>
      <c r="T289" s="20">
        <f>IF(AND($B$34&lt;='1 - Titoli e shock'!$B$17,$C289&lt;='1 - Titoli e shock'!$B$17),$D$34*T$6/2*(1-'1 - Titoli e shock'!$B$8),0)</f>
        <v>518.18936939405739</v>
      </c>
      <c r="U289" s="20">
        <f>IF(AND($B$34&lt;='1 - Titoli e shock'!$B$17,$C289&lt;='1 - Titoli e shock'!$B$17),$D$34*U$6/2*(1-'1 - Titoli e shock'!$B$8),0)</f>
        <v>645.68773131039484</v>
      </c>
    </row>
    <row r="290" spans="1:21">
      <c r="A290" s="15" t="s">
        <v>267</v>
      </c>
      <c r="B290" s="22" t="str">
        <f>A34</f>
        <v>BTP 2,70% ott 2027</v>
      </c>
      <c r="C290" s="13">
        <f>EDATE($B$34,6*5)</f>
        <v>47588</v>
      </c>
      <c r="D290" s="23">
        <f>MAX(1,(YEAR(C290)-YEAR('1 - Titoli e shock'!$B$6))+IF(MONTH(C290)*100+DAY(C290)&gt;MONTH('1 - Titoli e shock'!$B$6)*100+DAY('1 - Titoli e shock'!$B$6),1,0))</f>
        <v>4</v>
      </c>
      <c r="F290" s="20">
        <f>IF(AND($B$34&lt;='1 - Titoli e shock'!$B$17,$C290&lt;='1 - Titoli e shock'!$B$17),$D$34*F$6/2*(1-'1 - Titoli e shock'!$B$8),0)</f>
        <v>303.67035103868147</v>
      </c>
      <c r="G290" s="20">
        <f>IF(AND($B$34&lt;='1 - Titoli e shock'!$B$17,$C290&lt;='1 - Titoli e shock'!$B$17),$D$34*G$6/2*(1-'1 - Titoli e shock'!$B$8),0)</f>
        <v>389.78555627611047</v>
      </c>
      <c r="H290" s="20">
        <f>IF(AND($B$34&lt;='1 - Titoli e shock'!$B$17,$C290&lt;='1 - Titoli e shock'!$B$17),$D$34*H$6/2*(1-'1 - Titoli e shock'!$B$8),0)</f>
        <v>475.48965609384118</v>
      </c>
      <c r="I290" s="20">
        <f>IF(AND($B$34&lt;='1 - Titoli e shock'!$B$17,$C290&lt;='1 - Titoli e shock'!$B$17),$D$34*I$6/2*(1-'1 - Titoli e shock'!$B$8),0)</f>
        <v>560.78848260294933</v>
      </c>
      <c r="J290" s="20">
        <f>IF(AND($B$34&lt;='1 - Titoli e shock'!$B$17,$C290&lt;='1 - Titoli e shock'!$B$17),$D$34*J$6/2*(1-'1 - Titoli e shock'!$B$8),0)</f>
        <v>411.24989216942373</v>
      </c>
      <c r="K290" s="20">
        <f>IF(AND($B$34&lt;='1 - Titoli e shock'!$B$17,$C290&lt;='1 - Titoli e shock'!$B$17),$D$34*K$6/2*(1-'1 - Titoli e shock'!$B$8),0)</f>
        <v>432.68862660053048</v>
      </c>
      <c r="L290" s="20">
        <f>IF(AND($B$34&lt;='1 - Titoli e shock'!$B$17,$C290&lt;='1 - Titoli e shock'!$B$17),$D$34*L$6/2*(1-'1 - Titoli e shock'!$B$8),0)</f>
        <v>441.25697245319822</v>
      </c>
      <c r="M290" s="20">
        <f>IF(AND($B$34&lt;='1 - Titoli e shock'!$B$17,$C290&lt;='1 - Titoli e shock'!$B$17),$D$34*M$6/2*(1-'1 - Titoli e shock'!$B$8),0)</f>
        <v>449.82124252499352</v>
      </c>
      <c r="N290" s="20">
        <f>IF(AND($B$34&lt;='1 - Titoli e shock'!$B$17,$C290&lt;='1 - Titoli e shock'!$B$17),$D$34*N$6/2*(1-'1 - Titoli e shock'!$B$8),0)</f>
        <v>458.38144262668129</v>
      </c>
      <c r="O290" s="20">
        <f>IF(AND($B$34&lt;='1 - Titoli e shock'!$B$17,$C290&lt;='1 - Titoli e shock'!$B$17),$D$34*O$6/2*(1-'1 - Titoli e shock'!$B$8),0)</f>
        <v>466.93757855522102</v>
      </c>
      <c r="P290" s="20">
        <f>IF(AND($B$34&lt;='1 - Titoli e shock'!$B$17,$C290&lt;='1 - Titoli e shock'!$B$17),$D$34*P$6/2*(1-'1 - Titoli e shock'!$B$8),0)</f>
        <v>484.03768101204679</v>
      </c>
      <c r="Q290" s="20">
        <f>IF(AND($B$34&lt;='1 - Titoli e shock'!$B$17,$C290&lt;='1 - Titoli e shock'!$B$17),$D$34*Q$6/2*(1-'1 - Titoli e shock'!$B$8),0)</f>
        <v>492.58165906570923</v>
      </c>
      <c r="R290" s="20">
        <f>IF(AND($B$34&lt;='1 - Titoli e shock'!$B$17,$C290&lt;='1 - Titoli e shock'!$B$17),$D$34*R$6/2*(1-'1 - Titoli e shock'!$B$8),0)</f>
        <v>501.12159599706251</v>
      </c>
      <c r="S290" s="20">
        <f>IF(AND($B$34&lt;='1 - Titoli e shock'!$B$17,$C290&lt;='1 - Titoli e shock'!$B$17),$D$34*S$6/2*(1-'1 - Titoli e shock'!$B$8),0)</f>
        <v>509.65749753479264</v>
      </c>
      <c r="T290" s="20">
        <f>IF(AND($B$34&lt;='1 - Titoli e shock'!$B$17,$C290&lt;='1 - Titoli e shock'!$B$17),$D$34*T$6/2*(1-'1 - Titoli e shock'!$B$8),0)</f>
        <v>518.18936939405739</v>
      </c>
      <c r="U290" s="20">
        <f>IF(AND($B$34&lt;='1 - Titoli e shock'!$B$17,$C290&lt;='1 - Titoli e shock'!$B$17),$D$34*U$6/2*(1-'1 - Titoli e shock'!$B$8),0)</f>
        <v>645.68773131039484</v>
      </c>
    </row>
    <row r="291" spans="1:21">
      <c r="A291" s="15" t="s">
        <v>267</v>
      </c>
      <c r="B291" s="22" t="str">
        <f>A34</f>
        <v>BTP 2,70% ott 2027</v>
      </c>
      <c r="C291" s="13">
        <f>EDATE($B$34,6*6)</f>
        <v>47771</v>
      </c>
      <c r="D291" s="23">
        <f>MAX(1,(YEAR(C291)-YEAR('1 - Titoli e shock'!$B$6))+IF(MONTH(C291)*100+DAY(C291)&gt;MONTH('1 - Titoli e shock'!$B$6)*100+DAY('1 - Titoli e shock'!$B$6),1,0))</f>
        <v>4</v>
      </c>
      <c r="F291" s="20">
        <f>IF(AND($B$34&lt;='1 - Titoli e shock'!$B$17,$C291&lt;='1 - Titoli e shock'!$B$17),$D$34*F$6/2*(1-'1 - Titoli e shock'!$B$8),0)</f>
        <v>303.67035103868147</v>
      </c>
      <c r="G291" s="20">
        <f>IF(AND($B$34&lt;='1 - Titoli e shock'!$B$17,$C291&lt;='1 - Titoli e shock'!$B$17),$D$34*G$6/2*(1-'1 - Titoli e shock'!$B$8),0)</f>
        <v>389.78555627611047</v>
      </c>
      <c r="H291" s="20">
        <f>IF(AND($B$34&lt;='1 - Titoli e shock'!$B$17,$C291&lt;='1 - Titoli e shock'!$B$17),$D$34*H$6/2*(1-'1 - Titoli e shock'!$B$8),0)</f>
        <v>475.48965609384118</v>
      </c>
      <c r="I291" s="20">
        <f>IF(AND($B$34&lt;='1 - Titoli e shock'!$B$17,$C291&lt;='1 - Titoli e shock'!$B$17),$D$34*I$6/2*(1-'1 - Titoli e shock'!$B$8),0)</f>
        <v>560.78848260294933</v>
      </c>
      <c r="J291" s="20">
        <f>IF(AND($B$34&lt;='1 - Titoli e shock'!$B$17,$C291&lt;='1 - Titoli e shock'!$B$17),$D$34*J$6/2*(1-'1 - Titoli e shock'!$B$8),0)</f>
        <v>411.24989216942373</v>
      </c>
      <c r="K291" s="20">
        <f>IF(AND($B$34&lt;='1 - Titoli e shock'!$B$17,$C291&lt;='1 - Titoli e shock'!$B$17),$D$34*K$6/2*(1-'1 - Titoli e shock'!$B$8),0)</f>
        <v>432.68862660053048</v>
      </c>
      <c r="L291" s="20">
        <f>IF(AND($B$34&lt;='1 - Titoli e shock'!$B$17,$C291&lt;='1 - Titoli e shock'!$B$17),$D$34*L$6/2*(1-'1 - Titoli e shock'!$B$8),0)</f>
        <v>441.25697245319822</v>
      </c>
      <c r="M291" s="20">
        <f>IF(AND($B$34&lt;='1 - Titoli e shock'!$B$17,$C291&lt;='1 - Titoli e shock'!$B$17),$D$34*M$6/2*(1-'1 - Titoli e shock'!$B$8),0)</f>
        <v>449.82124252499352</v>
      </c>
      <c r="N291" s="20">
        <f>IF(AND($B$34&lt;='1 - Titoli e shock'!$B$17,$C291&lt;='1 - Titoli e shock'!$B$17),$D$34*N$6/2*(1-'1 - Titoli e shock'!$B$8),0)</f>
        <v>458.38144262668129</v>
      </c>
      <c r="O291" s="20">
        <f>IF(AND($B$34&lt;='1 - Titoli e shock'!$B$17,$C291&lt;='1 - Titoli e shock'!$B$17),$D$34*O$6/2*(1-'1 - Titoli e shock'!$B$8),0)</f>
        <v>466.93757855522102</v>
      </c>
      <c r="P291" s="20">
        <f>IF(AND($B$34&lt;='1 - Titoli e shock'!$B$17,$C291&lt;='1 - Titoli e shock'!$B$17),$D$34*P$6/2*(1-'1 - Titoli e shock'!$B$8),0)</f>
        <v>484.03768101204679</v>
      </c>
      <c r="Q291" s="20">
        <f>IF(AND($B$34&lt;='1 - Titoli e shock'!$B$17,$C291&lt;='1 - Titoli e shock'!$B$17),$D$34*Q$6/2*(1-'1 - Titoli e shock'!$B$8),0)</f>
        <v>492.58165906570923</v>
      </c>
      <c r="R291" s="20">
        <f>IF(AND($B$34&lt;='1 - Titoli e shock'!$B$17,$C291&lt;='1 - Titoli e shock'!$B$17),$D$34*R$6/2*(1-'1 - Titoli e shock'!$B$8),0)</f>
        <v>501.12159599706251</v>
      </c>
      <c r="S291" s="20">
        <f>IF(AND($B$34&lt;='1 - Titoli e shock'!$B$17,$C291&lt;='1 - Titoli e shock'!$B$17),$D$34*S$6/2*(1-'1 - Titoli e shock'!$B$8),0)</f>
        <v>509.65749753479264</v>
      </c>
      <c r="T291" s="20">
        <f>IF(AND($B$34&lt;='1 - Titoli e shock'!$B$17,$C291&lt;='1 - Titoli e shock'!$B$17),$D$34*T$6/2*(1-'1 - Titoli e shock'!$B$8),0)</f>
        <v>518.18936939405739</v>
      </c>
      <c r="U291" s="20">
        <f>IF(AND($B$34&lt;='1 - Titoli e shock'!$B$17,$C291&lt;='1 - Titoli e shock'!$B$17),$D$34*U$6/2*(1-'1 - Titoli e shock'!$B$8),0)</f>
        <v>645.68773131039484</v>
      </c>
    </row>
    <row r="292" spans="1:21">
      <c r="A292" s="15" t="s">
        <v>267</v>
      </c>
      <c r="B292" s="22" t="str">
        <f>A34</f>
        <v>BTP 2,70% ott 2027</v>
      </c>
      <c r="C292" s="13">
        <f>EDATE($B$34,6*7)</f>
        <v>47953</v>
      </c>
      <c r="D292" s="23">
        <f>MAX(1,(YEAR(C292)-YEAR('1 - Titoli e shock'!$B$6))+IF(MONTH(C292)*100+DAY(C292)&gt;MONTH('1 - Titoli e shock'!$B$6)*100+DAY('1 - Titoli e shock'!$B$6),1,0))</f>
        <v>5</v>
      </c>
      <c r="F292" s="20">
        <f>IF(AND($B$34&lt;='1 - Titoli e shock'!$B$17,$C292&lt;='1 - Titoli e shock'!$B$17),$D$34*F$6/2*(1-'1 - Titoli e shock'!$B$8),0)</f>
        <v>303.67035103868147</v>
      </c>
      <c r="G292" s="20">
        <f>IF(AND($B$34&lt;='1 - Titoli e shock'!$B$17,$C292&lt;='1 - Titoli e shock'!$B$17),$D$34*G$6/2*(1-'1 - Titoli e shock'!$B$8),0)</f>
        <v>389.78555627611047</v>
      </c>
      <c r="H292" s="20">
        <f>IF(AND($B$34&lt;='1 - Titoli e shock'!$B$17,$C292&lt;='1 - Titoli e shock'!$B$17),$D$34*H$6/2*(1-'1 - Titoli e shock'!$B$8),0)</f>
        <v>475.48965609384118</v>
      </c>
      <c r="I292" s="20">
        <f>IF(AND($B$34&lt;='1 - Titoli e shock'!$B$17,$C292&lt;='1 - Titoli e shock'!$B$17),$D$34*I$6/2*(1-'1 - Titoli e shock'!$B$8),0)</f>
        <v>560.78848260294933</v>
      </c>
      <c r="J292" s="20">
        <f>IF(AND($B$34&lt;='1 - Titoli e shock'!$B$17,$C292&lt;='1 - Titoli e shock'!$B$17),$D$34*J$6/2*(1-'1 - Titoli e shock'!$B$8),0)</f>
        <v>411.24989216942373</v>
      </c>
      <c r="K292" s="20">
        <f>IF(AND($B$34&lt;='1 - Titoli e shock'!$B$17,$C292&lt;='1 - Titoli e shock'!$B$17),$D$34*K$6/2*(1-'1 - Titoli e shock'!$B$8),0)</f>
        <v>432.68862660053048</v>
      </c>
      <c r="L292" s="20">
        <f>IF(AND($B$34&lt;='1 - Titoli e shock'!$B$17,$C292&lt;='1 - Titoli e shock'!$B$17),$D$34*L$6/2*(1-'1 - Titoli e shock'!$B$8),0)</f>
        <v>441.25697245319822</v>
      </c>
      <c r="M292" s="20">
        <f>IF(AND($B$34&lt;='1 - Titoli e shock'!$B$17,$C292&lt;='1 - Titoli e shock'!$B$17),$D$34*M$6/2*(1-'1 - Titoli e shock'!$B$8),0)</f>
        <v>449.82124252499352</v>
      </c>
      <c r="N292" s="20">
        <f>IF(AND($B$34&lt;='1 - Titoli e shock'!$B$17,$C292&lt;='1 - Titoli e shock'!$B$17),$D$34*N$6/2*(1-'1 - Titoli e shock'!$B$8),0)</f>
        <v>458.38144262668129</v>
      </c>
      <c r="O292" s="20">
        <f>IF(AND($B$34&lt;='1 - Titoli e shock'!$B$17,$C292&lt;='1 - Titoli e shock'!$B$17),$D$34*O$6/2*(1-'1 - Titoli e shock'!$B$8),0)</f>
        <v>466.93757855522102</v>
      </c>
      <c r="P292" s="20">
        <f>IF(AND($B$34&lt;='1 - Titoli e shock'!$B$17,$C292&lt;='1 - Titoli e shock'!$B$17),$D$34*P$6/2*(1-'1 - Titoli e shock'!$B$8),0)</f>
        <v>484.03768101204679</v>
      </c>
      <c r="Q292" s="20">
        <f>IF(AND($B$34&lt;='1 - Titoli e shock'!$B$17,$C292&lt;='1 - Titoli e shock'!$B$17),$D$34*Q$6/2*(1-'1 - Titoli e shock'!$B$8),0)</f>
        <v>492.58165906570923</v>
      </c>
      <c r="R292" s="20">
        <f>IF(AND($B$34&lt;='1 - Titoli e shock'!$B$17,$C292&lt;='1 - Titoli e shock'!$B$17),$D$34*R$6/2*(1-'1 - Titoli e shock'!$B$8),0)</f>
        <v>501.12159599706251</v>
      </c>
      <c r="S292" s="20">
        <f>IF(AND($B$34&lt;='1 - Titoli e shock'!$B$17,$C292&lt;='1 - Titoli e shock'!$B$17),$D$34*S$6/2*(1-'1 - Titoli e shock'!$B$8),0)</f>
        <v>509.65749753479264</v>
      </c>
      <c r="T292" s="20">
        <f>IF(AND($B$34&lt;='1 - Titoli e shock'!$B$17,$C292&lt;='1 - Titoli e shock'!$B$17),$D$34*T$6/2*(1-'1 - Titoli e shock'!$B$8),0)</f>
        <v>518.18936939405739</v>
      </c>
      <c r="U292" s="20">
        <f>IF(AND($B$34&lt;='1 - Titoli e shock'!$B$17,$C292&lt;='1 - Titoli e shock'!$B$17),$D$34*U$6/2*(1-'1 - Titoli e shock'!$B$8),0)</f>
        <v>645.68773131039484</v>
      </c>
    </row>
    <row r="293" spans="1:21">
      <c r="A293" s="15" t="s">
        <v>267</v>
      </c>
      <c r="B293" s="22" t="str">
        <f>A34</f>
        <v>BTP 2,70% ott 2027</v>
      </c>
      <c r="C293" s="13">
        <f>EDATE($B$34,6*8)</f>
        <v>48136</v>
      </c>
      <c r="D293" s="23">
        <f>MAX(1,(YEAR(C293)-YEAR('1 - Titoli e shock'!$B$6))+IF(MONTH(C293)*100+DAY(C293)&gt;MONTH('1 - Titoli e shock'!$B$6)*100+DAY('1 - Titoli e shock'!$B$6),1,0))</f>
        <v>5</v>
      </c>
      <c r="F293" s="20">
        <f>IF(AND($B$34&lt;='1 - Titoli e shock'!$B$17,$C293&lt;='1 - Titoli e shock'!$B$17),$D$34*F$6/2*(1-'1 - Titoli e shock'!$B$8),0)</f>
        <v>303.67035103868147</v>
      </c>
      <c r="G293" s="20">
        <f>IF(AND($B$34&lt;='1 - Titoli e shock'!$B$17,$C293&lt;='1 - Titoli e shock'!$B$17),$D$34*G$6/2*(1-'1 - Titoli e shock'!$B$8),0)</f>
        <v>389.78555627611047</v>
      </c>
      <c r="H293" s="20">
        <f>IF(AND($B$34&lt;='1 - Titoli e shock'!$B$17,$C293&lt;='1 - Titoli e shock'!$B$17),$D$34*H$6/2*(1-'1 - Titoli e shock'!$B$8),0)</f>
        <v>475.48965609384118</v>
      </c>
      <c r="I293" s="20">
        <f>IF(AND($B$34&lt;='1 - Titoli e shock'!$B$17,$C293&lt;='1 - Titoli e shock'!$B$17),$D$34*I$6/2*(1-'1 - Titoli e shock'!$B$8),0)</f>
        <v>560.78848260294933</v>
      </c>
      <c r="J293" s="20">
        <f>IF(AND($B$34&lt;='1 - Titoli e shock'!$B$17,$C293&lt;='1 - Titoli e shock'!$B$17),$D$34*J$6/2*(1-'1 - Titoli e shock'!$B$8),0)</f>
        <v>411.24989216942373</v>
      </c>
      <c r="K293" s="20">
        <f>IF(AND($B$34&lt;='1 - Titoli e shock'!$B$17,$C293&lt;='1 - Titoli e shock'!$B$17),$D$34*K$6/2*(1-'1 - Titoli e shock'!$B$8),0)</f>
        <v>432.68862660053048</v>
      </c>
      <c r="L293" s="20">
        <f>IF(AND($B$34&lt;='1 - Titoli e shock'!$B$17,$C293&lt;='1 - Titoli e shock'!$B$17),$D$34*L$6/2*(1-'1 - Titoli e shock'!$B$8),0)</f>
        <v>441.25697245319822</v>
      </c>
      <c r="M293" s="20">
        <f>IF(AND($B$34&lt;='1 - Titoli e shock'!$B$17,$C293&lt;='1 - Titoli e shock'!$B$17),$D$34*M$6/2*(1-'1 - Titoli e shock'!$B$8),0)</f>
        <v>449.82124252499352</v>
      </c>
      <c r="N293" s="20">
        <f>IF(AND($B$34&lt;='1 - Titoli e shock'!$B$17,$C293&lt;='1 - Titoli e shock'!$B$17),$D$34*N$6/2*(1-'1 - Titoli e shock'!$B$8),0)</f>
        <v>458.38144262668129</v>
      </c>
      <c r="O293" s="20">
        <f>IF(AND($B$34&lt;='1 - Titoli e shock'!$B$17,$C293&lt;='1 - Titoli e shock'!$B$17),$D$34*O$6/2*(1-'1 - Titoli e shock'!$B$8),0)</f>
        <v>466.93757855522102</v>
      </c>
      <c r="P293" s="20">
        <f>IF(AND($B$34&lt;='1 - Titoli e shock'!$B$17,$C293&lt;='1 - Titoli e shock'!$B$17),$D$34*P$6/2*(1-'1 - Titoli e shock'!$B$8),0)</f>
        <v>484.03768101204679</v>
      </c>
      <c r="Q293" s="20">
        <f>IF(AND($B$34&lt;='1 - Titoli e shock'!$B$17,$C293&lt;='1 - Titoli e shock'!$B$17),$D$34*Q$6/2*(1-'1 - Titoli e shock'!$B$8),0)</f>
        <v>492.58165906570923</v>
      </c>
      <c r="R293" s="20">
        <f>IF(AND($B$34&lt;='1 - Titoli e shock'!$B$17,$C293&lt;='1 - Titoli e shock'!$B$17),$D$34*R$6/2*(1-'1 - Titoli e shock'!$B$8),0)</f>
        <v>501.12159599706251</v>
      </c>
      <c r="S293" s="20">
        <f>IF(AND($B$34&lt;='1 - Titoli e shock'!$B$17,$C293&lt;='1 - Titoli e shock'!$B$17),$D$34*S$6/2*(1-'1 - Titoli e shock'!$B$8),0)</f>
        <v>509.65749753479264</v>
      </c>
      <c r="T293" s="20">
        <f>IF(AND($B$34&lt;='1 - Titoli e shock'!$B$17,$C293&lt;='1 - Titoli e shock'!$B$17),$D$34*T$6/2*(1-'1 - Titoli e shock'!$B$8),0)</f>
        <v>518.18936939405739</v>
      </c>
      <c r="U293" s="20">
        <f>IF(AND($B$34&lt;='1 - Titoli e shock'!$B$17,$C293&lt;='1 - Titoli e shock'!$B$17),$D$34*U$6/2*(1-'1 - Titoli e shock'!$B$8),0)</f>
        <v>645.68773131039484</v>
      </c>
    </row>
    <row r="294" spans="1:21">
      <c r="A294" s="15" t="s">
        <v>267</v>
      </c>
      <c r="B294" s="22" t="str">
        <f>A34</f>
        <v>BTP 2,70% ott 2027</v>
      </c>
      <c r="C294" s="13">
        <f>EDATE($B$34,6*9)</f>
        <v>48319</v>
      </c>
      <c r="D294" s="23">
        <f>MAX(1,(YEAR(C294)-YEAR('1 - Titoli e shock'!$B$6))+IF(MONTH(C294)*100+DAY(C294)&gt;MONTH('1 - Titoli e shock'!$B$6)*100+DAY('1 - Titoli e shock'!$B$6),1,0))</f>
        <v>6</v>
      </c>
      <c r="F294" s="20">
        <f>IF(AND($B$34&lt;='1 - Titoli e shock'!$B$17,$C294&lt;='1 - Titoli e shock'!$B$17),$D$34*F$6/2*(1-'1 - Titoli e shock'!$B$8),0)</f>
        <v>303.67035103868147</v>
      </c>
      <c r="G294" s="20">
        <f>IF(AND($B$34&lt;='1 - Titoli e shock'!$B$17,$C294&lt;='1 - Titoli e shock'!$B$17),$D$34*G$6/2*(1-'1 - Titoli e shock'!$B$8),0)</f>
        <v>389.78555627611047</v>
      </c>
      <c r="H294" s="20">
        <f>IF(AND($B$34&lt;='1 - Titoli e shock'!$B$17,$C294&lt;='1 - Titoli e shock'!$B$17),$D$34*H$6/2*(1-'1 - Titoli e shock'!$B$8),0)</f>
        <v>475.48965609384118</v>
      </c>
      <c r="I294" s="20">
        <f>IF(AND($B$34&lt;='1 - Titoli e shock'!$B$17,$C294&lt;='1 - Titoli e shock'!$B$17),$D$34*I$6/2*(1-'1 - Titoli e shock'!$B$8),0)</f>
        <v>560.78848260294933</v>
      </c>
      <c r="J294" s="20">
        <f>IF(AND($B$34&lt;='1 - Titoli e shock'!$B$17,$C294&lt;='1 - Titoli e shock'!$B$17),$D$34*J$6/2*(1-'1 - Titoli e shock'!$B$8),0)</f>
        <v>411.24989216942373</v>
      </c>
      <c r="K294" s="20">
        <f>IF(AND($B$34&lt;='1 - Titoli e shock'!$B$17,$C294&lt;='1 - Titoli e shock'!$B$17),$D$34*K$6/2*(1-'1 - Titoli e shock'!$B$8),0)</f>
        <v>432.68862660053048</v>
      </c>
      <c r="L294" s="20">
        <f>IF(AND($B$34&lt;='1 - Titoli e shock'!$B$17,$C294&lt;='1 - Titoli e shock'!$B$17),$D$34*L$6/2*(1-'1 - Titoli e shock'!$B$8),0)</f>
        <v>441.25697245319822</v>
      </c>
      <c r="M294" s="20">
        <f>IF(AND($B$34&lt;='1 - Titoli e shock'!$B$17,$C294&lt;='1 - Titoli e shock'!$B$17),$D$34*M$6/2*(1-'1 - Titoli e shock'!$B$8),0)</f>
        <v>449.82124252499352</v>
      </c>
      <c r="N294" s="20">
        <f>IF(AND($B$34&lt;='1 - Titoli e shock'!$B$17,$C294&lt;='1 - Titoli e shock'!$B$17),$D$34*N$6/2*(1-'1 - Titoli e shock'!$B$8),0)</f>
        <v>458.38144262668129</v>
      </c>
      <c r="O294" s="20">
        <f>IF(AND($B$34&lt;='1 - Titoli e shock'!$B$17,$C294&lt;='1 - Titoli e shock'!$B$17),$D$34*O$6/2*(1-'1 - Titoli e shock'!$B$8),0)</f>
        <v>466.93757855522102</v>
      </c>
      <c r="P294" s="20">
        <f>IF(AND($B$34&lt;='1 - Titoli e shock'!$B$17,$C294&lt;='1 - Titoli e shock'!$B$17),$D$34*P$6/2*(1-'1 - Titoli e shock'!$B$8),0)</f>
        <v>484.03768101204679</v>
      </c>
      <c r="Q294" s="20">
        <f>IF(AND($B$34&lt;='1 - Titoli e shock'!$B$17,$C294&lt;='1 - Titoli e shock'!$B$17),$D$34*Q$6/2*(1-'1 - Titoli e shock'!$B$8),0)</f>
        <v>492.58165906570923</v>
      </c>
      <c r="R294" s="20">
        <f>IF(AND($B$34&lt;='1 - Titoli e shock'!$B$17,$C294&lt;='1 - Titoli e shock'!$B$17),$D$34*R$6/2*(1-'1 - Titoli e shock'!$B$8),0)</f>
        <v>501.12159599706251</v>
      </c>
      <c r="S294" s="20">
        <f>IF(AND($B$34&lt;='1 - Titoli e shock'!$B$17,$C294&lt;='1 - Titoli e shock'!$B$17),$D$34*S$6/2*(1-'1 - Titoli e shock'!$B$8),0)</f>
        <v>509.65749753479264</v>
      </c>
      <c r="T294" s="20">
        <f>IF(AND($B$34&lt;='1 - Titoli e shock'!$B$17,$C294&lt;='1 - Titoli e shock'!$B$17),$D$34*T$6/2*(1-'1 - Titoli e shock'!$B$8),0)</f>
        <v>518.18936939405739</v>
      </c>
      <c r="U294" s="20">
        <f>IF(AND($B$34&lt;='1 - Titoli e shock'!$B$17,$C294&lt;='1 - Titoli e shock'!$B$17),$D$34*U$6/2*(1-'1 - Titoli e shock'!$B$8),0)</f>
        <v>645.68773131039484</v>
      </c>
    </row>
    <row r="295" spans="1:21">
      <c r="A295" s="15" t="s">
        <v>267</v>
      </c>
      <c r="B295" s="22" t="str">
        <f>A34</f>
        <v>BTP 2,70% ott 2027</v>
      </c>
      <c r="C295" s="13">
        <f>EDATE($B$34,6*10)</f>
        <v>48502</v>
      </c>
      <c r="D295" s="23">
        <f>MAX(1,(YEAR(C295)-YEAR('1 - Titoli e shock'!$B$6))+IF(MONTH(C295)*100+DAY(C295)&gt;MONTH('1 - Titoli e shock'!$B$6)*100+DAY('1 - Titoli e shock'!$B$6),1,0))</f>
        <v>6</v>
      </c>
      <c r="F295" s="20">
        <f>IF(AND($B$34&lt;='1 - Titoli e shock'!$B$17,$C295&lt;='1 - Titoli e shock'!$B$17),$D$34*F$6/2*(1-'1 - Titoli e shock'!$B$8),0)</f>
        <v>303.67035103868147</v>
      </c>
      <c r="G295" s="20">
        <f>IF(AND($B$34&lt;='1 - Titoli e shock'!$B$17,$C295&lt;='1 - Titoli e shock'!$B$17),$D$34*G$6/2*(1-'1 - Titoli e shock'!$B$8),0)</f>
        <v>389.78555627611047</v>
      </c>
      <c r="H295" s="20">
        <f>IF(AND($B$34&lt;='1 - Titoli e shock'!$B$17,$C295&lt;='1 - Titoli e shock'!$B$17),$D$34*H$6/2*(1-'1 - Titoli e shock'!$B$8),0)</f>
        <v>475.48965609384118</v>
      </c>
      <c r="I295" s="20">
        <f>IF(AND($B$34&lt;='1 - Titoli e shock'!$B$17,$C295&lt;='1 - Titoli e shock'!$B$17),$D$34*I$6/2*(1-'1 - Titoli e shock'!$B$8),0)</f>
        <v>560.78848260294933</v>
      </c>
      <c r="J295" s="20">
        <f>IF(AND($B$34&lt;='1 - Titoli e shock'!$B$17,$C295&lt;='1 - Titoli e shock'!$B$17),$D$34*J$6/2*(1-'1 - Titoli e shock'!$B$8),0)</f>
        <v>411.24989216942373</v>
      </c>
      <c r="K295" s="20">
        <f>IF(AND($B$34&lt;='1 - Titoli e shock'!$B$17,$C295&lt;='1 - Titoli e shock'!$B$17),$D$34*K$6/2*(1-'1 - Titoli e shock'!$B$8),0)</f>
        <v>432.68862660053048</v>
      </c>
      <c r="L295" s="20">
        <f>IF(AND($B$34&lt;='1 - Titoli e shock'!$B$17,$C295&lt;='1 - Titoli e shock'!$B$17),$D$34*L$6/2*(1-'1 - Titoli e shock'!$B$8),0)</f>
        <v>441.25697245319822</v>
      </c>
      <c r="M295" s="20">
        <f>IF(AND($B$34&lt;='1 - Titoli e shock'!$B$17,$C295&lt;='1 - Titoli e shock'!$B$17),$D$34*M$6/2*(1-'1 - Titoli e shock'!$B$8),0)</f>
        <v>449.82124252499352</v>
      </c>
      <c r="N295" s="20">
        <f>IF(AND($B$34&lt;='1 - Titoli e shock'!$B$17,$C295&lt;='1 - Titoli e shock'!$B$17),$D$34*N$6/2*(1-'1 - Titoli e shock'!$B$8),0)</f>
        <v>458.38144262668129</v>
      </c>
      <c r="O295" s="20">
        <f>IF(AND($B$34&lt;='1 - Titoli e shock'!$B$17,$C295&lt;='1 - Titoli e shock'!$B$17),$D$34*O$6/2*(1-'1 - Titoli e shock'!$B$8),0)</f>
        <v>466.93757855522102</v>
      </c>
      <c r="P295" s="20">
        <f>IF(AND($B$34&lt;='1 - Titoli e shock'!$B$17,$C295&lt;='1 - Titoli e shock'!$B$17),$D$34*P$6/2*(1-'1 - Titoli e shock'!$B$8),0)</f>
        <v>484.03768101204679</v>
      </c>
      <c r="Q295" s="20">
        <f>IF(AND($B$34&lt;='1 - Titoli e shock'!$B$17,$C295&lt;='1 - Titoli e shock'!$B$17),$D$34*Q$6/2*(1-'1 - Titoli e shock'!$B$8),0)</f>
        <v>492.58165906570923</v>
      </c>
      <c r="R295" s="20">
        <f>IF(AND($B$34&lt;='1 - Titoli e shock'!$B$17,$C295&lt;='1 - Titoli e shock'!$B$17),$D$34*R$6/2*(1-'1 - Titoli e shock'!$B$8),0)</f>
        <v>501.12159599706251</v>
      </c>
      <c r="S295" s="20">
        <f>IF(AND($B$34&lt;='1 - Titoli e shock'!$B$17,$C295&lt;='1 - Titoli e shock'!$B$17),$D$34*S$6/2*(1-'1 - Titoli e shock'!$B$8),0)</f>
        <v>509.65749753479264</v>
      </c>
      <c r="T295" s="20">
        <f>IF(AND($B$34&lt;='1 - Titoli e shock'!$B$17,$C295&lt;='1 - Titoli e shock'!$B$17),$D$34*T$6/2*(1-'1 - Titoli e shock'!$B$8),0)</f>
        <v>518.18936939405739</v>
      </c>
      <c r="U295" s="20">
        <f>IF(AND($B$34&lt;='1 - Titoli e shock'!$B$17,$C295&lt;='1 - Titoli e shock'!$B$17),$D$34*U$6/2*(1-'1 - Titoli e shock'!$B$8),0)</f>
        <v>645.68773131039484</v>
      </c>
    </row>
    <row r="296" spans="1:21">
      <c r="A296" s="15" t="s">
        <v>267</v>
      </c>
      <c r="B296" s="22" t="str">
        <f>A34</f>
        <v>BTP 2,70% ott 2027</v>
      </c>
      <c r="C296" s="13">
        <f>EDATE($B$34,6*11)</f>
        <v>48684</v>
      </c>
      <c r="D296" s="23">
        <f>MAX(1,(YEAR(C296)-YEAR('1 - Titoli e shock'!$B$6))+IF(MONTH(C296)*100+DAY(C296)&gt;MONTH('1 - Titoli e shock'!$B$6)*100+DAY('1 - Titoli e shock'!$B$6),1,0))</f>
        <v>7</v>
      </c>
      <c r="F296" s="20">
        <f>IF(AND($B$34&lt;='1 - Titoli e shock'!$B$17,$C296&lt;='1 - Titoli e shock'!$B$17),$D$34*F$6/2*(1-'1 - Titoli e shock'!$B$8),0)</f>
        <v>303.67035103868147</v>
      </c>
      <c r="G296" s="20">
        <f>IF(AND($B$34&lt;='1 - Titoli e shock'!$B$17,$C296&lt;='1 - Titoli e shock'!$B$17),$D$34*G$6/2*(1-'1 - Titoli e shock'!$B$8),0)</f>
        <v>389.78555627611047</v>
      </c>
      <c r="H296" s="20">
        <f>IF(AND($B$34&lt;='1 - Titoli e shock'!$B$17,$C296&lt;='1 - Titoli e shock'!$B$17),$D$34*H$6/2*(1-'1 - Titoli e shock'!$B$8),0)</f>
        <v>475.48965609384118</v>
      </c>
      <c r="I296" s="20">
        <f>IF(AND($B$34&lt;='1 - Titoli e shock'!$B$17,$C296&lt;='1 - Titoli e shock'!$B$17),$D$34*I$6/2*(1-'1 - Titoli e shock'!$B$8),0)</f>
        <v>560.78848260294933</v>
      </c>
      <c r="J296" s="20">
        <f>IF(AND($B$34&lt;='1 - Titoli e shock'!$B$17,$C296&lt;='1 - Titoli e shock'!$B$17),$D$34*J$6/2*(1-'1 - Titoli e shock'!$B$8),0)</f>
        <v>411.24989216942373</v>
      </c>
      <c r="K296" s="20">
        <f>IF(AND($B$34&lt;='1 - Titoli e shock'!$B$17,$C296&lt;='1 - Titoli e shock'!$B$17),$D$34*K$6/2*(1-'1 - Titoli e shock'!$B$8),0)</f>
        <v>432.68862660053048</v>
      </c>
      <c r="L296" s="20">
        <f>IF(AND($B$34&lt;='1 - Titoli e shock'!$B$17,$C296&lt;='1 - Titoli e shock'!$B$17),$D$34*L$6/2*(1-'1 - Titoli e shock'!$B$8),0)</f>
        <v>441.25697245319822</v>
      </c>
      <c r="M296" s="20">
        <f>IF(AND($B$34&lt;='1 - Titoli e shock'!$B$17,$C296&lt;='1 - Titoli e shock'!$B$17),$D$34*M$6/2*(1-'1 - Titoli e shock'!$B$8),0)</f>
        <v>449.82124252499352</v>
      </c>
      <c r="N296" s="20">
        <f>IF(AND($B$34&lt;='1 - Titoli e shock'!$B$17,$C296&lt;='1 - Titoli e shock'!$B$17),$D$34*N$6/2*(1-'1 - Titoli e shock'!$B$8),0)</f>
        <v>458.38144262668129</v>
      </c>
      <c r="O296" s="20">
        <f>IF(AND($B$34&lt;='1 - Titoli e shock'!$B$17,$C296&lt;='1 - Titoli e shock'!$B$17),$D$34*O$6/2*(1-'1 - Titoli e shock'!$B$8),0)</f>
        <v>466.93757855522102</v>
      </c>
      <c r="P296" s="20">
        <f>IF(AND($B$34&lt;='1 - Titoli e shock'!$B$17,$C296&lt;='1 - Titoli e shock'!$B$17),$D$34*P$6/2*(1-'1 - Titoli e shock'!$B$8),0)</f>
        <v>484.03768101204679</v>
      </c>
      <c r="Q296" s="20">
        <f>IF(AND($B$34&lt;='1 - Titoli e shock'!$B$17,$C296&lt;='1 - Titoli e shock'!$B$17),$D$34*Q$6/2*(1-'1 - Titoli e shock'!$B$8),0)</f>
        <v>492.58165906570923</v>
      </c>
      <c r="R296" s="20">
        <f>IF(AND($B$34&lt;='1 - Titoli e shock'!$B$17,$C296&lt;='1 - Titoli e shock'!$B$17),$D$34*R$6/2*(1-'1 - Titoli e shock'!$B$8),0)</f>
        <v>501.12159599706251</v>
      </c>
      <c r="S296" s="20">
        <f>IF(AND($B$34&lt;='1 - Titoli e shock'!$B$17,$C296&lt;='1 - Titoli e shock'!$B$17),$D$34*S$6/2*(1-'1 - Titoli e shock'!$B$8),0)</f>
        <v>509.65749753479264</v>
      </c>
      <c r="T296" s="20">
        <f>IF(AND($B$34&lt;='1 - Titoli e shock'!$B$17,$C296&lt;='1 - Titoli e shock'!$B$17),$D$34*T$6/2*(1-'1 - Titoli e shock'!$B$8),0)</f>
        <v>518.18936939405739</v>
      </c>
      <c r="U296" s="20">
        <f>IF(AND($B$34&lt;='1 - Titoli e shock'!$B$17,$C296&lt;='1 - Titoli e shock'!$B$17),$D$34*U$6/2*(1-'1 - Titoli e shock'!$B$8),0)</f>
        <v>645.68773131039484</v>
      </c>
    </row>
    <row r="297" spans="1:21">
      <c r="A297" s="15" t="s">
        <v>267</v>
      </c>
      <c r="B297" s="22" t="str">
        <f>A34</f>
        <v>BTP 2,70% ott 2027</v>
      </c>
      <c r="C297" s="13">
        <f>EDATE($B$34,6*12)</f>
        <v>48867</v>
      </c>
      <c r="D297" s="23">
        <f>MAX(1,(YEAR(C297)-YEAR('1 - Titoli e shock'!$B$6))+IF(MONTH(C297)*100+DAY(C297)&gt;MONTH('1 - Titoli e shock'!$B$6)*100+DAY('1 - Titoli e shock'!$B$6),1,0))</f>
        <v>7</v>
      </c>
      <c r="F297" s="20">
        <f>IF(AND($B$34&lt;='1 - Titoli e shock'!$B$17,$C297&lt;='1 - Titoli e shock'!$B$17),$D$34*F$6/2*(1-'1 - Titoli e shock'!$B$8),0)</f>
        <v>303.67035103868147</v>
      </c>
      <c r="G297" s="20">
        <f>IF(AND($B$34&lt;='1 - Titoli e shock'!$B$17,$C297&lt;='1 - Titoli e shock'!$B$17),$D$34*G$6/2*(1-'1 - Titoli e shock'!$B$8),0)</f>
        <v>389.78555627611047</v>
      </c>
      <c r="H297" s="20">
        <f>IF(AND($B$34&lt;='1 - Titoli e shock'!$B$17,$C297&lt;='1 - Titoli e shock'!$B$17),$D$34*H$6/2*(1-'1 - Titoli e shock'!$B$8),0)</f>
        <v>475.48965609384118</v>
      </c>
      <c r="I297" s="20">
        <f>IF(AND($B$34&lt;='1 - Titoli e shock'!$B$17,$C297&lt;='1 - Titoli e shock'!$B$17),$D$34*I$6/2*(1-'1 - Titoli e shock'!$B$8),0)</f>
        <v>560.78848260294933</v>
      </c>
      <c r="J297" s="20">
        <f>IF(AND($B$34&lt;='1 - Titoli e shock'!$B$17,$C297&lt;='1 - Titoli e shock'!$B$17),$D$34*J$6/2*(1-'1 - Titoli e shock'!$B$8),0)</f>
        <v>411.24989216942373</v>
      </c>
      <c r="K297" s="20">
        <f>IF(AND($B$34&lt;='1 - Titoli e shock'!$B$17,$C297&lt;='1 - Titoli e shock'!$B$17),$D$34*K$6/2*(1-'1 - Titoli e shock'!$B$8),0)</f>
        <v>432.68862660053048</v>
      </c>
      <c r="L297" s="20">
        <f>IF(AND($B$34&lt;='1 - Titoli e shock'!$B$17,$C297&lt;='1 - Titoli e shock'!$B$17),$D$34*L$6/2*(1-'1 - Titoli e shock'!$B$8),0)</f>
        <v>441.25697245319822</v>
      </c>
      <c r="M297" s="20">
        <f>IF(AND($B$34&lt;='1 - Titoli e shock'!$B$17,$C297&lt;='1 - Titoli e shock'!$B$17),$D$34*M$6/2*(1-'1 - Titoli e shock'!$B$8),0)</f>
        <v>449.82124252499352</v>
      </c>
      <c r="N297" s="20">
        <f>IF(AND($B$34&lt;='1 - Titoli e shock'!$B$17,$C297&lt;='1 - Titoli e shock'!$B$17),$D$34*N$6/2*(1-'1 - Titoli e shock'!$B$8),0)</f>
        <v>458.38144262668129</v>
      </c>
      <c r="O297" s="20">
        <f>IF(AND($B$34&lt;='1 - Titoli e shock'!$B$17,$C297&lt;='1 - Titoli e shock'!$B$17),$D$34*O$6/2*(1-'1 - Titoli e shock'!$B$8),0)</f>
        <v>466.93757855522102</v>
      </c>
      <c r="P297" s="20">
        <f>IF(AND($B$34&lt;='1 - Titoli e shock'!$B$17,$C297&lt;='1 - Titoli e shock'!$B$17),$D$34*P$6/2*(1-'1 - Titoli e shock'!$B$8),0)</f>
        <v>484.03768101204679</v>
      </c>
      <c r="Q297" s="20">
        <f>IF(AND($B$34&lt;='1 - Titoli e shock'!$B$17,$C297&lt;='1 - Titoli e shock'!$B$17),$D$34*Q$6/2*(1-'1 - Titoli e shock'!$B$8),0)</f>
        <v>492.58165906570923</v>
      </c>
      <c r="R297" s="20">
        <f>IF(AND($B$34&lt;='1 - Titoli e shock'!$B$17,$C297&lt;='1 - Titoli e shock'!$B$17),$D$34*R$6/2*(1-'1 - Titoli e shock'!$B$8),0)</f>
        <v>501.12159599706251</v>
      </c>
      <c r="S297" s="20">
        <f>IF(AND($B$34&lt;='1 - Titoli e shock'!$B$17,$C297&lt;='1 - Titoli e shock'!$B$17),$D$34*S$6/2*(1-'1 - Titoli e shock'!$B$8),0)</f>
        <v>509.65749753479264</v>
      </c>
      <c r="T297" s="20">
        <f>IF(AND($B$34&lt;='1 - Titoli e shock'!$B$17,$C297&lt;='1 - Titoli e shock'!$B$17),$D$34*T$6/2*(1-'1 - Titoli e shock'!$B$8),0)</f>
        <v>518.18936939405739</v>
      </c>
      <c r="U297" s="20">
        <f>IF(AND($B$34&lt;='1 - Titoli e shock'!$B$17,$C297&lt;='1 - Titoli e shock'!$B$17),$D$34*U$6/2*(1-'1 - Titoli e shock'!$B$8),0)</f>
        <v>645.68773131039484</v>
      </c>
    </row>
    <row r="298" spans="1:21">
      <c r="A298" s="15" t="s">
        <v>267</v>
      </c>
      <c r="B298" s="22" t="str">
        <f>A34</f>
        <v>BTP 2,70% ott 2027</v>
      </c>
      <c r="C298" s="13">
        <f>EDATE($B$34,6*13)</f>
        <v>49049</v>
      </c>
      <c r="D298" s="23">
        <f>MAX(1,(YEAR(C298)-YEAR('1 - Titoli e shock'!$B$6))+IF(MONTH(C298)*100+DAY(C298)&gt;MONTH('1 - Titoli e shock'!$B$6)*100+DAY('1 - Titoli e shock'!$B$6),1,0))</f>
        <v>8</v>
      </c>
      <c r="F298" s="20">
        <f>IF(AND($B$34&lt;='1 - Titoli e shock'!$B$17,$C298&lt;='1 - Titoli e shock'!$B$17),$D$34*F$6/2*(1-'1 - Titoli e shock'!$B$8),0)</f>
        <v>303.67035103868147</v>
      </c>
      <c r="G298" s="20">
        <f>IF(AND($B$34&lt;='1 - Titoli e shock'!$B$17,$C298&lt;='1 - Titoli e shock'!$B$17),$D$34*G$6/2*(1-'1 - Titoli e shock'!$B$8),0)</f>
        <v>389.78555627611047</v>
      </c>
      <c r="H298" s="20">
        <f>IF(AND($B$34&lt;='1 - Titoli e shock'!$B$17,$C298&lt;='1 - Titoli e shock'!$B$17),$D$34*H$6/2*(1-'1 - Titoli e shock'!$B$8),0)</f>
        <v>475.48965609384118</v>
      </c>
      <c r="I298" s="20">
        <f>IF(AND($B$34&lt;='1 - Titoli e shock'!$B$17,$C298&lt;='1 - Titoli e shock'!$B$17),$D$34*I$6/2*(1-'1 - Titoli e shock'!$B$8),0)</f>
        <v>560.78848260294933</v>
      </c>
      <c r="J298" s="20">
        <f>IF(AND($B$34&lt;='1 - Titoli e shock'!$B$17,$C298&lt;='1 - Titoli e shock'!$B$17),$D$34*J$6/2*(1-'1 - Titoli e shock'!$B$8),0)</f>
        <v>411.24989216942373</v>
      </c>
      <c r="K298" s="20">
        <f>IF(AND($B$34&lt;='1 - Titoli e shock'!$B$17,$C298&lt;='1 - Titoli e shock'!$B$17),$D$34*K$6/2*(1-'1 - Titoli e shock'!$B$8),0)</f>
        <v>432.68862660053048</v>
      </c>
      <c r="L298" s="20">
        <f>IF(AND($B$34&lt;='1 - Titoli e shock'!$B$17,$C298&lt;='1 - Titoli e shock'!$B$17),$D$34*L$6/2*(1-'1 - Titoli e shock'!$B$8),0)</f>
        <v>441.25697245319822</v>
      </c>
      <c r="M298" s="20">
        <f>IF(AND($B$34&lt;='1 - Titoli e shock'!$B$17,$C298&lt;='1 - Titoli e shock'!$B$17),$D$34*M$6/2*(1-'1 - Titoli e shock'!$B$8),0)</f>
        <v>449.82124252499352</v>
      </c>
      <c r="N298" s="20">
        <f>IF(AND($B$34&lt;='1 - Titoli e shock'!$B$17,$C298&lt;='1 - Titoli e shock'!$B$17),$D$34*N$6/2*(1-'1 - Titoli e shock'!$B$8),0)</f>
        <v>458.38144262668129</v>
      </c>
      <c r="O298" s="20">
        <f>IF(AND($B$34&lt;='1 - Titoli e shock'!$B$17,$C298&lt;='1 - Titoli e shock'!$B$17),$D$34*O$6/2*(1-'1 - Titoli e shock'!$B$8),0)</f>
        <v>466.93757855522102</v>
      </c>
      <c r="P298" s="20">
        <f>IF(AND($B$34&lt;='1 - Titoli e shock'!$B$17,$C298&lt;='1 - Titoli e shock'!$B$17),$D$34*P$6/2*(1-'1 - Titoli e shock'!$B$8),0)</f>
        <v>484.03768101204679</v>
      </c>
      <c r="Q298" s="20">
        <f>IF(AND($B$34&lt;='1 - Titoli e shock'!$B$17,$C298&lt;='1 - Titoli e shock'!$B$17),$D$34*Q$6/2*(1-'1 - Titoli e shock'!$B$8),0)</f>
        <v>492.58165906570923</v>
      </c>
      <c r="R298" s="20">
        <f>IF(AND($B$34&lt;='1 - Titoli e shock'!$B$17,$C298&lt;='1 - Titoli e shock'!$B$17),$D$34*R$6/2*(1-'1 - Titoli e shock'!$B$8),0)</f>
        <v>501.12159599706251</v>
      </c>
      <c r="S298" s="20">
        <f>IF(AND($B$34&lt;='1 - Titoli e shock'!$B$17,$C298&lt;='1 - Titoli e shock'!$B$17),$D$34*S$6/2*(1-'1 - Titoli e shock'!$B$8),0)</f>
        <v>509.65749753479264</v>
      </c>
      <c r="T298" s="20">
        <f>IF(AND($B$34&lt;='1 - Titoli e shock'!$B$17,$C298&lt;='1 - Titoli e shock'!$B$17),$D$34*T$6/2*(1-'1 - Titoli e shock'!$B$8),0)</f>
        <v>518.18936939405739</v>
      </c>
      <c r="U298" s="20">
        <f>IF(AND($B$34&lt;='1 - Titoli e shock'!$B$17,$C298&lt;='1 - Titoli e shock'!$B$17),$D$34*U$6/2*(1-'1 - Titoli e shock'!$B$8),0)</f>
        <v>645.68773131039484</v>
      </c>
    </row>
    <row r="299" spans="1:21">
      <c r="A299" s="15" t="s">
        <v>267</v>
      </c>
      <c r="B299" s="22" t="str">
        <f>A34</f>
        <v>BTP 2,70% ott 2027</v>
      </c>
      <c r="C299" s="13">
        <f>EDATE($B$34,6*14)</f>
        <v>49232</v>
      </c>
      <c r="D299" s="23">
        <f>MAX(1,(YEAR(C299)-YEAR('1 - Titoli e shock'!$B$6))+IF(MONTH(C299)*100+DAY(C299)&gt;MONTH('1 - Titoli e shock'!$B$6)*100+DAY('1 - Titoli e shock'!$B$6),1,0))</f>
        <v>8</v>
      </c>
      <c r="F299" s="20">
        <f>IF(AND($B$34&lt;='1 - Titoli e shock'!$B$17,$C299&lt;='1 - Titoli e shock'!$B$17),$D$34*F$6/2*(1-'1 - Titoli e shock'!$B$8),0)</f>
        <v>303.67035103868147</v>
      </c>
      <c r="G299" s="20">
        <f>IF(AND($B$34&lt;='1 - Titoli e shock'!$B$17,$C299&lt;='1 - Titoli e shock'!$B$17),$D$34*G$6/2*(1-'1 - Titoli e shock'!$B$8),0)</f>
        <v>389.78555627611047</v>
      </c>
      <c r="H299" s="20">
        <f>IF(AND($B$34&lt;='1 - Titoli e shock'!$B$17,$C299&lt;='1 - Titoli e shock'!$B$17),$D$34*H$6/2*(1-'1 - Titoli e shock'!$B$8),0)</f>
        <v>475.48965609384118</v>
      </c>
      <c r="I299" s="20">
        <f>IF(AND($B$34&lt;='1 - Titoli e shock'!$B$17,$C299&lt;='1 - Titoli e shock'!$B$17),$D$34*I$6/2*(1-'1 - Titoli e shock'!$B$8),0)</f>
        <v>560.78848260294933</v>
      </c>
      <c r="J299" s="20">
        <f>IF(AND($B$34&lt;='1 - Titoli e shock'!$B$17,$C299&lt;='1 - Titoli e shock'!$B$17),$D$34*J$6/2*(1-'1 - Titoli e shock'!$B$8),0)</f>
        <v>411.24989216942373</v>
      </c>
      <c r="K299" s="20">
        <f>IF(AND($B$34&lt;='1 - Titoli e shock'!$B$17,$C299&lt;='1 - Titoli e shock'!$B$17),$D$34*K$6/2*(1-'1 - Titoli e shock'!$B$8),0)</f>
        <v>432.68862660053048</v>
      </c>
      <c r="L299" s="20">
        <f>IF(AND($B$34&lt;='1 - Titoli e shock'!$B$17,$C299&lt;='1 - Titoli e shock'!$B$17),$D$34*L$6/2*(1-'1 - Titoli e shock'!$B$8),0)</f>
        <v>441.25697245319822</v>
      </c>
      <c r="M299" s="20">
        <f>IF(AND($B$34&lt;='1 - Titoli e shock'!$B$17,$C299&lt;='1 - Titoli e shock'!$B$17),$D$34*M$6/2*(1-'1 - Titoli e shock'!$B$8),0)</f>
        <v>449.82124252499352</v>
      </c>
      <c r="N299" s="20">
        <f>IF(AND($B$34&lt;='1 - Titoli e shock'!$B$17,$C299&lt;='1 - Titoli e shock'!$B$17),$D$34*N$6/2*(1-'1 - Titoli e shock'!$B$8),0)</f>
        <v>458.38144262668129</v>
      </c>
      <c r="O299" s="20">
        <f>IF(AND($B$34&lt;='1 - Titoli e shock'!$B$17,$C299&lt;='1 - Titoli e shock'!$B$17),$D$34*O$6/2*(1-'1 - Titoli e shock'!$B$8),0)</f>
        <v>466.93757855522102</v>
      </c>
      <c r="P299" s="20">
        <f>IF(AND($B$34&lt;='1 - Titoli e shock'!$B$17,$C299&lt;='1 - Titoli e shock'!$B$17),$D$34*P$6/2*(1-'1 - Titoli e shock'!$B$8),0)</f>
        <v>484.03768101204679</v>
      </c>
      <c r="Q299" s="20">
        <f>IF(AND($B$34&lt;='1 - Titoli e shock'!$B$17,$C299&lt;='1 - Titoli e shock'!$B$17),$D$34*Q$6/2*(1-'1 - Titoli e shock'!$B$8),0)</f>
        <v>492.58165906570923</v>
      </c>
      <c r="R299" s="20">
        <f>IF(AND($B$34&lt;='1 - Titoli e shock'!$B$17,$C299&lt;='1 - Titoli e shock'!$B$17),$D$34*R$6/2*(1-'1 - Titoli e shock'!$B$8),0)</f>
        <v>501.12159599706251</v>
      </c>
      <c r="S299" s="20">
        <f>IF(AND($B$34&lt;='1 - Titoli e shock'!$B$17,$C299&lt;='1 - Titoli e shock'!$B$17),$D$34*S$6/2*(1-'1 - Titoli e shock'!$B$8),0)</f>
        <v>509.65749753479264</v>
      </c>
      <c r="T299" s="20">
        <f>IF(AND($B$34&lt;='1 - Titoli e shock'!$B$17,$C299&lt;='1 - Titoli e shock'!$B$17),$D$34*T$6/2*(1-'1 - Titoli e shock'!$B$8),0)</f>
        <v>518.18936939405739</v>
      </c>
      <c r="U299" s="20">
        <f>IF(AND($B$34&lt;='1 - Titoli e shock'!$B$17,$C299&lt;='1 - Titoli e shock'!$B$17),$D$34*U$6/2*(1-'1 - Titoli e shock'!$B$8),0)</f>
        <v>645.68773131039484</v>
      </c>
    </row>
    <row r="300" spans="1:21">
      <c r="A300" s="15" t="s">
        <v>267</v>
      </c>
      <c r="B300" s="22" t="str">
        <f>A34</f>
        <v>BTP 2,70% ott 2027</v>
      </c>
      <c r="C300" s="13">
        <f>EDATE($B$34,6*15)</f>
        <v>49414</v>
      </c>
      <c r="D300" s="23">
        <f>MAX(1,(YEAR(C300)-YEAR('1 - Titoli e shock'!$B$6))+IF(MONTH(C300)*100+DAY(C300)&gt;MONTH('1 - Titoli e shock'!$B$6)*100+DAY('1 - Titoli e shock'!$B$6),1,0))</f>
        <v>9</v>
      </c>
      <c r="F300" s="20">
        <f>IF(AND($B$34&lt;='1 - Titoli e shock'!$B$17,$C300&lt;='1 - Titoli e shock'!$B$17),$D$34*F$6/2*(1-'1 - Titoli e shock'!$B$8),0)</f>
        <v>303.67035103868147</v>
      </c>
      <c r="G300" s="20">
        <f>IF(AND($B$34&lt;='1 - Titoli e shock'!$B$17,$C300&lt;='1 - Titoli e shock'!$B$17),$D$34*G$6/2*(1-'1 - Titoli e shock'!$B$8),0)</f>
        <v>389.78555627611047</v>
      </c>
      <c r="H300" s="20">
        <f>IF(AND($B$34&lt;='1 - Titoli e shock'!$B$17,$C300&lt;='1 - Titoli e shock'!$B$17),$D$34*H$6/2*(1-'1 - Titoli e shock'!$B$8),0)</f>
        <v>475.48965609384118</v>
      </c>
      <c r="I300" s="20">
        <f>IF(AND($B$34&lt;='1 - Titoli e shock'!$B$17,$C300&lt;='1 - Titoli e shock'!$B$17),$D$34*I$6/2*(1-'1 - Titoli e shock'!$B$8),0)</f>
        <v>560.78848260294933</v>
      </c>
      <c r="J300" s="20">
        <f>IF(AND($B$34&lt;='1 - Titoli e shock'!$B$17,$C300&lt;='1 - Titoli e shock'!$B$17),$D$34*J$6/2*(1-'1 - Titoli e shock'!$B$8),0)</f>
        <v>411.24989216942373</v>
      </c>
      <c r="K300" s="20">
        <f>IF(AND($B$34&lt;='1 - Titoli e shock'!$B$17,$C300&lt;='1 - Titoli e shock'!$B$17),$D$34*K$6/2*(1-'1 - Titoli e shock'!$B$8),0)</f>
        <v>432.68862660053048</v>
      </c>
      <c r="L300" s="20">
        <f>IF(AND($B$34&lt;='1 - Titoli e shock'!$B$17,$C300&lt;='1 - Titoli e shock'!$B$17),$D$34*L$6/2*(1-'1 - Titoli e shock'!$B$8),0)</f>
        <v>441.25697245319822</v>
      </c>
      <c r="M300" s="20">
        <f>IF(AND($B$34&lt;='1 - Titoli e shock'!$B$17,$C300&lt;='1 - Titoli e shock'!$B$17),$D$34*M$6/2*(1-'1 - Titoli e shock'!$B$8),0)</f>
        <v>449.82124252499352</v>
      </c>
      <c r="N300" s="20">
        <f>IF(AND($B$34&lt;='1 - Titoli e shock'!$B$17,$C300&lt;='1 - Titoli e shock'!$B$17),$D$34*N$6/2*(1-'1 - Titoli e shock'!$B$8),0)</f>
        <v>458.38144262668129</v>
      </c>
      <c r="O300" s="20">
        <f>IF(AND($B$34&lt;='1 - Titoli e shock'!$B$17,$C300&lt;='1 - Titoli e shock'!$B$17),$D$34*O$6/2*(1-'1 - Titoli e shock'!$B$8),0)</f>
        <v>466.93757855522102</v>
      </c>
      <c r="P300" s="20">
        <f>IF(AND($B$34&lt;='1 - Titoli e shock'!$B$17,$C300&lt;='1 - Titoli e shock'!$B$17),$D$34*P$6/2*(1-'1 - Titoli e shock'!$B$8),0)</f>
        <v>484.03768101204679</v>
      </c>
      <c r="Q300" s="20">
        <f>IF(AND($B$34&lt;='1 - Titoli e shock'!$B$17,$C300&lt;='1 - Titoli e shock'!$B$17),$D$34*Q$6/2*(1-'1 - Titoli e shock'!$B$8),0)</f>
        <v>492.58165906570923</v>
      </c>
      <c r="R300" s="20">
        <f>IF(AND($B$34&lt;='1 - Titoli e shock'!$B$17,$C300&lt;='1 - Titoli e shock'!$B$17),$D$34*R$6/2*(1-'1 - Titoli e shock'!$B$8),0)</f>
        <v>501.12159599706251</v>
      </c>
      <c r="S300" s="20">
        <f>IF(AND($B$34&lt;='1 - Titoli e shock'!$B$17,$C300&lt;='1 - Titoli e shock'!$B$17),$D$34*S$6/2*(1-'1 - Titoli e shock'!$B$8),0)</f>
        <v>509.65749753479264</v>
      </c>
      <c r="T300" s="20">
        <f>IF(AND($B$34&lt;='1 - Titoli e shock'!$B$17,$C300&lt;='1 - Titoli e shock'!$B$17),$D$34*T$6/2*(1-'1 - Titoli e shock'!$B$8),0)</f>
        <v>518.18936939405739</v>
      </c>
      <c r="U300" s="20">
        <f>IF(AND($B$34&lt;='1 - Titoli e shock'!$B$17,$C300&lt;='1 - Titoli e shock'!$B$17),$D$34*U$6/2*(1-'1 - Titoli e shock'!$B$8),0)</f>
        <v>645.68773131039484</v>
      </c>
    </row>
    <row r="301" spans="1:21">
      <c r="A301" s="15" t="s">
        <v>267</v>
      </c>
      <c r="B301" s="22" t="str">
        <f>A34</f>
        <v>BTP 2,70% ott 2027</v>
      </c>
      <c r="C301" s="13">
        <f>EDATE($B$34,6*16)</f>
        <v>49597</v>
      </c>
      <c r="D301" s="23">
        <f>MAX(1,(YEAR(C301)-YEAR('1 - Titoli e shock'!$B$6))+IF(MONTH(C301)*100+DAY(C301)&gt;MONTH('1 - Titoli e shock'!$B$6)*100+DAY('1 - Titoli e shock'!$B$6),1,0))</f>
        <v>9</v>
      </c>
      <c r="F301" s="20">
        <f>IF(AND($B$34&lt;='1 - Titoli e shock'!$B$17,$C301&lt;='1 - Titoli e shock'!$B$17),$D$34*F$6/2*(1-'1 - Titoli e shock'!$B$8),0)</f>
        <v>303.67035103868147</v>
      </c>
      <c r="G301" s="20">
        <f>IF(AND($B$34&lt;='1 - Titoli e shock'!$B$17,$C301&lt;='1 - Titoli e shock'!$B$17),$D$34*G$6/2*(1-'1 - Titoli e shock'!$B$8),0)</f>
        <v>389.78555627611047</v>
      </c>
      <c r="H301" s="20">
        <f>IF(AND($B$34&lt;='1 - Titoli e shock'!$B$17,$C301&lt;='1 - Titoli e shock'!$B$17),$D$34*H$6/2*(1-'1 - Titoli e shock'!$B$8),0)</f>
        <v>475.48965609384118</v>
      </c>
      <c r="I301" s="20">
        <f>IF(AND($B$34&lt;='1 - Titoli e shock'!$B$17,$C301&lt;='1 - Titoli e shock'!$B$17),$D$34*I$6/2*(1-'1 - Titoli e shock'!$B$8),0)</f>
        <v>560.78848260294933</v>
      </c>
      <c r="J301" s="20">
        <f>IF(AND($B$34&lt;='1 - Titoli e shock'!$B$17,$C301&lt;='1 - Titoli e shock'!$B$17),$D$34*J$6/2*(1-'1 - Titoli e shock'!$B$8),0)</f>
        <v>411.24989216942373</v>
      </c>
      <c r="K301" s="20">
        <f>IF(AND($B$34&lt;='1 - Titoli e shock'!$B$17,$C301&lt;='1 - Titoli e shock'!$B$17),$D$34*K$6/2*(1-'1 - Titoli e shock'!$B$8),0)</f>
        <v>432.68862660053048</v>
      </c>
      <c r="L301" s="20">
        <f>IF(AND($B$34&lt;='1 - Titoli e shock'!$B$17,$C301&lt;='1 - Titoli e shock'!$B$17),$D$34*L$6/2*(1-'1 - Titoli e shock'!$B$8),0)</f>
        <v>441.25697245319822</v>
      </c>
      <c r="M301" s="20">
        <f>IF(AND($B$34&lt;='1 - Titoli e shock'!$B$17,$C301&lt;='1 - Titoli e shock'!$B$17),$D$34*M$6/2*(1-'1 - Titoli e shock'!$B$8),0)</f>
        <v>449.82124252499352</v>
      </c>
      <c r="N301" s="20">
        <f>IF(AND($B$34&lt;='1 - Titoli e shock'!$B$17,$C301&lt;='1 - Titoli e shock'!$B$17),$D$34*N$6/2*(1-'1 - Titoli e shock'!$B$8),0)</f>
        <v>458.38144262668129</v>
      </c>
      <c r="O301" s="20">
        <f>IF(AND($B$34&lt;='1 - Titoli e shock'!$B$17,$C301&lt;='1 - Titoli e shock'!$B$17),$D$34*O$6/2*(1-'1 - Titoli e shock'!$B$8),0)</f>
        <v>466.93757855522102</v>
      </c>
      <c r="P301" s="20">
        <f>IF(AND($B$34&lt;='1 - Titoli e shock'!$B$17,$C301&lt;='1 - Titoli e shock'!$B$17),$D$34*P$6/2*(1-'1 - Titoli e shock'!$B$8),0)</f>
        <v>484.03768101204679</v>
      </c>
      <c r="Q301" s="20">
        <f>IF(AND($B$34&lt;='1 - Titoli e shock'!$B$17,$C301&lt;='1 - Titoli e shock'!$B$17),$D$34*Q$6/2*(1-'1 - Titoli e shock'!$B$8),0)</f>
        <v>492.58165906570923</v>
      </c>
      <c r="R301" s="20">
        <f>IF(AND($B$34&lt;='1 - Titoli e shock'!$B$17,$C301&lt;='1 - Titoli e shock'!$B$17),$D$34*R$6/2*(1-'1 - Titoli e shock'!$B$8),0)</f>
        <v>501.12159599706251</v>
      </c>
      <c r="S301" s="20">
        <f>IF(AND($B$34&lt;='1 - Titoli e shock'!$B$17,$C301&lt;='1 - Titoli e shock'!$B$17),$D$34*S$6/2*(1-'1 - Titoli e shock'!$B$8),0)</f>
        <v>509.65749753479264</v>
      </c>
      <c r="T301" s="20">
        <f>IF(AND($B$34&lt;='1 - Titoli e shock'!$B$17,$C301&lt;='1 - Titoli e shock'!$B$17),$D$34*T$6/2*(1-'1 - Titoli e shock'!$B$8),0)</f>
        <v>518.18936939405739</v>
      </c>
      <c r="U301" s="20">
        <f>IF(AND($B$34&lt;='1 - Titoli e shock'!$B$17,$C301&lt;='1 - Titoli e shock'!$B$17),$D$34*U$6/2*(1-'1 - Titoli e shock'!$B$8),0)</f>
        <v>645.68773131039484</v>
      </c>
    </row>
    <row r="302" spans="1:21">
      <c r="A302" s="15" t="s">
        <v>267</v>
      </c>
      <c r="B302" s="22" t="str">
        <f>A34</f>
        <v>BTP 2,70% ott 2027</v>
      </c>
      <c r="C302" s="13">
        <f>EDATE($B$34,6*17)</f>
        <v>49780</v>
      </c>
      <c r="D302" s="23">
        <f>MAX(1,(YEAR(C302)-YEAR('1 - Titoli e shock'!$B$6))+IF(MONTH(C302)*100+DAY(C302)&gt;MONTH('1 - Titoli e shock'!$B$6)*100+DAY('1 - Titoli e shock'!$B$6),1,0))</f>
        <v>10</v>
      </c>
      <c r="F302" s="20">
        <f>IF(AND($B$34&lt;='1 - Titoli e shock'!$B$17,$C302&lt;='1 - Titoli e shock'!$B$17),$D$34*F$6/2*(1-'1 - Titoli e shock'!$B$8),0)</f>
        <v>303.67035103868147</v>
      </c>
      <c r="G302" s="20">
        <f>IF(AND($B$34&lt;='1 - Titoli e shock'!$B$17,$C302&lt;='1 - Titoli e shock'!$B$17),$D$34*G$6/2*(1-'1 - Titoli e shock'!$B$8),0)</f>
        <v>389.78555627611047</v>
      </c>
      <c r="H302" s="20">
        <f>IF(AND($B$34&lt;='1 - Titoli e shock'!$B$17,$C302&lt;='1 - Titoli e shock'!$B$17),$D$34*H$6/2*(1-'1 - Titoli e shock'!$B$8),0)</f>
        <v>475.48965609384118</v>
      </c>
      <c r="I302" s="20">
        <f>IF(AND($B$34&lt;='1 - Titoli e shock'!$B$17,$C302&lt;='1 - Titoli e shock'!$B$17),$D$34*I$6/2*(1-'1 - Titoli e shock'!$B$8),0)</f>
        <v>560.78848260294933</v>
      </c>
      <c r="J302" s="20">
        <f>IF(AND($B$34&lt;='1 - Titoli e shock'!$B$17,$C302&lt;='1 - Titoli e shock'!$B$17),$D$34*J$6/2*(1-'1 - Titoli e shock'!$B$8),0)</f>
        <v>411.24989216942373</v>
      </c>
      <c r="K302" s="20">
        <f>IF(AND($B$34&lt;='1 - Titoli e shock'!$B$17,$C302&lt;='1 - Titoli e shock'!$B$17),$D$34*K$6/2*(1-'1 - Titoli e shock'!$B$8),0)</f>
        <v>432.68862660053048</v>
      </c>
      <c r="L302" s="20">
        <f>IF(AND($B$34&lt;='1 - Titoli e shock'!$B$17,$C302&lt;='1 - Titoli e shock'!$B$17),$D$34*L$6/2*(1-'1 - Titoli e shock'!$B$8),0)</f>
        <v>441.25697245319822</v>
      </c>
      <c r="M302" s="20">
        <f>IF(AND($B$34&lt;='1 - Titoli e shock'!$B$17,$C302&lt;='1 - Titoli e shock'!$B$17),$D$34*M$6/2*(1-'1 - Titoli e shock'!$B$8),0)</f>
        <v>449.82124252499352</v>
      </c>
      <c r="N302" s="20">
        <f>IF(AND($B$34&lt;='1 - Titoli e shock'!$B$17,$C302&lt;='1 - Titoli e shock'!$B$17),$D$34*N$6/2*(1-'1 - Titoli e shock'!$B$8),0)</f>
        <v>458.38144262668129</v>
      </c>
      <c r="O302" s="20">
        <f>IF(AND($B$34&lt;='1 - Titoli e shock'!$B$17,$C302&lt;='1 - Titoli e shock'!$B$17),$D$34*O$6/2*(1-'1 - Titoli e shock'!$B$8),0)</f>
        <v>466.93757855522102</v>
      </c>
      <c r="P302" s="20">
        <f>IF(AND($B$34&lt;='1 - Titoli e shock'!$B$17,$C302&lt;='1 - Titoli e shock'!$B$17),$D$34*P$6/2*(1-'1 - Titoli e shock'!$B$8),0)</f>
        <v>484.03768101204679</v>
      </c>
      <c r="Q302" s="20">
        <f>IF(AND($B$34&lt;='1 - Titoli e shock'!$B$17,$C302&lt;='1 - Titoli e shock'!$B$17),$D$34*Q$6/2*(1-'1 - Titoli e shock'!$B$8),0)</f>
        <v>492.58165906570923</v>
      </c>
      <c r="R302" s="20">
        <f>IF(AND($B$34&lt;='1 - Titoli e shock'!$B$17,$C302&lt;='1 - Titoli e shock'!$B$17),$D$34*R$6/2*(1-'1 - Titoli e shock'!$B$8),0)</f>
        <v>501.12159599706251</v>
      </c>
      <c r="S302" s="20">
        <f>IF(AND($B$34&lt;='1 - Titoli e shock'!$B$17,$C302&lt;='1 - Titoli e shock'!$B$17),$D$34*S$6/2*(1-'1 - Titoli e shock'!$B$8),0)</f>
        <v>509.65749753479264</v>
      </c>
      <c r="T302" s="20">
        <f>IF(AND($B$34&lt;='1 - Titoli e shock'!$B$17,$C302&lt;='1 - Titoli e shock'!$B$17),$D$34*T$6/2*(1-'1 - Titoli e shock'!$B$8),0)</f>
        <v>518.18936939405739</v>
      </c>
      <c r="U302" s="20">
        <f>IF(AND($B$34&lt;='1 - Titoli e shock'!$B$17,$C302&lt;='1 - Titoli e shock'!$B$17),$D$34*U$6/2*(1-'1 - Titoli e shock'!$B$8),0)</f>
        <v>645.68773131039484</v>
      </c>
    </row>
    <row r="303" spans="1:21">
      <c r="A303" s="15" t="s">
        <v>267</v>
      </c>
      <c r="B303" s="22" t="str">
        <f>A34</f>
        <v>BTP 2,70% ott 2027</v>
      </c>
      <c r="C303" s="13">
        <f>EDATE($B$34,6*18)</f>
        <v>49963</v>
      </c>
      <c r="D303" s="23">
        <f>MAX(1,(YEAR(C303)-YEAR('1 - Titoli e shock'!$B$6))+IF(MONTH(C303)*100+DAY(C303)&gt;MONTH('1 - Titoli e shock'!$B$6)*100+DAY('1 - Titoli e shock'!$B$6),1,0))</f>
        <v>10</v>
      </c>
      <c r="F303" s="20">
        <f>IF(AND($B$34&lt;='1 - Titoli e shock'!$B$17,$C303&lt;='1 - Titoli e shock'!$B$17),$D$34*F$6/2*(1-'1 - Titoli e shock'!$B$8),0)</f>
        <v>303.67035103868147</v>
      </c>
      <c r="G303" s="20">
        <f>IF(AND($B$34&lt;='1 - Titoli e shock'!$B$17,$C303&lt;='1 - Titoli e shock'!$B$17),$D$34*G$6/2*(1-'1 - Titoli e shock'!$B$8),0)</f>
        <v>389.78555627611047</v>
      </c>
      <c r="H303" s="20">
        <f>IF(AND($B$34&lt;='1 - Titoli e shock'!$B$17,$C303&lt;='1 - Titoli e shock'!$B$17),$D$34*H$6/2*(1-'1 - Titoli e shock'!$B$8),0)</f>
        <v>475.48965609384118</v>
      </c>
      <c r="I303" s="20">
        <f>IF(AND($B$34&lt;='1 - Titoli e shock'!$B$17,$C303&lt;='1 - Titoli e shock'!$B$17),$D$34*I$6/2*(1-'1 - Titoli e shock'!$B$8),0)</f>
        <v>560.78848260294933</v>
      </c>
      <c r="J303" s="20">
        <f>IF(AND($B$34&lt;='1 - Titoli e shock'!$B$17,$C303&lt;='1 - Titoli e shock'!$B$17),$D$34*J$6/2*(1-'1 - Titoli e shock'!$B$8),0)</f>
        <v>411.24989216942373</v>
      </c>
      <c r="K303" s="20">
        <f>IF(AND($B$34&lt;='1 - Titoli e shock'!$B$17,$C303&lt;='1 - Titoli e shock'!$B$17),$D$34*K$6/2*(1-'1 - Titoli e shock'!$B$8),0)</f>
        <v>432.68862660053048</v>
      </c>
      <c r="L303" s="20">
        <f>IF(AND($B$34&lt;='1 - Titoli e shock'!$B$17,$C303&lt;='1 - Titoli e shock'!$B$17),$D$34*L$6/2*(1-'1 - Titoli e shock'!$B$8),0)</f>
        <v>441.25697245319822</v>
      </c>
      <c r="M303" s="20">
        <f>IF(AND($B$34&lt;='1 - Titoli e shock'!$B$17,$C303&lt;='1 - Titoli e shock'!$B$17),$D$34*M$6/2*(1-'1 - Titoli e shock'!$B$8),0)</f>
        <v>449.82124252499352</v>
      </c>
      <c r="N303" s="20">
        <f>IF(AND($B$34&lt;='1 - Titoli e shock'!$B$17,$C303&lt;='1 - Titoli e shock'!$B$17),$D$34*N$6/2*(1-'1 - Titoli e shock'!$B$8),0)</f>
        <v>458.38144262668129</v>
      </c>
      <c r="O303" s="20">
        <f>IF(AND($B$34&lt;='1 - Titoli e shock'!$B$17,$C303&lt;='1 - Titoli e shock'!$B$17),$D$34*O$6/2*(1-'1 - Titoli e shock'!$B$8),0)</f>
        <v>466.93757855522102</v>
      </c>
      <c r="P303" s="20">
        <f>IF(AND($B$34&lt;='1 - Titoli e shock'!$B$17,$C303&lt;='1 - Titoli e shock'!$B$17),$D$34*P$6/2*(1-'1 - Titoli e shock'!$B$8),0)</f>
        <v>484.03768101204679</v>
      </c>
      <c r="Q303" s="20">
        <f>IF(AND($B$34&lt;='1 - Titoli e shock'!$B$17,$C303&lt;='1 - Titoli e shock'!$B$17),$D$34*Q$6/2*(1-'1 - Titoli e shock'!$B$8),0)</f>
        <v>492.58165906570923</v>
      </c>
      <c r="R303" s="20">
        <f>IF(AND($B$34&lt;='1 - Titoli e shock'!$B$17,$C303&lt;='1 - Titoli e shock'!$B$17),$D$34*R$6/2*(1-'1 - Titoli e shock'!$B$8),0)</f>
        <v>501.12159599706251</v>
      </c>
      <c r="S303" s="20">
        <f>IF(AND($B$34&lt;='1 - Titoli e shock'!$B$17,$C303&lt;='1 - Titoli e shock'!$B$17),$D$34*S$6/2*(1-'1 - Titoli e shock'!$B$8),0)</f>
        <v>509.65749753479264</v>
      </c>
      <c r="T303" s="20">
        <f>IF(AND($B$34&lt;='1 - Titoli e shock'!$B$17,$C303&lt;='1 - Titoli e shock'!$B$17),$D$34*T$6/2*(1-'1 - Titoli e shock'!$B$8),0)</f>
        <v>518.18936939405739</v>
      </c>
      <c r="U303" s="20">
        <f>IF(AND($B$34&lt;='1 - Titoli e shock'!$B$17,$C303&lt;='1 - Titoli e shock'!$B$17),$D$34*U$6/2*(1-'1 - Titoli e shock'!$B$8),0)</f>
        <v>645.68773131039484</v>
      </c>
    </row>
    <row r="304" spans="1:21">
      <c r="A304" s="15" t="s">
        <v>267</v>
      </c>
      <c r="B304" s="22" t="str">
        <f>A34</f>
        <v>BTP 2,70% ott 2027</v>
      </c>
      <c r="C304" s="13">
        <f>EDATE($B$34,6*19)</f>
        <v>50145</v>
      </c>
      <c r="D304" s="23">
        <f>MAX(1,(YEAR(C304)-YEAR('1 - Titoli e shock'!$B$6))+IF(MONTH(C304)*100+DAY(C304)&gt;MONTH('1 - Titoli e shock'!$B$6)*100+DAY('1 - Titoli e shock'!$B$6),1,0))</f>
        <v>11</v>
      </c>
      <c r="F304" s="20">
        <f>IF(AND($B$34&lt;='1 - Titoli e shock'!$B$17,$C304&lt;='1 - Titoli e shock'!$B$17),$D$34*F$6/2*(1-'1 - Titoli e shock'!$B$8),0)</f>
        <v>0</v>
      </c>
      <c r="G304" s="20">
        <f>IF(AND($B$34&lt;='1 - Titoli e shock'!$B$17,$C304&lt;='1 - Titoli e shock'!$B$17),$D$34*G$6/2*(1-'1 - Titoli e shock'!$B$8),0)</f>
        <v>0</v>
      </c>
      <c r="H304" s="20">
        <f>IF(AND($B$34&lt;='1 - Titoli e shock'!$B$17,$C304&lt;='1 - Titoli e shock'!$B$17),$D$34*H$6/2*(1-'1 - Titoli e shock'!$B$8),0)</f>
        <v>0</v>
      </c>
      <c r="I304" s="20">
        <f>IF(AND($B$34&lt;='1 - Titoli e shock'!$B$17,$C304&lt;='1 - Titoli e shock'!$B$17),$D$34*I$6/2*(1-'1 - Titoli e shock'!$B$8),0)</f>
        <v>0</v>
      </c>
      <c r="J304" s="20">
        <f>IF(AND($B$34&lt;='1 - Titoli e shock'!$B$17,$C304&lt;='1 - Titoli e shock'!$B$17),$D$34*J$6/2*(1-'1 - Titoli e shock'!$B$8),0)</f>
        <v>0</v>
      </c>
      <c r="K304" s="20">
        <f>IF(AND($B$34&lt;='1 - Titoli e shock'!$B$17,$C304&lt;='1 - Titoli e shock'!$B$17),$D$34*K$6/2*(1-'1 - Titoli e shock'!$B$8),0)</f>
        <v>0</v>
      </c>
      <c r="L304" s="20">
        <f>IF(AND($B$34&lt;='1 - Titoli e shock'!$B$17,$C304&lt;='1 - Titoli e shock'!$B$17),$D$34*L$6/2*(1-'1 - Titoli e shock'!$B$8),0)</f>
        <v>0</v>
      </c>
      <c r="M304" s="20">
        <f>IF(AND($B$34&lt;='1 - Titoli e shock'!$B$17,$C304&lt;='1 - Titoli e shock'!$B$17),$D$34*M$6/2*(1-'1 - Titoli e shock'!$B$8),0)</f>
        <v>0</v>
      </c>
      <c r="N304" s="20">
        <f>IF(AND($B$34&lt;='1 - Titoli e shock'!$B$17,$C304&lt;='1 - Titoli e shock'!$B$17),$D$34*N$6/2*(1-'1 - Titoli e shock'!$B$8),0)</f>
        <v>0</v>
      </c>
      <c r="O304" s="20">
        <f>IF(AND($B$34&lt;='1 - Titoli e shock'!$B$17,$C304&lt;='1 - Titoli e shock'!$B$17),$D$34*O$6/2*(1-'1 - Titoli e shock'!$B$8),0)</f>
        <v>0</v>
      </c>
      <c r="P304" s="20">
        <f>IF(AND($B$34&lt;='1 - Titoli e shock'!$B$17,$C304&lt;='1 - Titoli e shock'!$B$17),$D$34*P$6/2*(1-'1 - Titoli e shock'!$B$8),0)</f>
        <v>0</v>
      </c>
      <c r="Q304" s="20">
        <f>IF(AND($B$34&lt;='1 - Titoli e shock'!$B$17,$C304&lt;='1 - Titoli e shock'!$B$17),$D$34*Q$6/2*(1-'1 - Titoli e shock'!$B$8),0)</f>
        <v>0</v>
      </c>
      <c r="R304" s="20">
        <f>IF(AND($B$34&lt;='1 - Titoli e shock'!$B$17,$C304&lt;='1 - Titoli e shock'!$B$17),$D$34*R$6/2*(1-'1 - Titoli e shock'!$B$8),0)</f>
        <v>0</v>
      </c>
      <c r="S304" s="20">
        <f>IF(AND($B$34&lt;='1 - Titoli e shock'!$B$17,$C304&lt;='1 - Titoli e shock'!$B$17),$D$34*S$6/2*(1-'1 - Titoli e shock'!$B$8),0)</f>
        <v>0</v>
      </c>
      <c r="T304" s="20">
        <f>IF(AND($B$34&lt;='1 - Titoli e shock'!$B$17,$C304&lt;='1 - Titoli e shock'!$B$17),$D$34*T$6/2*(1-'1 - Titoli e shock'!$B$8),0)</f>
        <v>0</v>
      </c>
      <c r="U304" s="20">
        <f>IF(AND($B$34&lt;='1 - Titoli e shock'!$B$17,$C304&lt;='1 - Titoli e shock'!$B$17),$D$34*U$6/2*(1-'1 - Titoli e shock'!$B$8),0)</f>
        <v>0</v>
      </c>
    </row>
    <row r="305" spans="1:21">
      <c r="A305" s="15" t="s">
        <v>267</v>
      </c>
      <c r="B305" s="22" t="str">
        <f>A34</f>
        <v>BTP 2,70% ott 2027</v>
      </c>
      <c r="C305" s="13">
        <f>EDATE($B$34,6*20)</f>
        <v>50328</v>
      </c>
      <c r="D305" s="23">
        <f>MAX(1,(YEAR(C305)-YEAR('1 - Titoli e shock'!$B$6))+IF(MONTH(C305)*100+DAY(C305)&gt;MONTH('1 - Titoli e shock'!$B$6)*100+DAY('1 - Titoli e shock'!$B$6),1,0))</f>
        <v>11</v>
      </c>
      <c r="F305" s="20">
        <f>IF(AND($B$34&lt;='1 - Titoli e shock'!$B$17,$C305&lt;='1 - Titoli e shock'!$B$17),$D$34*F$6/2*(1-'1 - Titoli e shock'!$B$8),0)</f>
        <v>0</v>
      </c>
      <c r="G305" s="20">
        <f>IF(AND($B$34&lt;='1 - Titoli e shock'!$B$17,$C305&lt;='1 - Titoli e shock'!$B$17),$D$34*G$6/2*(1-'1 - Titoli e shock'!$B$8),0)</f>
        <v>0</v>
      </c>
      <c r="H305" s="20">
        <f>IF(AND($B$34&lt;='1 - Titoli e shock'!$B$17,$C305&lt;='1 - Titoli e shock'!$B$17),$D$34*H$6/2*(1-'1 - Titoli e shock'!$B$8),0)</f>
        <v>0</v>
      </c>
      <c r="I305" s="20">
        <f>IF(AND($B$34&lt;='1 - Titoli e shock'!$B$17,$C305&lt;='1 - Titoli e shock'!$B$17),$D$34*I$6/2*(1-'1 - Titoli e shock'!$B$8),0)</f>
        <v>0</v>
      </c>
      <c r="J305" s="20">
        <f>IF(AND($B$34&lt;='1 - Titoli e shock'!$B$17,$C305&lt;='1 - Titoli e shock'!$B$17),$D$34*J$6/2*(1-'1 - Titoli e shock'!$B$8),0)</f>
        <v>0</v>
      </c>
      <c r="K305" s="20">
        <f>IF(AND($B$34&lt;='1 - Titoli e shock'!$B$17,$C305&lt;='1 - Titoli e shock'!$B$17),$D$34*K$6/2*(1-'1 - Titoli e shock'!$B$8),0)</f>
        <v>0</v>
      </c>
      <c r="L305" s="20">
        <f>IF(AND($B$34&lt;='1 - Titoli e shock'!$B$17,$C305&lt;='1 - Titoli e shock'!$B$17),$D$34*L$6/2*(1-'1 - Titoli e shock'!$B$8),0)</f>
        <v>0</v>
      </c>
      <c r="M305" s="20">
        <f>IF(AND($B$34&lt;='1 - Titoli e shock'!$B$17,$C305&lt;='1 - Titoli e shock'!$B$17),$D$34*M$6/2*(1-'1 - Titoli e shock'!$B$8),0)</f>
        <v>0</v>
      </c>
      <c r="N305" s="20">
        <f>IF(AND($B$34&lt;='1 - Titoli e shock'!$B$17,$C305&lt;='1 - Titoli e shock'!$B$17),$D$34*N$6/2*(1-'1 - Titoli e shock'!$B$8),0)</f>
        <v>0</v>
      </c>
      <c r="O305" s="20">
        <f>IF(AND($B$34&lt;='1 - Titoli e shock'!$B$17,$C305&lt;='1 - Titoli e shock'!$B$17),$D$34*O$6/2*(1-'1 - Titoli e shock'!$B$8),0)</f>
        <v>0</v>
      </c>
      <c r="P305" s="20">
        <f>IF(AND($B$34&lt;='1 - Titoli e shock'!$B$17,$C305&lt;='1 - Titoli e shock'!$B$17),$D$34*P$6/2*(1-'1 - Titoli e shock'!$B$8),0)</f>
        <v>0</v>
      </c>
      <c r="Q305" s="20">
        <f>IF(AND($B$34&lt;='1 - Titoli e shock'!$B$17,$C305&lt;='1 - Titoli e shock'!$B$17),$D$34*Q$6/2*(1-'1 - Titoli e shock'!$B$8),0)</f>
        <v>0</v>
      </c>
      <c r="R305" s="20">
        <f>IF(AND($B$34&lt;='1 - Titoli e shock'!$B$17,$C305&lt;='1 - Titoli e shock'!$B$17),$D$34*R$6/2*(1-'1 - Titoli e shock'!$B$8),0)</f>
        <v>0</v>
      </c>
      <c r="S305" s="20">
        <f>IF(AND($B$34&lt;='1 - Titoli e shock'!$B$17,$C305&lt;='1 - Titoli e shock'!$B$17),$D$34*S$6/2*(1-'1 - Titoli e shock'!$B$8),0)</f>
        <v>0</v>
      </c>
      <c r="T305" s="20">
        <f>IF(AND($B$34&lt;='1 - Titoli e shock'!$B$17,$C305&lt;='1 - Titoli e shock'!$B$17),$D$34*T$6/2*(1-'1 - Titoli e shock'!$B$8),0)</f>
        <v>0</v>
      </c>
      <c r="U305" s="20">
        <f>IF(AND($B$34&lt;='1 - Titoli e shock'!$B$17,$C305&lt;='1 - Titoli e shock'!$B$17),$D$34*U$6/2*(1-'1 - Titoli e shock'!$B$8),0)</f>
        <v>0</v>
      </c>
    </row>
    <row r="306" spans="1:21">
      <c r="A306" s="15" t="s">
        <v>268</v>
      </c>
      <c r="B306" s="22" t="str">
        <f>A34</f>
        <v>BTP 2,70% ott 2027</v>
      </c>
      <c r="C306" s="13">
        <f>EDATE($B$34,120)</f>
        <v>50328</v>
      </c>
      <c r="D306" s="23">
        <f>MAX(1,(YEAR(C306)-YEAR('1 - Titoli e shock'!$B$6))+IF(MONTH(C306)*100+DAY(C306)&gt;MONTH('1 - Titoli e shock'!$B$6)*100+DAY('1 - Titoli e shock'!$B$6),1,0))</f>
        <v>11</v>
      </c>
      <c r="F306" s="20">
        <f>IF(AND($B$34&lt;='1 - Titoli e shock'!$B$17,$C306&lt;='1 - Titoli e shock'!$B$17),$D$34,0)</f>
        <v>0</v>
      </c>
      <c r="G306" s="20">
        <f>IF(AND($B$34&lt;='1 - Titoli e shock'!$B$17,$C306&lt;='1 - Titoli e shock'!$B$17),$D$34,0)</f>
        <v>0</v>
      </c>
      <c r="H306" s="20">
        <f>IF(AND($B$34&lt;='1 - Titoli e shock'!$B$17,$C306&lt;='1 - Titoli e shock'!$B$17),$D$34,0)</f>
        <v>0</v>
      </c>
      <c r="I306" s="20">
        <f>IF(AND($B$34&lt;='1 - Titoli e shock'!$B$17,$C306&lt;='1 - Titoli e shock'!$B$17),$D$34,0)</f>
        <v>0</v>
      </c>
      <c r="J306" s="20">
        <f>IF(AND($B$34&lt;='1 - Titoli e shock'!$B$17,$C306&lt;='1 - Titoli e shock'!$B$17),$D$34,0)</f>
        <v>0</v>
      </c>
      <c r="K306" s="20">
        <f>IF(AND($B$34&lt;='1 - Titoli e shock'!$B$17,$C306&lt;='1 - Titoli e shock'!$B$17),$D$34,0)</f>
        <v>0</v>
      </c>
      <c r="L306" s="20">
        <f>IF(AND($B$34&lt;='1 - Titoli e shock'!$B$17,$C306&lt;='1 - Titoli e shock'!$B$17),$D$34,0)</f>
        <v>0</v>
      </c>
      <c r="M306" s="20">
        <f>IF(AND($B$34&lt;='1 - Titoli e shock'!$B$17,$C306&lt;='1 - Titoli e shock'!$B$17),$D$34,0)</f>
        <v>0</v>
      </c>
      <c r="N306" s="20">
        <f>IF(AND($B$34&lt;='1 - Titoli e shock'!$B$17,$C306&lt;='1 - Titoli e shock'!$B$17),$D$34,0)</f>
        <v>0</v>
      </c>
      <c r="O306" s="20">
        <f>IF(AND($B$34&lt;='1 - Titoli e shock'!$B$17,$C306&lt;='1 - Titoli e shock'!$B$17),$D$34,0)</f>
        <v>0</v>
      </c>
      <c r="P306" s="20">
        <f>IF(AND($B$34&lt;='1 - Titoli e shock'!$B$17,$C306&lt;='1 - Titoli e shock'!$B$17),$D$34,0)</f>
        <v>0</v>
      </c>
      <c r="Q306" s="20">
        <f>IF(AND($B$34&lt;='1 - Titoli e shock'!$B$17,$C306&lt;='1 - Titoli e shock'!$B$17),$D$34,0)</f>
        <v>0</v>
      </c>
      <c r="R306" s="20">
        <f>IF(AND($B$34&lt;='1 - Titoli e shock'!$B$17,$C306&lt;='1 - Titoli e shock'!$B$17),$D$34,0)</f>
        <v>0</v>
      </c>
      <c r="S306" s="20">
        <f>IF(AND($B$34&lt;='1 - Titoli e shock'!$B$17,$C306&lt;='1 - Titoli e shock'!$B$17),$D$34,0)</f>
        <v>0</v>
      </c>
      <c r="T306" s="20">
        <f>IF(AND($B$34&lt;='1 - Titoli e shock'!$B$17,$C306&lt;='1 - Titoli e shock'!$B$17),$D$34,0)</f>
        <v>0</v>
      </c>
      <c r="U306" s="20">
        <f>IF(AND($B$34&lt;='1 - Titoli e shock'!$B$17,$C306&lt;='1 - Titoli e shock'!$B$17),$D$34,0)</f>
        <v>0</v>
      </c>
    </row>
    <row r="307" spans="1:21">
      <c r="A307" s="15" t="s">
        <v>267</v>
      </c>
      <c r="B307" s="22" t="str">
        <f>A35</f>
        <v>BTP 2,80% dic 2028</v>
      </c>
      <c r="C307" s="13">
        <f>EDATE($B$35,6*1)</f>
        <v>47270</v>
      </c>
      <c r="D307" s="23">
        <f>MAX(1,(YEAR(C307)-YEAR('1 - Titoli e shock'!$B$6))+IF(MONTH(C307)*100+DAY(C307)&gt;MONTH('1 - Titoli e shock'!$B$6)*100+DAY('1 - Titoli e shock'!$B$6),1,0))</f>
        <v>3</v>
      </c>
      <c r="F307" s="20">
        <f>IF(AND($B$35&lt;='1 - Titoli e shock'!$B$17,$C307&lt;='1 - Titoli e shock'!$B$17),$D$35*F$6/2*(1-'1 - Titoli e shock'!$B$8),0)</f>
        <v>302.51634686329396</v>
      </c>
      <c r="G307" s="20">
        <f>IF(AND($B$35&lt;='1 - Titoli e shock'!$B$17,$C307&lt;='1 - Titoli e shock'!$B$17),$D$35*G$6/2*(1-'1 - Titoli e shock'!$B$8),0)</f>
        <v>388.30429820165631</v>
      </c>
      <c r="H307" s="20">
        <f>IF(AND($B$35&lt;='1 - Titoli e shock'!$B$17,$C307&lt;='1 - Titoli e shock'!$B$17),$D$35*H$6/2*(1-'1 - Titoli e shock'!$B$8),0)</f>
        <v>473.68270639786658</v>
      </c>
      <c r="I307" s="20">
        <f>IF(AND($B$35&lt;='1 - Titoli e shock'!$B$17,$C307&lt;='1 - Titoli e shock'!$B$17),$D$35*I$6/2*(1-'1 - Titoli e shock'!$B$8),0)</f>
        <v>558.65738139988662</v>
      </c>
      <c r="J307" s="20">
        <f>IF(AND($B$35&lt;='1 - Titoli e shock'!$B$17,$C307&lt;='1 - Titoli e shock'!$B$17),$D$35*J$6/2*(1-'1 - Titoli e shock'!$B$8),0)</f>
        <v>409.68706560085059</v>
      </c>
      <c r="K307" s="20">
        <f>IF(AND($B$35&lt;='1 - Titoli e shock'!$B$17,$C307&lt;='1 - Titoli e shock'!$B$17),$D$35*K$6/2*(1-'1 - Titoli e shock'!$B$8),0)</f>
        <v>431.04432882818685</v>
      </c>
      <c r="L307" s="20">
        <f>IF(AND($B$35&lt;='1 - Titoli e shock'!$B$17,$C307&lt;='1 - Titoli e shock'!$B$17),$D$35*L$6/2*(1-'1 - Titoli e shock'!$B$8),0)</f>
        <v>439.58011336277951</v>
      </c>
      <c r="M307" s="20">
        <f>IF(AND($B$35&lt;='1 - Titoli e shock'!$B$17,$C307&lt;='1 - Titoli e shock'!$B$17),$D$35*M$6/2*(1-'1 - Titoli e shock'!$B$8),0)</f>
        <v>448.11183760522999</v>
      </c>
      <c r="N307" s="20">
        <f>IF(AND($B$35&lt;='1 - Titoli e shock'!$B$17,$C307&lt;='1 - Titoli e shock'!$B$17),$D$35*N$6/2*(1-'1 - Titoli e shock'!$B$8),0)</f>
        <v>456.6395073442211</v>
      </c>
      <c r="O307" s="20">
        <f>IF(AND($B$35&lt;='1 - Titoli e shock'!$B$17,$C307&lt;='1 - Titoli e shock'!$B$17),$D$35*O$6/2*(1-'1 - Titoli e shock'!$B$8),0)</f>
        <v>465.16312835468301</v>
      </c>
      <c r="P307" s="20">
        <f>IF(AND($B$35&lt;='1 - Titoli e shock'!$B$17,$C307&lt;='1 - Titoli e shock'!$B$17),$D$35*P$6/2*(1-'1 - Titoli e shock'!$B$8),0)</f>
        <v>482.19824722135161</v>
      </c>
      <c r="Q307" s="20">
        <f>IF(AND($B$35&lt;='1 - Titoli e shock'!$B$17,$C307&lt;='1 - Titoli e shock'!$B$17),$D$35*Q$6/2*(1-'1 - Titoli e shock'!$B$8),0)</f>
        <v>490.70975655913645</v>
      </c>
      <c r="R307" s="20">
        <f>IF(AND($B$35&lt;='1 - Titoli e shock'!$B$17,$C307&lt;='1 - Titoli e shock'!$B$17),$D$35*R$6/2*(1-'1 - Titoli e shock'!$B$8),0)</f>
        <v>499.21724013163333</v>
      </c>
      <c r="S307" s="20">
        <f>IF(AND($B$35&lt;='1 - Titoli e shock'!$B$17,$C307&lt;='1 - Titoli e shock'!$B$17),$D$35*S$6/2*(1-'1 - Titoli e shock'!$B$8),0)</f>
        <v>507.72070364575802</v>
      </c>
      <c r="T307" s="20">
        <f>IF(AND($B$35&lt;='1 - Titoli e shock'!$B$17,$C307&lt;='1 - Titoli e shock'!$B$17),$D$35*T$6/2*(1-'1 - Titoli e shock'!$B$8),0)</f>
        <v>516.22015279494997</v>
      </c>
      <c r="U307" s="20">
        <f>IF(AND($B$35&lt;='1 - Titoli e shock'!$B$17,$C307&lt;='1 - Titoli e shock'!$B$17),$D$35*U$6/2*(1-'1 - Titoli e shock'!$B$8),0)</f>
        <v>643.2339970706837</v>
      </c>
    </row>
    <row r="308" spans="1:21">
      <c r="A308" s="15" t="s">
        <v>267</v>
      </c>
      <c r="B308" s="22" t="str">
        <f>A35</f>
        <v>BTP 2,80% dic 2028</v>
      </c>
      <c r="C308" s="13">
        <f>EDATE($B$35,6*2)</f>
        <v>47453</v>
      </c>
      <c r="D308" s="23">
        <f>MAX(1,(YEAR(C308)-YEAR('1 - Titoli e shock'!$B$6))+IF(MONTH(C308)*100+DAY(C308)&gt;MONTH('1 - Titoli e shock'!$B$6)*100+DAY('1 - Titoli e shock'!$B$6),1,0))</f>
        <v>4</v>
      </c>
      <c r="F308" s="20">
        <f>IF(AND($B$35&lt;='1 - Titoli e shock'!$B$17,$C308&lt;='1 - Titoli e shock'!$B$17),$D$35*F$6/2*(1-'1 - Titoli e shock'!$B$8),0)</f>
        <v>302.51634686329396</v>
      </c>
      <c r="G308" s="20">
        <f>IF(AND($B$35&lt;='1 - Titoli e shock'!$B$17,$C308&lt;='1 - Titoli e shock'!$B$17),$D$35*G$6/2*(1-'1 - Titoli e shock'!$B$8),0)</f>
        <v>388.30429820165631</v>
      </c>
      <c r="H308" s="20">
        <f>IF(AND($B$35&lt;='1 - Titoli e shock'!$B$17,$C308&lt;='1 - Titoli e shock'!$B$17),$D$35*H$6/2*(1-'1 - Titoli e shock'!$B$8),0)</f>
        <v>473.68270639786658</v>
      </c>
      <c r="I308" s="20">
        <f>IF(AND($B$35&lt;='1 - Titoli e shock'!$B$17,$C308&lt;='1 - Titoli e shock'!$B$17),$D$35*I$6/2*(1-'1 - Titoli e shock'!$B$8),0)</f>
        <v>558.65738139988662</v>
      </c>
      <c r="J308" s="20">
        <f>IF(AND($B$35&lt;='1 - Titoli e shock'!$B$17,$C308&lt;='1 - Titoli e shock'!$B$17),$D$35*J$6/2*(1-'1 - Titoli e shock'!$B$8),0)</f>
        <v>409.68706560085059</v>
      </c>
      <c r="K308" s="20">
        <f>IF(AND($B$35&lt;='1 - Titoli e shock'!$B$17,$C308&lt;='1 - Titoli e shock'!$B$17),$D$35*K$6/2*(1-'1 - Titoli e shock'!$B$8),0)</f>
        <v>431.04432882818685</v>
      </c>
      <c r="L308" s="20">
        <f>IF(AND($B$35&lt;='1 - Titoli e shock'!$B$17,$C308&lt;='1 - Titoli e shock'!$B$17),$D$35*L$6/2*(1-'1 - Titoli e shock'!$B$8),0)</f>
        <v>439.58011336277951</v>
      </c>
      <c r="M308" s="20">
        <f>IF(AND($B$35&lt;='1 - Titoli e shock'!$B$17,$C308&lt;='1 - Titoli e shock'!$B$17),$D$35*M$6/2*(1-'1 - Titoli e shock'!$B$8),0)</f>
        <v>448.11183760522999</v>
      </c>
      <c r="N308" s="20">
        <f>IF(AND($B$35&lt;='1 - Titoli e shock'!$B$17,$C308&lt;='1 - Titoli e shock'!$B$17),$D$35*N$6/2*(1-'1 - Titoli e shock'!$B$8),0)</f>
        <v>456.6395073442211</v>
      </c>
      <c r="O308" s="20">
        <f>IF(AND($B$35&lt;='1 - Titoli e shock'!$B$17,$C308&lt;='1 - Titoli e shock'!$B$17),$D$35*O$6/2*(1-'1 - Titoli e shock'!$B$8),0)</f>
        <v>465.16312835468301</v>
      </c>
      <c r="P308" s="20">
        <f>IF(AND($B$35&lt;='1 - Titoli e shock'!$B$17,$C308&lt;='1 - Titoli e shock'!$B$17),$D$35*P$6/2*(1-'1 - Titoli e shock'!$B$8),0)</f>
        <v>482.19824722135161</v>
      </c>
      <c r="Q308" s="20">
        <f>IF(AND($B$35&lt;='1 - Titoli e shock'!$B$17,$C308&lt;='1 - Titoli e shock'!$B$17),$D$35*Q$6/2*(1-'1 - Titoli e shock'!$B$8),0)</f>
        <v>490.70975655913645</v>
      </c>
      <c r="R308" s="20">
        <f>IF(AND($B$35&lt;='1 - Titoli e shock'!$B$17,$C308&lt;='1 - Titoli e shock'!$B$17),$D$35*R$6/2*(1-'1 - Titoli e shock'!$B$8),0)</f>
        <v>499.21724013163333</v>
      </c>
      <c r="S308" s="20">
        <f>IF(AND($B$35&lt;='1 - Titoli e shock'!$B$17,$C308&lt;='1 - Titoli e shock'!$B$17),$D$35*S$6/2*(1-'1 - Titoli e shock'!$B$8),0)</f>
        <v>507.72070364575802</v>
      </c>
      <c r="T308" s="20">
        <f>IF(AND($B$35&lt;='1 - Titoli e shock'!$B$17,$C308&lt;='1 - Titoli e shock'!$B$17),$D$35*T$6/2*(1-'1 - Titoli e shock'!$B$8),0)</f>
        <v>516.22015279494997</v>
      </c>
      <c r="U308" s="20">
        <f>IF(AND($B$35&lt;='1 - Titoli e shock'!$B$17,$C308&lt;='1 - Titoli e shock'!$B$17),$D$35*U$6/2*(1-'1 - Titoli e shock'!$B$8),0)</f>
        <v>643.2339970706837</v>
      </c>
    </row>
    <row r="309" spans="1:21">
      <c r="A309" s="15" t="s">
        <v>267</v>
      </c>
      <c r="B309" s="22" t="str">
        <f>A35</f>
        <v>BTP 2,80% dic 2028</v>
      </c>
      <c r="C309" s="13">
        <f>EDATE($B$35,6*3)</f>
        <v>47635</v>
      </c>
      <c r="D309" s="23">
        <f>MAX(1,(YEAR(C309)-YEAR('1 - Titoli e shock'!$B$6))+IF(MONTH(C309)*100+DAY(C309)&gt;MONTH('1 - Titoli e shock'!$B$6)*100+DAY('1 - Titoli e shock'!$B$6),1,0))</f>
        <v>4</v>
      </c>
      <c r="F309" s="20">
        <f>IF(AND($B$35&lt;='1 - Titoli e shock'!$B$17,$C309&lt;='1 - Titoli e shock'!$B$17),$D$35*F$6/2*(1-'1 - Titoli e shock'!$B$8),0)</f>
        <v>302.51634686329396</v>
      </c>
      <c r="G309" s="20">
        <f>IF(AND($B$35&lt;='1 - Titoli e shock'!$B$17,$C309&lt;='1 - Titoli e shock'!$B$17),$D$35*G$6/2*(1-'1 - Titoli e shock'!$B$8),0)</f>
        <v>388.30429820165631</v>
      </c>
      <c r="H309" s="20">
        <f>IF(AND($B$35&lt;='1 - Titoli e shock'!$B$17,$C309&lt;='1 - Titoli e shock'!$B$17),$D$35*H$6/2*(1-'1 - Titoli e shock'!$B$8),0)</f>
        <v>473.68270639786658</v>
      </c>
      <c r="I309" s="20">
        <f>IF(AND($B$35&lt;='1 - Titoli e shock'!$B$17,$C309&lt;='1 - Titoli e shock'!$B$17),$D$35*I$6/2*(1-'1 - Titoli e shock'!$B$8),0)</f>
        <v>558.65738139988662</v>
      </c>
      <c r="J309" s="20">
        <f>IF(AND($B$35&lt;='1 - Titoli e shock'!$B$17,$C309&lt;='1 - Titoli e shock'!$B$17),$D$35*J$6/2*(1-'1 - Titoli e shock'!$B$8),0)</f>
        <v>409.68706560085059</v>
      </c>
      <c r="K309" s="20">
        <f>IF(AND($B$35&lt;='1 - Titoli e shock'!$B$17,$C309&lt;='1 - Titoli e shock'!$B$17),$D$35*K$6/2*(1-'1 - Titoli e shock'!$B$8),0)</f>
        <v>431.04432882818685</v>
      </c>
      <c r="L309" s="20">
        <f>IF(AND($B$35&lt;='1 - Titoli e shock'!$B$17,$C309&lt;='1 - Titoli e shock'!$B$17),$D$35*L$6/2*(1-'1 - Titoli e shock'!$B$8),0)</f>
        <v>439.58011336277951</v>
      </c>
      <c r="M309" s="20">
        <f>IF(AND($B$35&lt;='1 - Titoli e shock'!$B$17,$C309&lt;='1 - Titoli e shock'!$B$17),$D$35*M$6/2*(1-'1 - Titoli e shock'!$B$8),0)</f>
        <v>448.11183760522999</v>
      </c>
      <c r="N309" s="20">
        <f>IF(AND($B$35&lt;='1 - Titoli e shock'!$B$17,$C309&lt;='1 - Titoli e shock'!$B$17),$D$35*N$6/2*(1-'1 - Titoli e shock'!$B$8),0)</f>
        <v>456.6395073442211</v>
      </c>
      <c r="O309" s="20">
        <f>IF(AND($B$35&lt;='1 - Titoli e shock'!$B$17,$C309&lt;='1 - Titoli e shock'!$B$17),$D$35*O$6/2*(1-'1 - Titoli e shock'!$B$8),0)</f>
        <v>465.16312835468301</v>
      </c>
      <c r="P309" s="20">
        <f>IF(AND($B$35&lt;='1 - Titoli e shock'!$B$17,$C309&lt;='1 - Titoli e shock'!$B$17),$D$35*P$6/2*(1-'1 - Titoli e shock'!$B$8),0)</f>
        <v>482.19824722135161</v>
      </c>
      <c r="Q309" s="20">
        <f>IF(AND($B$35&lt;='1 - Titoli e shock'!$B$17,$C309&lt;='1 - Titoli e shock'!$B$17),$D$35*Q$6/2*(1-'1 - Titoli e shock'!$B$8),0)</f>
        <v>490.70975655913645</v>
      </c>
      <c r="R309" s="20">
        <f>IF(AND($B$35&lt;='1 - Titoli e shock'!$B$17,$C309&lt;='1 - Titoli e shock'!$B$17),$D$35*R$6/2*(1-'1 - Titoli e shock'!$B$8),0)</f>
        <v>499.21724013163333</v>
      </c>
      <c r="S309" s="20">
        <f>IF(AND($B$35&lt;='1 - Titoli e shock'!$B$17,$C309&lt;='1 - Titoli e shock'!$B$17),$D$35*S$6/2*(1-'1 - Titoli e shock'!$B$8),0)</f>
        <v>507.72070364575802</v>
      </c>
      <c r="T309" s="20">
        <f>IF(AND($B$35&lt;='1 - Titoli e shock'!$B$17,$C309&lt;='1 - Titoli e shock'!$B$17),$D$35*T$6/2*(1-'1 - Titoli e shock'!$B$8),0)</f>
        <v>516.22015279494997</v>
      </c>
      <c r="U309" s="20">
        <f>IF(AND($B$35&lt;='1 - Titoli e shock'!$B$17,$C309&lt;='1 - Titoli e shock'!$B$17),$D$35*U$6/2*(1-'1 - Titoli e shock'!$B$8),0)</f>
        <v>643.2339970706837</v>
      </c>
    </row>
    <row r="310" spans="1:21">
      <c r="A310" s="15" t="s">
        <v>267</v>
      </c>
      <c r="B310" s="22" t="str">
        <f>A35</f>
        <v>BTP 2,80% dic 2028</v>
      </c>
      <c r="C310" s="13">
        <f>EDATE($B$35,6*4)</f>
        <v>47818</v>
      </c>
      <c r="D310" s="23">
        <f>MAX(1,(YEAR(C310)-YEAR('1 - Titoli e shock'!$B$6))+IF(MONTH(C310)*100+DAY(C310)&gt;MONTH('1 - Titoli e shock'!$B$6)*100+DAY('1 - Titoli e shock'!$B$6),1,0))</f>
        <v>5</v>
      </c>
      <c r="F310" s="20">
        <f>IF(AND($B$35&lt;='1 - Titoli e shock'!$B$17,$C310&lt;='1 - Titoli e shock'!$B$17),$D$35*F$6/2*(1-'1 - Titoli e shock'!$B$8),0)</f>
        <v>302.51634686329396</v>
      </c>
      <c r="G310" s="20">
        <f>IF(AND($B$35&lt;='1 - Titoli e shock'!$B$17,$C310&lt;='1 - Titoli e shock'!$B$17),$D$35*G$6/2*(1-'1 - Titoli e shock'!$B$8),0)</f>
        <v>388.30429820165631</v>
      </c>
      <c r="H310" s="20">
        <f>IF(AND($B$35&lt;='1 - Titoli e shock'!$B$17,$C310&lt;='1 - Titoli e shock'!$B$17),$D$35*H$6/2*(1-'1 - Titoli e shock'!$B$8),0)</f>
        <v>473.68270639786658</v>
      </c>
      <c r="I310" s="20">
        <f>IF(AND($B$35&lt;='1 - Titoli e shock'!$B$17,$C310&lt;='1 - Titoli e shock'!$B$17),$D$35*I$6/2*(1-'1 - Titoli e shock'!$B$8),0)</f>
        <v>558.65738139988662</v>
      </c>
      <c r="J310" s="20">
        <f>IF(AND($B$35&lt;='1 - Titoli e shock'!$B$17,$C310&lt;='1 - Titoli e shock'!$B$17),$D$35*J$6/2*(1-'1 - Titoli e shock'!$B$8),0)</f>
        <v>409.68706560085059</v>
      </c>
      <c r="K310" s="20">
        <f>IF(AND($B$35&lt;='1 - Titoli e shock'!$B$17,$C310&lt;='1 - Titoli e shock'!$B$17),$D$35*K$6/2*(1-'1 - Titoli e shock'!$B$8),0)</f>
        <v>431.04432882818685</v>
      </c>
      <c r="L310" s="20">
        <f>IF(AND($B$35&lt;='1 - Titoli e shock'!$B$17,$C310&lt;='1 - Titoli e shock'!$B$17),$D$35*L$6/2*(1-'1 - Titoli e shock'!$B$8),0)</f>
        <v>439.58011336277951</v>
      </c>
      <c r="M310" s="20">
        <f>IF(AND($B$35&lt;='1 - Titoli e shock'!$B$17,$C310&lt;='1 - Titoli e shock'!$B$17),$D$35*M$6/2*(1-'1 - Titoli e shock'!$B$8),0)</f>
        <v>448.11183760522999</v>
      </c>
      <c r="N310" s="20">
        <f>IF(AND($B$35&lt;='1 - Titoli e shock'!$B$17,$C310&lt;='1 - Titoli e shock'!$B$17),$D$35*N$6/2*(1-'1 - Titoli e shock'!$B$8),0)</f>
        <v>456.6395073442211</v>
      </c>
      <c r="O310" s="20">
        <f>IF(AND($B$35&lt;='1 - Titoli e shock'!$B$17,$C310&lt;='1 - Titoli e shock'!$B$17),$D$35*O$6/2*(1-'1 - Titoli e shock'!$B$8),0)</f>
        <v>465.16312835468301</v>
      </c>
      <c r="P310" s="20">
        <f>IF(AND($B$35&lt;='1 - Titoli e shock'!$B$17,$C310&lt;='1 - Titoli e shock'!$B$17),$D$35*P$6/2*(1-'1 - Titoli e shock'!$B$8),0)</f>
        <v>482.19824722135161</v>
      </c>
      <c r="Q310" s="20">
        <f>IF(AND($B$35&lt;='1 - Titoli e shock'!$B$17,$C310&lt;='1 - Titoli e shock'!$B$17),$D$35*Q$6/2*(1-'1 - Titoli e shock'!$B$8),0)</f>
        <v>490.70975655913645</v>
      </c>
      <c r="R310" s="20">
        <f>IF(AND($B$35&lt;='1 - Titoli e shock'!$B$17,$C310&lt;='1 - Titoli e shock'!$B$17),$D$35*R$6/2*(1-'1 - Titoli e shock'!$B$8),0)</f>
        <v>499.21724013163333</v>
      </c>
      <c r="S310" s="20">
        <f>IF(AND($B$35&lt;='1 - Titoli e shock'!$B$17,$C310&lt;='1 - Titoli e shock'!$B$17),$D$35*S$6/2*(1-'1 - Titoli e shock'!$B$8),0)</f>
        <v>507.72070364575802</v>
      </c>
      <c r="T310" s="20">
        <f>IF(AND($B$35&lt;='1 - Titoli e shock'!$B$17,$C310&lt;='1 - Titoli e shock'!$B$17),$D$35*T$6/2*(1-'1 - Titoli e shock'!$B$8),0)</f>
        <v>516.22015279494997</v>
      </c>
      <c r="U310" s="20">
        <f>IF(AND($B$35&lt;='1 - Titoli e shock'!$B$17,$C310&lt;='1 - Titoli e shock'!$B$17),$D$35*U$6/2*(1-'1 - Titoli e shock'!$B$8),0)</f>
        <v>643.2339970706837</v>
      </c>
    </row>
    <row r="311" spans="1:21">
      <c r="A311" s="15" t="s">
        <v>267</v>
      </c>
      <c r="B311" s="22" t="str">
        <f>A35</f>
        <v>BTP 2,80% dic 2028</v>
      </c>
      <c r="C311" s="13">
        <f>EDATE($B$35,6*5)</f>
        <v>48000</v>
      </c>
      <c r="D311" s="23">
        <f>MAX(1,(YEAR(C311)-YEAR('1 - Titoli e shock'!$B$6))+IF(MONTH(C311)*100+DAY(C311)&gt;MONTH('1 - Titoli e shock'!$B$6)*100+DAY('1 - Titoli e shock'!$B$6),1,0))</f>
        <v>5</v>
      </c>
      <c r="F311" s="20">
        <f>IF(AND($B$35&lt;='1 - Titoli e shock'!$B$17,$C311&lt;='1 - Titoli e shock'!$B$17),$D$35*F$6/2*(1-'1 - Titoli e shock'!$B$8),0)</f>
        <v>302.51634686329396</v>
      </c>
      <c r="G311" s="20">
        <f>IF(AND($B$35&lt;='1 - Titoli e shock'!$B$17,$C311&lt;='1 - Titoli e shock'!$B$17),$D$35*G$6/2*(1-'1 - Titoli e shock'!$B$8),0)</f>
        <v>388.30429820165631</v>
      </c>
      <c r="H311" s="20">
        <f>IF(AND($B$35&lt;='1 - Titoli e shock'!$B$17,$C311&lt;='1 - Titoli e shock'!$B$17),$D$35*H$6/2*(1-'1 - Titoli e shock'!$B$8),0)</f>
        <v>473.68270639786658</v>
      </c>
      <c r="I311" s="20">
        <f>IF(AND($B$35&lt;='1 - Titoli e shock'!$B$17,$C311&lt;='1 - Titoli e shock'!$B$17),$D$35*I$6/2*(1-'1 - Titoli e shock'!$B$8),0)</f>
        <v>558.65738139988662</v>
      </c>
      <c r="J311" s="20">
        <f>IF(AND($B$35&lt;='1 - Titoli e shock'!$B$17,$C311&lt;='1 - Titoli e shock'!$B$17),$D$35*J$6/2*(1-'1 - Titoli e shock'!$B$8),0)</f>
        <v>409.68706560085059</v>
      </c>
      <c r="K311" s="20">
        <f>IF(AND($B$35&lt;='1 - Titoli e shock'!$B$17,$C311&lt;='1 - Titoli e shock'!$B$17),$D$35*K$6/2*(1-'1 - Titoli e shock'!$B$8),0)</f>
        <v>431.04432882818685</v>
      </c>
      <c r="L311" s="20">
        <f>IF(AND($B$35&lt;='1 - Titoli e shock'!$B$17,$C311&lt;='1 - Titoli e shock'!$B$17),$D$35*L$6/2*(1-'1 - Titoli e shock'!$B$8),0)</f>
        <v>439.58011336277951</v>
      </c>
      <c r="M311" s="20">
        <f>IF(AND($B$35&lt;='1 - Titoli e shock'!$B$17,$C311&lt;='1 - Titoli e shock'!$B$17),$D$35*M$6/2*(1-'1 - Titoli e shock'!$B$8),0)</f>
        <v>448.11183760522999</v>
      </c>
      <c r="N311" s="20">
        <f>IF(AND($B$35&lt;='1 - Titoli e shock'!$B$17,$C311&lt;='1 - Titoli e shock'!$B$17),$D$35*N$6/2*(1-'1 - Titoli e shock'!$B$8),0)</f>
        <v>456.6395073442211</v>
      </c>
      <c r="O311" s="20">
        <f>IF(AND($B$35&lt;='1 - Titoli e shock'!$B$17,$C311&lt;='1 - Titoli e shock'!$B$17),$D$35*O$6/2*(1-'1 - Titoli e shock'!$B$8),0)</f>
        <v>465.16312835468301</v>
      </c>
      <c r="P311" s="20">
        <f>IF(AND($B$35&lt;='1 - Titoli e shock'!$B$17,$C311&lt;='1 - Titoli e shock'!$B$17),$D$35*P$6/2*(1-'1 - Titoli e shock'!$B$8),0)</f>
        <v>482.19824722135161</v>
      </c>
      <c r="Q311" s="20">
        <f>IF(AND($B$35&lt;='1 - Titoli e shock'!$B$17,$C311&lt;='1 - Titoli e shock'!$B$17),$D$35*Q$6/2*(1-'1 - Titoli e shock'!$B$8),0)</f>
        <v>490.70975655913645</v>
      </c>
      <c r="R311" s="20">
        <f>IF(AND($B$35&lt;='1 - Titoli e shock'!$B$17,$C311&lt;='1 - Titoli e shock'!$B$17),$D$35*R$6/2*(1-'1 - Titoli e shock'!$B$8),0)</f>
        <v>499.21724013163333</v>
      </c>
      <c r="S311" s="20">
        <f>IF(AND($B$35&lt;='1 - Titoli e shock'!$B$17,$C311&lt;='1 - Titoli e shock'!$B$17),$D$35*S$6/2*(1-'1 - Titoli e shock'!$B$8),0)</f>
        <v>507.72070364575802</v>
      </c>
      <c r="T311" s="20">
        <f>IF(AND($B$35&lt;='1 - Titoli e shock'!$B$17,$C311&lt;='1 - Titoli e shock'!$B$17),$D$35*T$6/2*(1-'1 - Titoli e shock'!$B$8),0)</f>
        <v>516.22015279494997</v>
      </c>
      <c r="U311" s="20">
        <f>IF(AND($B$35&lt;='1 - Titoli e shock'!$B$17,$C311&lt;='1 - Titoli e shock'!$B$17),$D$35*U$6/2*(1-'1 - Titoli e shock'!$B$8),0)</f>
        <v>643.2339970706837</v>
      </c>
    </row>
    <row r="312" spans="1:21">
      <c r="A312" s="15" t="s">
        <v>267</v>
      </c>
      <c r="B312" s="22" t="str">
        <f>A35</f>
        <v>BTP 2,80% dic 2028</v>
      </c>
      <c r="C312" s="13">
        <f>EDATE($B$35,6*6)</f>
        <v>48183</v>
      </c>
      <c r="D312" s="23">
        <f>MAX(1,(YEAR(C312)-YEAR('1 - Titoli e shock'!$B$6))+IF(MONTH(C312)*100+DAY(C312)&gt;MONTH('1 - Titoli e shock'!$B$6)*100+DAY('1 - Titoli e shock'!$B$6),1,0))</f>
        <v>6</v>
      </c>
      <c r="F312" s="20">
        <f>IF(AND($B$35&lt;='1 - Titoli e shock'!$B$17,$C312&lt;='1 - Titoli e shock'!$B$17),$D$35*F$6/2*(1-'1 - Titoli e shock'!$B$8),0)</f>
        <v>302.51634686329396</v>
      </c>
      <c r="G312" s="20">
        <f>IF(AND($B$35&lt;='1 - Titoli e shock'!$B$17,$C312&lt;='1 - Titoli e shock'!$B$17),$D$35*G$6/2*(1-'1 - Titoli e shock'!$B$8),0)</f>
        <v>388.30429820165631</v>
      </c>
      <c r="H312" s="20">
        <f>IF(AND($B$35&lt;='1 - Titoli e shock'!$B$17,$C312&lt;='1 - Titoli e shock'!$B$17),$D$35*H$6/2*(1-'1 - Titoli e shock'!$B$8),0)</f>
        <v>473.68270639786658</v>
      </c>
      <c r="I312" s="20">
        <f>IF(AND($B$35&lt;='1 - Titoli e shock'!$B$17,$C312&lt;='1 - Titoli e shock'!$B$17),$D$35*I$6/2*(1-'1 - Titoli e shock'!$B$8),0)</f>
        <v>558.65738139988662</v>
      </c>
      <c r="J312" s="20">
        <f>IF(AND($B$35&lt;='1 - Titoli e shock'!$B$17,$C312&lt;='1 - Titoli e shock'!$B$17),$D$35*J$6/2*(1-'1 - Titoli e shock'!$B$8),0)</f>
        <v>409.68706560085059</v>
      </c>
      <c r="K312" s="20">
        <f>IF(AND($B$35&lt;='1 - Titoli e shock'!$B$17,$C312&lt;='1 - Titoli e shock'!$B$17),$D$35*K$6/2*(1-'1 - Titoli e shock'!$B$8),0)</f>
        <v>431.04432882818685</v>
      </c>
      <c r="L312" s="20">
        <f>IF(AND($B$35&lt;='1 - Titoli e shock'!$B$17,$C312&lt;='1 - Titoli e shock'!$B$17),$D$35*L$6/2*(1-'1 - Titoli e shock'!$B$8),0)</f>
        <v>439.58011336277951</v>
      </c>
      <c r="M312" s="20">
        <f>IF(AND($B$35&lt;='1 - Titoli e shock'!$B$17,$C312&lt;='1 - Titoli e shock'!$B$17),$D$35*M$6/2*(1-'1 - Titoli e shock'!$B$8),0)</f>
        <v>448.11183760522999</v>
      </c>
      <c r="N312" s="20">
        <f>IF(AND($B$35&lt;='1 - Titoli e shock'!$B$17,$C312&lt;='1 - Titoli e shock'!$B$17),$D$35*N$6/2*(1-'1 - Titoli e shock'!$B$8),0)</f>
        <v>456.6395073442211</v>
      </c>
      <c r="O312" s="20">
        <f>IF(AND($B$35&lt;='1 - Titoli e shock'!$B$17,$C312&lt;='1 - Titoli e shock'!$B$17),$D$35*O$6/2*(1-'1 - Titoli e shock'!$B$8),0)</f>
        <v>465.16312835468301</v>
      </c>
      <c r="P312" s="20">
        <f>IF(AND($B$35&lt;='1 - Titoli e shock'!$B$17,$C312&lt;='1 - Titoli e shock'!$B$17),$D$35*P$6/2*(1-'1 - Titoli e shock'!$B$8),0)</f>
        <v>482.19824722135161</v>
      </c>
      <c r="Q312" s="20">
        <f>IF(AND($B$35&lt;='1 - Titoli e shock'!$B$17,$C312&lt;='1 - Titoli e shock'!$B$17),$D$35*Q$6/2*(1-'1 - Titoli e shock'!$B$8),0)</f>
        <v>490.70975655913645</v>
      </c>
      <c r="R312" s="20">
        <f>IF(AND($B$35&lt;='1 - Titoli e shock'!$B$17,$C312&lt;='1 - Titoli e shock'!$B$17),$D$35*R$6/2*(1-'1 - Titoli e shock'!$B$8),0)</f>
        <v>499.21724013163333</v>
      </c>
      <c r="S312" s="20">
        <f>IF(AND($B$35&lt;='1 - Titoli e shock'!$B$17,$C312&lt;='1 - Titoli e shock'!$B$17),$D$35*S$6/2*(1-'1 - Titoli e shock'!$B$8),0)</f>
        <v>507.72070364575802</v>
      </c>
      <c r="T312" s="20">
        <f>IF(AND($B$35&lt;='1 - Titoli e shock'!$B$17,$C312&lt;='1 - Titoli e shock'!$B$17),$D$35*T$6/2*(1-'1 - Titoli e shock'!$B$8),0)</f>
        <v>516.22015279494997</v>
      </c>
      <c r="U312" s="20">
        <f>IF(AND($B$35&lt;='1 - Titoli e shock'!$B$17,$C312&lt;='1 - Titoli e shock'!$B$17),$D$35*U$6/2*(1-'1 - Titoli e shock'!$B$8),0)</f>
        <v>643.2339970706837</v>
      </c>
    </row>
    <row r="313" spans="1:21">
      <c r="A313" s="15" t="s">
        <v>267</v>
      </c>
      <c r="B313" s="22" t="str">
        <f>A35</f>
        <v>BTP 2,80% dic 2028</v>
      </c>
      <c r="C313" s="13">
        <f>EDATE($B$35,6*7)</f>
        <v>48366</v>
      </c>
      <c r="D313" s="23">
        <f>MAX(1,(YEAR(C313)-YEAR('1 - Titoli e shock'!$B$6))+IF(MONTH(C313)*100+DAY(C313)&gt;MONTH('1 - Titoli e shock'!$B$6)*100+DAY('1 - Titoli e shock'!$B$6),1,0))</f>
        <v>6</v>
      </c>
      <c r="F313" s="20">
        <f>IF(AND($B$35&lt;='1 - Titoli e shock'!$B$17,$C313&lt;='1 - Titoli e shock'!$B$17),$D$35*F$6/2*(1-'1 - Titoli e shock'!$B$8),0)</f>
        <v>302.51634686329396</v>
      </c>
      <c r="G313" s="20">
        <f>IF(AND($B$35&lt;='1 - Titoli e shock'!$B$17,$C313&lt;='1 - Titoli e shock'!$B$17),$D$35*G$6/2*(1-'1 - Titoli e shock'!$B$8),0)</f>
        <v>388.30429820165631</v>
      </c>
      <c r="H313" s="20">
        <f>IF(AND($B$35&lt;='1 - Titoli e shock'!$B$17,$C313&lt;='1 - Titoli e shock'!$B$17),$D$35*H$6/2*(1-'1 - Titoli e shock'!$B$8),0)</f>
        <v>473.68270639786658</v>
      </c>
      <c r="I313" s="20">
        <f>IF(AND($B$35&lt;='1 - Titoli e shock'!$B$17,$C313&lt;='1 - Titoli e shock'!$B$17),$D$35*I$6/2*(1-'1 - Titoli e shock'!$B$8),0)</f>
        <v>558.65738139988662</v>
      </c>
      <c r="J313" s="20">
        <f>IF(AND($B$35&lt;='1 - Titoli e shock'!$B$17,$C313&lt;='1 - Titoli e shock'!$B$17),$D$35*J$6/2*(1-'1 - Titoli e shock'!$B$8),0)</f>
        <v>409.68706560085059</v>
      </c>
      <c r="K313" s="20">
        <f>IF(AND($B$35&lt;='1 - Titoli e shock'!$B$17,$C313&lt;='1 - Titoli e shock'!$B$17),$D$35*K$6/2*(1-'1 - Titoli e shock'!$B$8),0)</f>
        <v>431.04432882818685</v>
      </c>
      <c r="L313" s="20">
        <f>IF(AND($B$35&lt;='1 - Titoli e shock'!$B$17,$C313&lt;='1 - Titoli e shock'!$B$17),$D$35*L$6/2*(1-'1 - Titoli e shock'!$B$8),0)</f>
        <v>439.58011336277951</v>
      </c>
      <c r="M313" s="20">
        <f>IF(AND($B$35&lt;='1 - Titoli e shock'!$B$17,$C313&lt;='1 - Titoli e shock'!$B$17),$D$35*M$6/2*(1-'1 - Titoli e shock'!$B$8),0)</f>
        <v>448.11183760522999</v>
      </c>
      <c r="N313" s="20">
        <f>IF(AND($B$35&lt;='1 - Titoli e shock'!$B$17,$C313&lt;='1 - Titoli e shock'!$B$17),$D$35*N$6/2*(1-'1 - Titoli e shock'!$B$8),0)</f>
        <v>456.6395073442211</v>
      </c>
      <c r="O313" s="20">
        <f>IF(AND($B$35&lt;='1 - Titoli e shock'!$B$17,$C313&lt;='1 - Titoli e shock'!$B$17),$D$35*O$6/2*(1-'1 - Titoli e shock'!$B$8),0)</f>
        <v>465.16312835468301</v>
      </c>
      <c r="P313" s="20">
        <f>IF(AND($B$35&lt;='1 - Titoli e shock'!$B$17,$C313&lt;='1 - Titoli e shock'!$B$17),$D$35*P$6/2*(1-'1 - Titoli e shock'!$B$8),0)</f>
        <v>482.19824722135161</v>
      </c>
      <c r="Q313" s="20">
        <f>IF(AND($B$35&lt;='1 - Titoli e shock'!$B$17,$C313&lt;='1 - Titoli e shock'!$B$17),$D$35*Q$6/2*(1-'1 - Titoli e shock'!$B$8),0)</f>
        <v>490.70975655913645</v>
      </c>
      <c r="R313" s="20">
        <f>IF(AND($B$35&lt;='1 - Titoli e shock'!$B$17,$C313&lt;='1 - Titoli e shock'!$B$17),$D$35*R$6/2*(1-'1 - Titoli e shock'!$B$8),0)</f>
        <v>499.21724013163333</v>
      </c>
      <c r="S313" s="20">
        <f>IF(AND($B$35&lt;='1 - Titoli e shock'!$B$17,$C313&lt;='1 - Titoli e shock'!$B$17),$D$35*S$6/2*(1-'1 - Titoli e shock'!$B$8),0)</f>
        <v>507.72070364575802</v>
      </c>
      <c r="T313" s="20">
        <f>IF(AND($B$35&lt;='1 - Titoli e shock'!$B$17,$C313&lt;='1 - Titoli e shock'!$B$17),$D$35*T$6/2*(1-'1 - Titoli e shock'!$B$8),0)</f>
        <v>516.22015279494997</v>
      </c>
      <c r="U313" s="20">
        <f>IF(AND($B$35&lt;='1 - Titoli e shock'!$B$17,$C313&lt;='1 - Titoli e shock'!$B$17),$D$35*U$6/2*(1-'1 - Titoli e shock'!$B$8),0)</f>
        <v>643.2339970706837</v>
      </c>
    </row>
    <row r="314" spans="1:21">
      <c r="A314" s="15" t="s">
        <v>267</v>
      </c>
      <c r="B314" s="22" t="str">
        <f>A35</f>
        <v>BTP 2,80% dic 2028</v>
      </c>
      <c r="C314" s="13">
        <f>EDATE($B$35,6*8)</f>
        <v>48549</v>
      </c>
      <c r="D314" s="23">
        <f>MAX(1,(YEAR(C314)-YEAR('1 - Titoli e shock'!$B$6))+IF(MONTH(C314)*100+DAY(C314)&gt;MONTH('1 - Titoli e shock'!$B$6)*100+DAY('1 - Titoli e shock'!$B$6),1,0))</f>
        <v>7</v>
      </c>
      <c r="F314" s="20">
        <f>IF(AND($B$35&lt;='1 - Titoli e shock'!$B$17,$C314&lt;='1 - Titoli e shock'!$B$17),$D$35*F$6/2*(1-'1 - Titoli e shock'!$B$8),0)</f>
        <v>302.51634686329396</v>
      </c>
      <c r="G314" s="20">
        <f>IF(AND($B$35&lt;='1 - Titoli e shock'!$B$17,$C314&lt;='1 - Titoli e shock'!$B$17),$D$35*G$6/2*(1-'1 - Titoli e shock'!$B$8),0)</f>
        <v>388.30429820165631</v>
      </c>
      <c r="H314" s="20">
        <f>IF(AND($B$35&lt;='1 - Titoli e shock'!$B$17,$C314&lt;='1 - Titoli e shock'!$B$17),$D$35*H$6/2*(1-'1 - Titoli e shock'!$B$8),0)</f>
        <v>473.68270639786658</v>
      </c>
      <c r="I314" s="20">
        <f>IF(AND($B$35&lt;='1 - Titoli e shock'!$B$17,$C314&lt;='1 - Titoli e shock'!$B$17),$D$35*I$6/2*(1-'1 - Titoli e shock'!$B$8),0)</f>
        <v>558.65738139988662</v>
      </c>
      <c r="J314" s="20">
        <f>IF(AND($B$35&lt;='1 - Titoli e shock'!$B$17,$C314&lt;='1 - Titoli e shock'!$B$17),$D$35*J$6/2*(1-'1 - Titoli e shock'!$B$8),0)</f>
        <v>409.68706560085059</v>
      </c>
      <c r="K314" s="20">
        <f>IF(AND($B$35&lt;='1 - Titoli e shock'!$B$17,$C314&lt;='1 - Titoli e shock'!$B$17),$D$35*K$6/2*(1-'1 - Titoli e shock'!$B$8),0)</f>
        <v>431.04432882818685</v>
      </c>
      <c r="L314" s="20">
        <f>IF(AND($B$35&lt;='1 - Titoli e shock'!$B$17,$C314&lt;='1 - Titoli e shock'!$B$17),$D$35*L$6/2*(1-'1 - Titoli e shock'!$B$8),0)</f>
        <v>439.58011336277951</v>
      </c>
      <c r="M314" s="20">
        <f>IF(AND($B$35&lt;='1 - Titoli e shock'!$B$17,$C314&lt;='1 - Titoli e shock'!$B$17),$D$35*M$6/2*(1-'1 - Titoli e shock'!$B$8),0)</f>
        <v>448.11183760522999</v>
      </c>
      <c r="N314" s="20">
        <f>IF(AND($B$35&lt;='1 - Titoli e shock'!$B$17,$C314&lt;='1 - Titoli e shock'!$B$17),$D$35*N$6/2*(1-'1 - Titoli e shock'!$B$8),0)</f>
        <v>456.6395073442211</v>
      </c>
      <c r="O314" s="20">
        <f>IF(AND($B$35&lt;='1 - Titoli e shock'!$B$17,$C314&lt;='1 - Titoli e shock'!$B$17),$D$35*O$6/2*(1-'1 - Titoli e shock'!$B$8),0)</f>
        <v>465.16312835468301</v>
      </c>
      <c r="P314" s="20">
        <f>IF(AND($B$35&lt;='1 - Titoli e shock'!$B$17,$C314&lt;='1 - Titoli e shock'!$B$17),$D$35*P$6/2*(1-'1 - Titoli e shock'!$B$8),0)</f>
        <v>482.19824722135161</v>
      </c>
      <c r="Q314" s="20">
        <f>IF(AND($B$35&lt;='1 - Titoli e shock'!$B$17,$C314&lt;='1 - Titoli e shock'!$B$17),$D$35*Q$6/2*(1-'1 - Titoli e shock'!$B$8),0)</f>
        <v>490.70975655913645</v>
      </c>
      <c r="R314" s="20">
        <f>IF(AND($B$35&lt;='1 - Titoli e shock'!$B$17,$C314&lt;='1 - Titoli e shock'!$B$17),$D$35*R$6/2*(1-'1 - Titoli e shock'!$B$8),0)</f>
        <v>499.21724013163333</v>
      </c>
      <c r="S314" s="20">
        <f>IF(AND($B$35&lt;='1 - Titoli e shock'!$B$17,$C314&lt;='1 - Titoli e shock'!$B$17),$D$35*S$6/2*(1-'1 - Titoli e shock'!$B$8),0)</f>
        <v>507.72070364575802</v>
      </c>
      <c r="T314" s="20">
        <f>IF(AND($B$35&lt;='1 - Titoli e shock'!$B$17,$C314&lt;='1 - Titoli e shock'!$B$17),$D$35*T$6/2*(1-'1 - Titoli e shock'!$B$8),0)</f>
        <v>516.22015279494997</v>
      </c>
      <c r="U314" s="20">
        <f>IF(AND($B$35&lt;='1 - Titoli e shock'!$B$17,$C314&lt;='1 - Titoli e shock'!$B$17),$D$35*U$6/2*(1-'1 - Titoli e shock'!$B$8),0)</f>
        <v>643.2339970706837</v>
      </c>
    </row>
    <row r="315" spans="1:21">
      <c r="A315" s="15" t="s">
        <v>267</v>
      </c>
      <c r="B315" s="22" t="str">
        <f>A35</f>
        <v>BTP 2,80% dic 2028</v>
      </c>
      <c r="C315" s="13">
        <f>EDATE($B$35,6*9)</f>
        <v>48731</v>
      </c>
      <c r="D315" s="23">
        <f>MAX(1,(YEAR(C315)-YEAR('1 - Titoli e shock'!$B$6))+IF(MONTH(C315)*100+DAY(C315)&gt;MONTH('1 - Titoli e shock'!$B$6)*100+DAY('1 - Titoli e shock'!$B$6),1,0))</f>
        <v>7</v>
      </c>
      <c r="F315" s="20">
        <f>IF(AND($B$35&lt;='1 - Titoli e shock'!$B$17,$C315&lt;='1 - Titoli e shock'!$B$17),$D$35*F$6/2*(1-'1 - Titoli e shock'!$B$8),0)</f>
        <v>302.51634686329396</v>
      </c>
      <c r="G315" s="20">
        <f>IF(AND($B$35&lt;='1 - Titoli e shock'!$B$17,$C315&lt;='1 - Titoli e shock'!$B$17),$D$35*G$6/2*(1-'1 - Titoli e shock'!$B$8),0)</f>
        <v>388.30429820165631</v>
      </c>
      <c r="H315" s="20">
        <f>IF(AND($B$35&lt;='1 - Titoli e shock'!$B$17,$C315&lt;='1 - Titoli e shock'!$B$17),$D$35*H$6/2*(1-'1 - Titoli e shock'!$B$8),0)</f>
        <v>473.68270639786658</v>
      </c>
      <c r="I315" s="20">
        <f>IF(AND($B$35&lt;='1 - Titoli e shock'!$B$17,$C315&lt;='1 - Titoli e shock'!$B$17),$D$35*I$6/2*(1-'1 - Titoli e shock'!$B$8),0)</f>
        <v>558.65738139988662</v>
      </c>
      <c r="J315" s="20">
        <f>IF(AND($B$35&lt;='1 - Titoli e shock'!$B$17,$C315&lt;='1 - Titoli e shock'!$B$17),$D$35*J$6/2*(1-'1 - Titoli e shock'!$B$8),0)</f>
        <v>409.68706560085059</v>
      </c>
      <c r="K315" s="20">
        <f>IF(AND($B$35&lt;='1 - Titoli e shock'!$B$17,$C315&lt;='1 - Titoli e shock'!$B$17),$D$35*K$6/2*(1-'1 - Titoli e shock'!$B$8),0)</f>
        <v>431.04432882818685</v>
      </c>
      <c r="L315" s="20">
        <f>IF(AND($B$35&lt;='1 - Titoli e shock'!$B$17,$C315&lt;='1 - Titoli e shock'!$B$17),$D$35*L$6/2*(1-'1 - Titoli e shock'!$B$8),0)</f>
        <v>439.58011336277951</v>
      </c>
      <c r="M315" s="20">
        <f>IF(AND($B$35&lt;='1 - Titoli e shock'!$B$17,$C315&lt;='1 - Titoli e shock'!$B$17),$D$35*M$6/2*(1-'1 - Titoli e shock'!$B$8),0)</f>
        <v>448.11183760522999</v>
      </c>
      <c r="N315" s="20">
        <f>IF(AND($B$35&lt;='1 - Titoli e shock'!$B$17,$C315&lt;='1 - Titoli e shock'!$B$17),$D$35*N$6/2*(1-'1 - Titoli e shock'!$B$8),0)</f>
        <v>456.6395073442211</v>
      </c>
      <c r="O315" s="20">
        <f>IF(AND($B$35&lt;='1 - Titoli e shock'!$B$17,$C315&lt;='1 - Titoli e shock'!$B$17),$D$35*O$6/2*(1-'1 - Titoli e shock'!$B$8),0)</f>
        <v>465.16312835468301</v>
      </c>
      <c r="P315" s="20">
        <f>IF(AND($B$35&lt;='1 - Titoli e shock'!$B$17,$C315&lt;='1 - Titoli e shock'!$B$17),$D$35*P$6/2*(1-'1 - Titoli e shock'!$B$8),0)</f>
        <v>482.19824722135161</v>
      </c>
      <c r="Q315" s="20">
        <f>IF(AND($B$35&lt;='1 - Titoli e shock'!$B$17,$C315&lt;='1 - Titoli e shock'!$B$17),$D$35*Q$6/2*(1-'1 - Titoli e shock'!$B$8),0)</f>
        <v>490.70975655913645</v>
      </c>
      <c r="R315" s="20">
        <f>IF(AND($B$35&lt;='1 - Titoli e shock'!$B$17,$C315&lt;='1 - Titoli e shock'!$B$17),$D$35*R$6/2*(1-'1 - Titoli e shock'!$B$8),0)</f>
        <v>499.21724013163333</v>
      </c>
      <c r="S315" s="20">
        <f>IF(AND($B$35&lt;='1 - Titoli e shock'!$B$17,$C315&lt;='1 - Titoli e shock'!$B$17),$D$35*S$6/2*(1-'1 - Titoli e shock'!$B$8),0)</f>
        <v>507.72070364575802</v>
      </c>
      <c r="T315" s="20">
        <f>IF(AND($B$35&lt;='1 - Titoli e shock'!$B$17,$C315&lt;='1 - Titoli e shock'!$B$17),$D$35*T$6/2*(1-'1 - Titoli e shock'!$B$8),0)</f>
        <v>516.22015279494997</v>
      </c>
      <c r="U315" s="20">
        <f>IF(AND($B$35&lt;='1 - Titoli e shock'!$B$17,$C315&lt;='1 - Titoli e shock'!$B$17),$D$35*U$6/2*(1-'1 - Titoli e shock'!$B$8),0)</f>
        <v>643.2339970706837</v>
      </c>
    </row>
    <row r="316" spans="1:21">
      <c r="A316" s="15" t="s">
        <v>267</v>
      </c>
      <c r="B316" s="22" t="str">
        <f>A35</f>
        <v>BTP 2,80% dic 2028</v>
      </c>
      <c r="C316" s="13">
        <f>EDATE($B$35,6*10)</f>
        <v>48914</v>
      </c>
      <c r="D316" s="23">
        <f>MAX(1,(YEAR(C316)-YEAR('1 - Titoli e shock'!$B$6))+IF(MONTH(C316)*100+DAY(C316)&gt;MONTH('1 - Titoli e shock'!$B$6)*100+DAY('1 - Titoli e shock'!$B$6),1,0))</f>
        <v>8</v>
      </c>
      <c r="F316" s="20">
        <f>IF(AND($B$35&lt;='1 - Titoli e shock'!$B$17,$C316&lt;='1 - Titoli e shock'!$B$17),$D$35*F$6/2*(1-'1 - Titoli e shock'!$B$8),0)</f>
        <v>302.51634686329396</v>
      </c>
      <c r="G316" s="20">
        <f>IF(AND($B$35&lt;='1 - Titoli e shock'!$B$17,$C316&lt;='1 - Titoli e shock'!$B$17),$D$35*G$6/2*(1-'1 - Titoli e shock'!$B$8),0)</f>
        <v>388.30429820165631</v>
      </c>
      <c r="H316" s="20">
        <f>IF(AND($B$35&lt;='1 - Titoli e shock'!$B$17,$C316&lt;='1 - Titoli e shock'!$B$17),$D$35*H$6/2*(1-'1 - Titoli e shock'!$B$8),0)</f>
        <v>473.68270639786658</v>
      </c>
      <c r="I316" s="20">
        <f>IF(AND($B$35&lt;='1 - Titoli e shock'!$B$17,$C316&lt;='1 - Titoli e shock'!$B$17),$D$35*I$6/2*(1-'1 - Titoli e shock'!$B$8),0)</f>
        <v>558.65738139988662</v>
      </c>
      <c r="J316" s="20">
        <f>IF(AND($B$35&lt;='1 - Titoli e shock'!$B$17,$C316&lt;='1 - Titoli e shock'!$B$17),$D$35*J$6/2*(1-'1 - Titoli e shock'!$B$8),0)</f>
        <v>409.68706560085059</v>
      </c>
      <c r="K316" s="20">
        <f>IF(AND($B$35&lt;='1 - Titoli e shock'!$B$17,$C316&lt;='1 - Titoli e shock'!$B$17),$D$35*K$6/2*(1-'1 - Titoli e shock'!$B$8),0)</f>
        <v>431.04432882818685</v>
      </c>
      <c r="L316" s="20">
        <f>IF(AND($B$35&lt;='1 - Titoli e shock'!$B$17,$C316&lt;='1 - Titoli e shock'!$B$17),$D$35*L$6/2*(1-'1 - Titoli e shock'!$B$8),0)</f>
        <v>439.58011336277951</v>
      </c>
      <c r="M316" s="20">
        <f>IF(AND($B$35&lt;='1 - Titoli e shock'!$B$17,$C316&lt;='1 - Titoli e shock'!$B$17),$D$35*M$6/2*(1-'1 - Titoli e shock'!$B$8),0)</f>
        <v>448.11183760522999</v>
      </c>
      <c r="N316" s="20">
        <f>IF(AND($B$35&lt;='1 - Titoli e shock'!$B$17,$C316&lt;='1 - Titoli e shock'!$B$17),$D$35*N$6/2*(1-'1 - Titoli e shock'!$B$8),0)</f>
        <v>456.6395073442211</v>
      </c>
      <c r="O316" s="20">
        <f>IF(AND($B$35&lt;='1 - Titoli e shock'!$B$17,$C316&lt;='1 - Titoli e shock'!$B$17),$D$35*O$6/2*(1-'1 - Titoli e shock'!$B$8),0)</f>
        <v>465.16312835468301</v>
      </c>
      <c r="P316" s="20">
        <f>IF(AND($B$35&lt;='1 - Titoli e shock'!$B$17,$C316&lt;='1 - Titoli e shock'!$B$17),$D$35*P$6/2*(1-'1 - Titoli e shock'!$B$8),0)</f>
        <v>482.19824722135161</v>
      </c>
      <c r="Q316" s="20">
        <f>IF(AND($B$35&lt;='1 - Titoli e shock'!$B$17,$C316&lt;='1 - Titoli e shock'!$B$17),$D$35*Q$6/2*(1-'1 - Titoli e shock'!$B$8),0)</f>
        <v>490.70975655913645</v>
      </c>
      <c r="R316" s="20">
        <f>IF(AND($B$35&lt;='1 - Titoli e shock'!$B$17,$C316&lt;='1 - Titoli e shock'!$B$17),$D$35*R$6/2*(1-'1 - Titoli e shock'!$B$8),0)</f>
        <v>499.21724013163333</v>
      </c>
      <c r="S316" s="20">
        <f>IF(AND($B$35&lt;='1 - Titoli e shock'!$B$17,$C316&lt;='1 - Titoli e shock'!$B$17),$D$35*S$6/2*(1-'1 - Titoli e shock'!$B$8),0)</f>
        <v>507.72070364575802</v>
      </c>
      <c r="T316" s="20">
        <f>IF(AND($B$35&lt;='1 - Titoli e shock'!$B$17,$C316&lt;='1 - Titoli e shock'!$B$17),$D$35*T$6/2*(1-'1 - Titoli e shock'!$B$8),0)</f>
        <v>516.22015279494997</v>
      </c>
      <c r="U316" s="20">
        <f>IF(AND($B$35&lt;='1 - Titoli e shock'!$B$17,$C316&lt;='1 - Titoli e shock'!$B$17),$D$35*U$6/2*(1-'1 - Titoli e shock'!$B$8),0)</f>
        <v>643.2339970706837</v>
      </c>
    </row>
    <row r="317" spans="1:21">
      <c r="A317" s="15" t="s">
        <v>267</v>
      </c>
      <c r="B317" s="22" t="str">
        <f>A35</f>
        <v>BTP 2,80% dic 2028</v>
      </c>
      <c r="C317" s="13">
        <f>EDATE($B$35,6*11)</f>
        <v>49096</v>
      </c>
      <c r="D317" s="23">
        <f>MAX(1,(YEAR(C317)-YEAR('1 - Titoli e shock'!$B$6))+IF(MONTH(C317)*100+DAY(C317)&gt;MONTH('1 - Titoli e shock'!$B$6)*100+DAY('1 - Titoli e shock'!$B$6),1,0))</f>
        <v>8</v>
      </c>
      <c r="F317" s="20">
        <f>IF(AND($B$35&lt;='1 - Titoli e shock'!$B$17,$C317&lt;='1 - Titoli e shock'!$B$17),$D$35*F$6/2*(1-'1 - Titoli e shock'!$B$8),0)</f>
        <v>302.51634686329396</v>
      </c>
      <c r="G317" s="20">
        <f>IF(AND($B$35&lt;='1 - Titoli e shock'!$B$17,$C317&lt;='1 - Titoli e shock'!$B$17),$D$35*G$6/2*(1-'1 - Titoli e shock'!$B$8),0)</f>
        <v>388.30429820165631</v>
      </c>
      <c r="H317" s="20">
        <f>IF(AND($B$35&lt;='1 - Titoli e shock'!$B$17,$C317&lt;='1 - Titoli e shock'!$B$17),$D$35*H$6/2*(1-'1 - Titoli e shock'!$B$8),0)</f>
        <v>473.68270639786658</v>
      </c>
      <c r="I317" s="20">
        <f>IF(AND($B$35&lt;='1 - Titoli e shock'!$B$17,$C317&lt;='1 - Titoli e shock'!$B$17),$D$35*I$6/2*(1-'1 - Titoli e shock'!$B$8),0)</f>
        <v>558.65738139988662</v>
      </c>
      <c r="J317" s="20">
        <f>IF(AND($B$35&lt;='1 - Titoli e shock'!$B$17,$C317&lt;='1 - Titoli e shock'!$B$17),$D$35*J$6/2*(1-'1 - Titoli e shock'!$B$8),0)</f>
        <v>409.68706560085059</v>
      </c>
      <c r="K317" s="20">
        <f>IF(AND($B$35&lt;='1 - Titoli e shock'!$B$17,$C317&lt;='1 - Titoli e shock'!$B$17),$D$35*K$6/2*(1-'1 - Titoli e shock'!$B$8),0)</f>
        <v>431.04432882818685</v>
      </c>
      <c r="L317" s="20">
        <f>IF(AND($B$35&lt;='1 - Titoli e shock'!$B$17,$C317&lt;='1 - Titoli e shock'!$B$17),$D$35*L$6/2*(1-'1 - Titoli e shock'!$B$8),0)</f>
        <v>439.58011336277951</v>
      </c>
      <c r="M317" s="20">
        <f>IF(AND($B$35&lt;='1 - Titoli e shock'!$B$17,$C317&lt;='1 - Titoli e shock'!$B$17),$D$35*M$6/2*(1-'1 - Titoli e shock'!$B$8),0)</f>
        <v>448.11183760522999</v>
      </c>
      <c r="N317" s="20">
        <f>IF(AND($B$35&lt;='1 - Titoli e shock'!$B$17,$C317&lt;='1 - Titoli e shock'!$B$17),$D$35*N$6/2*(1-'1 - Titoli e shock'!$B$8),0)</f>
        <v>456.6395073442211</v>
      </c>
      <c r="O317" s="20">
        <f>IF(AND($B$35&lt;='1 - Titoli e shock'!$B$17,$C317&lt;='1 - Titoli e shock'!$B$17),$D$35*O$6/2*(1-'1 - Titoli e shock'!$B$8),0)</f>
        <v>465.16312835468301</v>
      </c>
      <c r="P317" s="20">
        <f>IF(AND($B$35&lt;='1 - Titoli e shock'!$B$17,$C317&lt;='1 - Titoli e shock'!$B$17),$D$35*P$6/2*(1-'1 - Titoli e shock'!$B$8),0)</f>
        <v>482.19824722135161</v>
      </c>
      <c r="Q317" s="20">
        <f>IF(AND($B$35&lt;='1 - Titoli e shock'!$B$17,$C317&lt;='1 - Titoli e shock'!$B$17),$D$35*Q$6/2*(1-'1 - Titoli e shock'!$B$8),0)</f>
        <v>490.70975655913645</v>
      </c>
      <c r="R317" s="20">
        <f>IF(AND($B$35&lt;='1 - Titoli e shock'!$B$17,$C317&lt;='1 - Titoli e shock'!$B$17),$D$35*R$6/2*(1-'1 - Titoli e shock'!$B$8),0)</f>
        <v>499.21724013163333</v>
      </c>
      <c r="S317" s="20">
        <f>IF(AND($B$35&lt;='1 - Titoli e shock'!$B$17,$C317&lt;='1 - Titoli e shock'!$B$17),$D$35*S$6/2*(1-'1 - Titoli e shock'!$B$8),0)</f>
        <v>507.72070364575802</v>
      </c>
      <c r="T317" s="20">
        <f>IF(AND($B$35&lt;='1 - Titoli e shock'!$B$17,$C317&lt;='1 - Titoli e shock'!$B$17),$D$35*T$6/2*(1-'1 - Titoli e shock'!$B$8),0)</f>
        <v>516.22015279494997</v>
      </c>
      <c r="U317" s="20">
        <f>IF(AND($B$35&lt;='1 - Titoli e shock'!$B$17,$C317&lt;='1 - Titoli e shock'!$B$17),$D$35*U$6/2*(1-'1 - Titoli e shock'!$B$8),0)</f>
        <v>643.2339970706837</v>
      </c>
    </row>
    <row r="318" spans="1:21">
      <c r="A318" s="15" t="s">
        <v>267</v>
      </c>
      <c r="B318" s="22" t="str">
        <f>A35</f>
        <v>BTP 2,80% dic 2028</v>
      </c>
      <c r="C318" s="13">
        <f>EDATE($B$35,6*12)</f>
        <v>49279</v>
      </c>
      <c r="D318" s="23">
        <f>MAX(1,(YEAR(C318)-YEAR('1 - Titoli e shock'!$B$6))+IF(MONTH(C318)*100+DAY(C318)&gt;MONTH('1 - Titoli e shock'!$B$6)*100+DAY('1 - Titoli e shock'!$B$6),1,0))</f>
        <v>9</v>
      </c>
      <c r="F318" s="20">
        <f>IF(AND($B$35&lt;='1 - Titoli e shock'!$B$17,$C318&lt;='1 - Titoli e shock'!$B$17),$D$35*F$6/2*(1-'1 - Titoli e shock'!$B$8),0)</f>
        <v>302.51634686329396</v>
      </c>
      <c r="G318" s="20">
        <f>IF(AND($B$35&lt;='1 - Titoli e shock'!$B$17,$C318&lt;='1 - Titoli e shock'!$B$17),$D$35*G$6/2*(1-'1 - Titoli e shock'!$B$8),0)</f>
        <v>388.30429820165631</v>
      </c>
      <c r="H318" s="20">
        <f>IF(AND($B$35&lt;='1 - Titoli e shock'!$B$17,$C318&lt;='1 - Titoli e shock'!$B$17),$D$35*H$6/2*(1-'1 - Titoli e shock'!$B$8),0)</f>
        <v>473.68270639786658</v>
      </c>
      <c r="I318" s="20">
        <f>IF(AND($B$35&lt;='1 - Titoli e shock'!$B$17,$C318&lt;='1 - Titoli e shock'!$B$17),$D$35*I$6/2*(1-'1 - Titoli e shock'!$B$8),0)</f>
        <v>558.65738139988662</v>
      </c>
      <c r="J318" s="20">
        <f>IF(AND($B$35&lt;='1 - Titoli e shock'!$B$17,$C318&lt;='1 - Titoli e shock'!$B$17),$D$35*J$6/2*(1-'1 - Titoli e shock'!$B$8),0)</f>
        <v>409.68706560085059</v>
      </c>
      <c r="K318" s="20">
        <f>IF(AND($B$35&lt;='1 - Titoli e shock'!$B$17,$C318&lt;='1 - Titoli e shock'!$B$17),$D$35*K$6/2*(1-'1 - Titoli e shock'!$B$8),0)</f>
        <v>431.04432882818685</v>
      </c>
      <c r="L318" s="20">
        <f>IF(AND($B$35&lt;='1 - Titoli e shock'!$B$17,$C318&lt;='1 - Titoli e shock'!$B$17),$D$35*L$6/2*(1-'1 - Titoli e shock'!$B$8),0)</f>
        <v>439.58011336277951</v>
      </c>
      <c r="M318" s="20">
        <f>IF(AND($B$35&lt;='1 - Titoli e shock'!$B$17,$C318&lt;='1 - Titoli e shock'!$B$17),$D$35*M$6/2*(1-'1 - Titoli e shock'!$B$8),0)</f>
        <v>448.11183760522999</v>
      </c>
      <c r="N318" s="20">
        <f>IF(AND($B$35&lt;='1 - Titoli e shock'!$B$17,$C318&lt;='1 - Titoli e shock'!$B$17),$D$35*N$6/2*(1-'1 - Titoli e shock'!$B$8),0)</f>
        <v>456.6395073442211</v>
      </c>
      <c r="O318" s="20">
        <f>IF(AND($B$35&lt;='1 - Titoli e shock'!$B$17,$C318&lt;='1 - Titoli e shock'!$B$17),$D$35*O$6/2*(1-'1 - Titoli e shock'!$B$8),0)</f>
        <v>465.16312835468301</v>
      </c>
      <c r="P318" s="20">
        <f>IF(AND($B$35&lt;='1 - Titoli e shock'!$B$17,$C318&lt;='1 - Titoli e shock'!$B$17),$D$35*P$6/2*(1-'1 - Titoli e shock'!$B$8),0)</f>
        <v>482.19824722135161</v>
      </c>
      <c r="Q318" s="20">
        <f>IF(AND($B$35&lt;='1 - Titoli e shock'!$B$17,$C318&lt;='1 - Titoli e shock'!$B$17),$D$35*Q$6/2*(1-'1 - Titoli e shock'!$B$8),0)</f>
        <v>490.70975655913645</v>
      </c>
      <c r="R318" s="20">
        <f>IF(AND($B$35&lt;='1 - Titoli e shock'!$B$17,$C318&lt;='1 - Titoli e shock'!$B$17),$D$35*R$6/2*(1-'1 - Titoli e shock'!$B$8),0)</f>
        <v>499.21724013163333</v>
      </c>
      <c r="S318" s="20">
        <f>IF(AND($B$35&lt;='1 - Titoli e shock'!$B$17,$C318&lt;='1 - Titoli e shock'!$B$17),$D$35*S$6/2*(1-'1 - Titoli e shock'!$B$8),0)</f>
        <v>507.72070364575802</v>
      </c>
      <c r="T318" s="20">
        <f>IF(AND($B$35&lt;='1 - Titoli e shock'!$B$17,$C318&lt;='1 - Titoli e shock'!$B$17),$D$35*T$6/2*(1-'1 - Titoli e shock'!$B$8),0)</f>
        <v>516.22015279494997</v>
      </c>
      <c r="U318" s="20">
        <f>IF(AND($B$35&lt;='1 - Titoli e shock'!$B$17,$C318&lt;='1 - Titoli e shock'!$B$17),$D$35*U$6/2*(1-'1 - Titoli e shock'!$B$8),0)</f>
        <v>643.2339970706837</v>
      </c>
    </row>
    <row r="319" spans="1:21">
      <c r="A319" s="15" t="s">
        <v>267</v>
      </c>
      <c r="B319" s="22" t="str">
        <f>A35</f>
        <v>BTP 2,80% dic 2028</v>
      </c>
      <c r="C319" s="13">
        <f>EDATE($B$35,6*13)</f>
        <v>49461</v>
      </c>
      <c r="D319" s="23">
        <f>MAX(1,(YEAR(C319)-YEAR('1 - Titoli e shock'!$B$6))+IF(MONTH(C319)*100+DAY(C319)&gt;MONTH('1 - Titoli e shock'!$B$6)*100+DAY('1 - Titoli e shock'!$B$6),1,0))</f>
        <v>9</v>
      </c>
      <c r="F319" s="20">
        <f>IF(AND($B$35&lt;='1 - Titoli e shock'!$B$17,$C319&lt;='1 - Titoli e shock'!$B$17),$D$35*F$6/2*(1-'1 - Titoli e shock'!$B$8),0)</f>
        <v>302.51634686329396</v>
      </c>
      <c r="G319" s="20">
        <f>IF(AND($B$35&lt;='1 - Titoli e shock'!$B$17,$C319&lt;='1 - Titoli e shock'!$B$17),$D$35*G$6/2*(1-'1 - Titoli e shock'!$B$8),0)</f>
        <v>388.30429820165631</v>
      </c>
      <c r="H319" s="20">
        <f>IF(AND($B$35&lt;='1 - Titoli e shock'!$B$17,$C319&lt;='1 - Titoli e shock'!$B$17),$D$35*H$6/2*(1-'1 - Titoli e shock'!$B$8),0)</f>
        <v>473.68270639786658</v>
      </c>
      <c r="I319" s="20">
        <f>IF(AND($B$35&lt;='1 - Titoli e shock'!$B$17,$C319&lt;='1 - Titoli e shock'!$B$17),$D$35*I$6/2*(1-'1 - Titoli e shock'!$B$8),0)</f>
        <v>558.65738139988662</v>
      </c>
      <c r="J319" s="20">
        <f>IF(AND($B$35&lt;='1 - Titoli e shock'!$B$17,$C319&lt;='1 - Titoli e shock'!$B$17),$D$35*J$6/2*(1-'1 - Titoli e shock'!$B$8),0)</f>
        <v>409.68706560085059</v>
      </c>
      <c r="K319" s="20">
        <f>IF(AND($B$35&lt;='1 - Titoli e shock'!$B$17,$C319&lt;='1 - Titoli e shock'!$B$17),$D$35*K$6/2*(1-'1 - Titoli e shock'!$B$8),0)</f>
        <v>431.04432882818685</v>
      </c>
      <c r="L319" s="20">
        <f>IF(AND($B$35&lt;='1 - Titoli e shock'!$B$17,$C319&lt;='1 - Titoli e shock'!$B$17),$D$35*L$6/2*(1-'1 - Titoli e shock'!$B$8),0)</f>
        <v>439.58011336277951</v>
      </c>
      <c r="M319" s="20">
        <f>IF(AND($B$35&lt;='1 - Titoli e shock'!$B$17,$C319&lt;='1 - Titoli e shock'!$B$17),$D$35*M$6/2*(1-'1 - Titoli e shock'!$B$8),0)</f>
        <v>448.11183760522999</v>
      </c>
      <c r="N319" s="20">
        <f>IF(AND($B$35&lt;='1 - Titoli e shock'!$B$17,$C319&lt;='1 - Titoli e shock'!$B$17),$D$35*N$6/2*(1-'1 - Titoli e shock'!$B$8),0)</f>
        <v>456.6395073442211</v>
      </c>
      <c r="O319" s="20">
        <f>IF(AND($B$35&lt;='1 - Titoli e shock'!$B$17,$C319&lt;='1 - Titoli e shock'!$B$17),$D$35*O$6/2*(1-'1 - Titoli e shock'!$B$8),0)</f>
        <v>465.16312835468301</v>
      </c>
      <c r="P319" s="20">
        <f>IF(AND($B$35&lt;='1 - Titoli e shock'!$B$17,$C319&lt;='1 - Titoli e shock'!$B$17),$D$35*P$6/2*(1-'1 - Titoli e shock'!$B$8),0)</f>
        <v>482.19824722135161</v>
      </c>
      <c r="Q319" s="20">
        <f>IF(AND($B$35&lt;='1 - Titoli e shock'!$B$17,$C319&lt;='1 - Titoli e shock'!$B$17),$D$35*Q$6/2*(1-'1 - Titoli e shock'!$B$8),0)</f>
        <v>490.70975655913645</v>
      </c>
      <c r="R319" s="20">
        <f>IF(AND($B$35&lt;='1 - Titoli e shock'!$B$17,$C319&lt;='1 - Titoli e shock'!$B$17),$D$35*R$6/2*(1-'1 - Titoli e shock'!$B$8),0)</f>
        <v>499.21724013163333</v>
      </c>
      <c r="S319" s="20">
        <f>IF(AND($B$35&lt;='1 - Titoli e shock'!$B$17,$C319&lt;='1 - Titoli e shock'!$B$17),$D$35*S$6/2*(1-'1 - Titoli e shock'!$B$8),0)</f>
        <v>507.72070364575802</v>
      </c>
      <c r="T319" s="20">
        <f>IF(AND($B$35&lt;='1 - Titoli e shock'!$B$17,$C319&lt;='1 - Titoli e shock'!$B$17),$D$35*T$6/2*(1-'1 - Titoli e shock'!$B$8),0)</f>
        <v>516.22015279494997</v>
      </c>
      <c r="U319" s="20">
        <f>IF(AND($B$35&lt;='1 - Titoli e shock'!$B$17,$C319&lt;='1 - Titoli e shock'!$B$17),$D$35*U$6/2*(1-'1 - Titoli e shock'!$B$8),0)</f>
        <v>643.2339970706837</v>
      </c>
    </row>
    <row r="320" spans="1:21">
      <c r="A320" s="15" t="s">
        <v>267</v>
      </c>
      <c r="B320" s="22" t="str">
        <f>A35</f>
        <v>BTP 2,80% dic 2028</v>
      </c>
      <c r="C320" s="13">
        <f>EDATE($B$35,6*14)</f>
        <v>49644</v>
      </c>
      <c r="D320" s="23">
        <f>MAX(1,(YEAR(C320)-YEAR('1 - Titoli e shock'!$B$6))+IF(MONTH(C320)*100+DAY(C320)&gt;MONTH('1 - Titoli e shock'!$B$6)*100+DAY('1 - Titoli e shock'!$B$6),1,0))</f>
        <v>10</v>
      </c>
      <c r="F320" s="20">
        <f>IF(AND($B$35&lt;='1 - Titoli e shock'!$B$17,$C320&lt;='1 - Titoli e shock'!$B$17),$D$35*F$6/2*(1-'1 - Titoli e shock'!$B$8),0)</f>
        <v>302.51634686329396</v>
      </c>
      <c r="G320" s="20">
        <f>IF(AND($B$35&lt;='1 - Titoli e shock'!$B$17,$C320&lt;='1 - Titoli e shock'!$B$17),$D$35*G$6/2*(1-'1 - Titoli e shock'!$B$8),0)</f>
        <v>388.30429820165631</v>
      </c>
      <c r="H320" s="20">
        <f>IF(AND($B$35&lt;='1 - Titoli e shock'!$B$17,$C320&lt;='1 - Titoli e shock'!$B$17),$D$35*H$6/2*(1-'1 - Titoli e shock'!$B$8),0)</f>
        <v>473.68270639786658</v>
      </c>
      <c r="I320" s="20">
        <f>IF(AND($B$35&lt;='1 - Titoli e shock'!$B$17,$C320&lt;='1 - Titoli e shock'!$B$17),$D$35*I$6/2*(1-'1 - Titoli e shock'!$B$8),0)</f>
        <v>558.65738139988662</v>
      </c>
      <c r="J320" s="20">
        <f>IF(AND($B$35&lt;='1 - Titoli e shock'!$B$17,$C320&lt;='1 - Titoli e shock'!$B$17),$D$35*J$6/2*(1-'1 - Titoli e shock'!$B$8),0)</f>
        <v>409.68706560085059</v>
      </c>
      <c r="K320" s="20">
        <f>IF(AND($B$35&lt;='1 - Titoli e shock'!$B$17,$C320&lt;='1 - Titoli e shock'!$B$17),$D$35*K$6/2*(1-'1 - Titoli e shock'!$B$8),0)</f>
        <v>431.04432882818685</v>
      </c>
      <c r="L320" s="20">
        <f>IF(AND($B$35&lt;='1 - Titoli e shock'!$B$17,$C320&lt;='1 - Titoli e shock'!$B$17),$D$35*L$6/2*(1-'1 - Titoli e shock'!$B$8),0)</f>
        <v>439.58011336277951</v>
      </c>
      <c r="M320" s="20">
        <f>IF(AND($B$35&lt;='1 - Titoli e shock'!$B$17,$C320&lt;='1 - Titoli e shock'!$B$17),$D$35*M$6/2*(1-'1 - Titoli e shock'!$B$8),0)</f>
        <v>448.11183760522999</v>
      </c>
      <c r="N320" s="20">
        <f>IF(AND($B$35&lt;='1 - Titoli e shock'!$B$17,$C320&lt;='1 - Titoli e shock'!$B$17),$D$35*N$6/2*(1-'1 - Titoli e shock'!$B$8),0)</f>
        <v>456.6395073442211</v>
      </c>
      <c r="O320" s="20">
        <f>IF(AND($B$35&lt;='1 - Titoli e shock'!$B$17,$C320&lt;='1 - Titoli e shock'!$B$17),$D$35*O$6/2*(1-'1 - Titoli e shock'!$B$8),0)</f>
        <v>465.16312835468301</v>
      </c>
      <c r="P320" s="20">
        <f>IF(AND($B$35&lt;='1 - Titoli e shock'!$B$17,$C320&lt;='1 - Titoli e shock'!$B$17),$D$35*P$6/2*(1-'1 - Titoli e shock'!$B$8),0)</f>
        <v>482.19824722135161</v>
      </c>
      <c r="Q320" s="20">
        <f>IF(AND($B$35&lt;='1 - Titoli e shock'!$B$17,$C320&lt;='1 - Titoli e shock'!$B$17),$D$35*Q$6/2*(1-'1 - Titoli e shock'!$B$8),0)</f>
        <v>490.70975655913645</v>
      </c>
      <c r="R320" s="20">
        <f>IF(AND($B$35&lt;='1 - Titoli e shock'!$B$17,$C320&lt;='1 - Titoli e shock'!$B$17),$D$35*R$6/2*(1-'1 - Titoli e shock'!$B$8),0)</f>
        <v>499.21724013163333</v>
      </c>
      <c r="S320" s="20">
        <f>IF(AND($B$35&lt;='1 - Titoli e shock'!$B$17,$C320&lt;='1 - Titoli e shock'!$B$17),$D$35*S$6/2*(1-'1 - Titoli e shock'!$B$8),0)</f>
        <v>507.72070364575802</v>
      </c>
      <c r="T320" s="20">
        <f>IF(AND($B$35&lt;='1 - Titoli e shock'!$B$17,$C320&lt;='1 - Titoli e shock'!$B$17),$D$35*T$6/2*(1-'1 - Titoli e shock'!$B$8),0)</f>
        <v>516.22015279494997</v>
      </c>
      <c r="U320" s="20">
        <f>IF(AND($B$35&lt;='1 - Titoli e shock'!$B$17,$C320&lt;='1 - Titoli e shock'!$B$17),$D$35*U$6/2*(1-'1 - Titoli e shock'!$B$8),0)</f>
        <v>643.2339970706837</v>
      </c>
    </row>
    <row r="321" spans="1:21">
      <c r="A321" s="15" t="s">
        <v>267</v>
      </c>
      <c r="B321" s="22" t="str">
        <f>A35</f>
        <v>BTP 2,80% dic 2028</v>
      </c>
      <c r="C321" s="13">
        <f>EDATE($B$35,6*15)</f>
        <v>49827</v>
      </c>
      <c r="D321" s="23">
        <f>MAX(1,(YEAR(C321)-YEAR('1 - Titoli e shock'!$B$6))+IF(MONTH(C321)*100+DAY(C321)&gt;MONTH('1 - Titoli e shock'!$B$6)*100+DAY('1 - Titoli e shock'!$B$6),1,0))</f>
        <v>10</v>
      </c>
      <c r="F321" s="20">
        <f>IF(AND($B$35&lt;='1 - Titoli e shock'!$B$17,$C321&lt;='1 - Titoli e shock'!$B$17),$D$35*F$6/2*(1-'1 - Titoli e shock'!$B$8),0)</f>
        <v>302.51634686329396</v>
      </c>
      <c r="G321" s="20">
        <f>IF(AND($B$35&lt;='1 - Titoli e shock'!$B$17,$C321&lt;='1 - Titoli e shock'!$B$17),$D$35*G$6/2*(1-'1 - Titoli e shock'!$B$8),0)</f>
        <v>388.30429820165631</v>
      </c>
      <c r="H321" s="20">
        <f>IF(AND($B$35&lt;='1 - Titoli e shock'!$B$17,$C321&lt;='1 - Titoli e shock'!$B$17),$D$35*H$6/2*(1-'1 - Titoli e shock'!$B$8),0)</f>
        <v>473.68270639786658</v>
      </c>
      <c r="I321" s="20">
        <f>IF(AND($B$35&lt;='1 - Titoli e shock'!$B$17,$C321&lt;='1 - Titoli e shock'!$B$17),$D$35*I$6/2*(1-'1 - Titoli e shock'!$B$8),0)</f>
        <v>558.65738139988662</v>
      </c>
      <c r="J321" s="20">
        <f>IF(AND($B$35&lt;='1 - Titoli e shock'!$B$17,$C321&lt;='1 - Titoli e shock'!$B$17),$D$35*J$6/2*(1-'1 - Titoli e shock'!$B$8),0)</f>
        <v>409.68706560085059</v>
      </c>
      <c r="K321" s="20">
        <f>IF(AND($B$35&lt;='1 - Titoli e shock'!$B$17,$C321&lt;='1 - Titoli e shock'!$B$17),$D$35*K$6/2*(1-'1 - Titoli e shock'!$B$8),0)</f>
        <v>431.04432882818685</v>
      </c>
      <c r="L321" s="20">
        <f>IF(AND($B$35&lt;='1 - Titoli e shock'!$B$17,$C321&lt;='1 - Titoli e shock'!$B$17),$D$35*L$6/2*(1-'1 - Titoli e shock'!$B$8),0)</f>
        <v>439.58011336277951</v>
      </c>
      <c r="M321" s="20">
        <f>IF(AND($B$35&lt;='1 - Titoli e shock'!$B$17,$C321&lt;='1 - Titoli e shock'!$B$17),$D$35*M$6/2*(1-'1 - Titoli e shock'!$B$8),0)</f>
        <v>448.11183760522999</v>
      </c>
      <c r="N321" s="20">
        <f>IF(AND($B$35&lt;='1 - Titoli e shock'!$B$17,$C321&lt;='1 - Titoli e shock'!$B$17),$D$35*N$6/2*(1-'1 - Titoli e shock'!$B$8),0)</f>
        <v>456.6395073442211</v>
      </c>
      <c r="O321" s="20">
        <f>IF(AND($B$35&lt;='1 - Titoli e shock'!$B$17,$C321&lt;='1 - Titoli e shock'!$B$17),$D$35*O$6/2*(1-'1 - Titoli e shock'!$B$8),0)</f>
        <v>465.16312835468301</v>
      </c>
      <c r="P321" s="20">
        <f>IF(AND($B$35&lt;='1 - Titoli e shock'!$B$17,$C321&lt;='1 - Titoli e shock'!$B$17),$D$35*P$6/2*(1-'1 - Titoli e shock'!$B$8),0)</f>
        <v>482.19824722135161</v>
      </c>
      <c r="Q321" s="20">
        <f>IF(AND($B$35&lt;='1 - Titoli e shock'!$B$17,$C321&lt;='1 - Titoli e shock'!$B$17),$D$35*Q$6/2*(1-'1 - Titoli e shock'!$B$8),0)</f>
        <v>490.70975655913645</v>
      </c>
      <c r="R321" s="20">
        <f>IF(AND($B$35&lt;='1 - Titoli e shock'!$B$17,$C321&lt;='1 - Titoli e shock'!$B$17),$D$35*R$6/2*(1-'1 - Titoli e shock'!$B$8),0)</f>
        <v>499.21724013163333</v>
      </c>
      <c r="S321" s="20">
        <f>IF(AND($B$35&lt;='1 - Titoli e shock'!$B$17,$C321&lt;='1 - Titoli e shock'!$B$17),$D$35*S$6/2*(1-'1 - Titoli e shock'!$B$8),0)</f>
        <v>507.72070364575802</v>
      </c>
      <c r="T321" s="20">
        <f>IF(AND($B$35&lt;='1 - Titoli e shock'!$B$17,$C321&lt;='1 - Titoli e shock'!$B$17),$D$35*T$6/2*(1-'1 - Titoli e shock'!$B$8),0)</f>
        <v>516.22015279494997</v>
      </c>
      <c r="U321" s="20">
        <f>IF(AND($B$35&lt;='1 - Titoli e shock'!$B$17,$C321&lt;='1 - Titoli e shock'!$B$17),$D$35*U$6/2*(1-'1 - Titoli e shock'!$B$8),0)</f>
        <v>643.2339970706837</v>
      </c>
    </row>
    <row r="322" spans="1:21">
      <c r="A322" s="15" t="s">
        <v>267</v>
      </c>
      <c r="B322" s="22" t="str">
        <f>A35</f>
        <v>BTP 2,80% dic 2028</v>
      </c>
      <c r="C322" s="13">
        <f>EDATE($B$35,6*16)</f>
        <v>50010</v>
      </c>
      <c r="D322" s="23">
        <f>MAX(1,(YEAR(C322)-YEAR('1 - Titoli e shock'!$B$6))+IF(MONTH(C322)*100+DAY(C322)&gt;MONTH('1 - Titoli e shock'!$B$6)*100+DAY('1 - Titoli e shock'!$B$6),1,0))</f>
        <v>11</v>
      </c>
      <c r="F322" s="20">
        <f>IF(AND($B$35&lt;='1 - Titoli e shock'!$B$17,$C322&lt;='1 - Titoli e shock'!$B$17),$D$35*F$6/2*(1-'1 - Titoli e shock'!$B$8),0)</f>
        <v>0</v>
      </c>
      <c r="G322" s="20">
        <f>IF(AND($B$35&lt;='1 - Titoli e shock'!$B$17,$C322&lt;='1 - Titoli e shock'!$B$17),$D$35*G$6/2*(1-'1 - Titoli e shock'!$B$8),0)</f>
        <v>0</v>
      </c>
      <c r="H322" s="20">
        <f>IF(AND($B$35&lt;='1 - Titoli e shock'!$B$17,$C322&lt;='1 - Titoli e shock'!$B$17),$D$35*H$6/2*(1-'1 - Titoli e shock'!$B$8),0)</f>
        <v>0</v>
      </c>
      <c r="I322" s="20">
        <f>IF(AND($B$35&lt;='1 - Titoli e shock'!$B$17,$C322&lt;='1 - Titoli e shock'!$B$17),$D$35*I$6/2*(1-'1 - Titoli e shock'!$B$8),0)</f>
        <v>0</v>
      </c>
      <c r="J322" s="20">
        <f>IF(AND($B$35&lt;='1 - Titoli e shock'!$B$17,$C322&lt;='1 - Titoli e shock'!$B$17),$D$35*J$6/2*(1-'1 - Titoli e shock'!$B$8),0)</f>
        <v>0</v>
      </c>
      <c r="K322" s="20">
        <f>IF(AND($B$35&lt;='1 - Titoli e shock'!$B$17,$C322&lt;='1 - Titoli e shock'!$B$17),$D$35*K$6/2*(1-'1 - Titoli e shock'!$B$8),0)</f>
        <v>0</v>
      </c>
      <c r="L322" s="20">
        <f>IF(AND($B$35&lt;='1 - Titoli e shock'!$B$17,$C322&lt;='1 - Titoli e shock'!$B$17),$D$35*L$6/2*(1-'1 - Titoli e shock'!$B$8),0)</f>
        <v>0</v>
      </c>
      <c r="M322" s="20">
        <f>IF(AND($B$35&lt;='1 - Titoli e shock'!$B$17,$C322&lt;='1 - Titoli e shock'!$B$17),$D$35*M$6/2*(1-'1 - Titoli e shock'!$B$8),0)</f>
        <v>0</v>
      </c>
      <c r="N322" s="20">
        <f>IF(AND($B$35&lt;='1 - Titoli e shock'!$B$17,$C322&lt;='1 - Titoli e shock'!$B$17),$D$35*N$6/2*(1-'1 - Titoli e shock'!$B$8),0)</f>
        <v>0</v>
      </c>
      <c r="O322" s="20">
        <f>IF(AND($B$35&lt;='1 - Titoli e shock'!$B$17,$C322&lt;='1 - Titoli e shock'!$B$17),$D$35*O$6/2*(1-'1 - Titoli e shock'!$B$8),0)</f>
        <v>0</v>
      </c>
      <c r="P322" s="20">
        <f>IF(AND($B$35&lt;='1 - Titoli e shock'!$B$17,$C322&lt;='1 - Titoli e shock'!$B$17),$D$35*P$6/2*(1-'1 - Titoli e shock'!$B$8),0)</f>
        <v>0</v>
      </c>
      <c r="Q322" s="20">
        <f>IF(AND($B$35&lt;='1 - Titoli e shock'!$B$17,$C322&lt;='1 - Titoli e shock'!$B$17),$D$35*Q$6/2*(1-'1 - Titoli e shock'!$B$8),0)</f>
        <v>0</v>
      </c>
      <c r="R322" s="20">
        <f>IF(AND($B$35&lt;='1 - Titoli e shock'!$B$17,$C322&lt;='1 - Titoli e shock'!$B$17),$D$35*R$6/2*(1-'1 - Titoli e shock'!$B$8),0)</f>
        <v>0</v>
      </c>
      <c r="S322" s="20">
        <f>IF(AND($B$35&lt;='1 - Titoli e shock'!$B$17,$C322&lt;='1 - Titoli e shock'!$B$17),$D$35*S$6/2*(1-'1 - Titoli e shock'!$B$8),0)</f>
        <v>0</v>
      </c>
      <c r="T322" s="20">
        <f>IF(AND($B$35&lt;='1 - Titoli e shock'!$B$17,$C322&lt;='1 - Titoli e shock'!$B$17),$D$35*T$6/2*(1-'1 - Titoli e shock'!$B$8),0)</f>
        <v>0</v>
      </c>
      <c r="U322" s="20">
        <f>IF(AND($B$35&lt;='1 - Titoli e shock'!$B$17,$C322&lt;='1 - Titoli e shock'!$B$17),$D$35*U$6/2*(1-'1 - Titoli e shock'!$B$8),0)</f>
        <v>0</v>
      </c>
    </row>
    <row r="323" spans="1:21">
      <c r="A323" s="15" t="s">
        <v>267</v>
      </c>
      <c r="B323" s="22" t="str">
        <f>A35</f>
        <v>BTP 2,80% dic 2028</v>
      </c>
      <c r="C323" s="13">
        <f>EDATE($B$35,6*17)</f>
        <v>50192</v>
      </c>
      <c r="D323" s="23">
        <f>MAX(1,(YEAR(C323)-YEAR('1 - Titoli e shock'!$B$6))+IF(MONTH(C323)*100+DAY(C323)&gt;MONTH('1 - Titoli e shock'!$B$6)*100+DAY('1 - Titoli e shock'!$B$6),1,0))</f>
        <v>11</v>
      </c>
      <c r="F323" s="20">
        <f>IF(AND($B$35&lt;='1 - Titoli e shock'!$B$17,$C323&lt;='1 - Titoli e shock'!$B$17),$D$35*F$6/2*(1-'1 - Titoli e shock'!$B$8),0)</f>
        <v>0</v>
      </c>
      <c r="G323" s="20">
        <f>IF(AND($B$35&lt;='1 - Titoli e shock'!$B$17,$C323&lt;='1 - Titoli e shock'!$B$17),$D$35*G$6/2*(1-'1 - Titoli e shock'!$B$8),0)</f>
        <v>0</v>
      </c>
      <c r="H323" s="20">
        <f>IF(AND($B$35&lt;='1 - Titoli e shock'!$B$17,$C323&lt;='1 - Titoli e shock'!$B$17),$D$35*H$6/2*(1-'1 - Titoli e shock'!$B$8),0)</f>
        <v>0</v>
      </c>
      <c r="I323" s="20">
        <f>IF(AND($B$35&lt;='1 - Titoli e shock'!$B$17,$C323&lt;='1 - Titoli e shock'!$B$17),$D$35*I$6/2*(1-'1 - Titoli e shock'!$B$8),0)</f>
        <v>0</v>
      </c>
      <c r="J323" s="20">
        <f>IF(AND($B$35&lt;='1 - Titoli e shock'!$B$17,$C323&lt;='1 - Titoli e shock'!$B$17),$D$35*J$6/2*(1-'1 - Titoli e shock'!$B$8),0)</f>
        <v>0</v>
      </c>
      <c r="K323" s="20">
        <f>IF(AND($B$35&lt;='1 - Titoli e shock'!$B$17,$C323&lt;='1 - Titoli e shock'!$B$17),$D$35*K$6/2*(1-'1 - Titoli e shock'!$B$8),0)</f>
        <v>0</v>
      </c>
      <c r="L323" s="20">
        <f>IF(AND($B$35&lt;='1 - Titoli e shock'!$B$17,$C323&lt;='1 - Titoli e shock'!$B$17),$D$35*L$6/2*(1-'1 - Titoli e shock'!$B$8),0)</f>
        <v>0</v>
      </c>
      <c r="M323" s="20">
        <f>IF(AND($B$35&lt;='1 - Titoli e shock'!$B$17,$C323&lt;='1 - Titoli e shock'!$B$17),$D$35*M$6/2*(1-'1 - Titoli e shock'!$B$8),0)</f>
        <v>0</v>
      </c>
      <c r="N323" s="20">
        <f>IF(AND($B$35&lt;='1 - Titoli e shock'!$B$17,$C323&lt;='1 - Titoli e shock'!$B$17),$D$35*N$6/2*(1-'1 - Titoli e shock'!$B$8),0)</f>
        <v>0</v>
      </c>
      <c r="O323" s="20">
        <f>IF(AND($B$35&lt;='1 - Titoli e shock'!$B$17,$C323&lt;='1 - Titoli e shock'!$B$17),$D$35*O$6/2*(1-'1 - Titoli e shock'!$B$8),0)</f>
        <v>0</v>
      </c>
      <c r="P323" s="20">
        <f>IF(AND($B$35&lt;='1 - Titoli e shock'!$B$17,$C323&lt;='1 - Titoli e shock'!$B$17),$D$35*P$6/2*(1-'1 - Titoli e shock'!$B$8),0)</f>
        <v>0</v>
      </c>
      <c r="Q323" s="20">
        <f>IF(AND($B$35&lt;='1 - Titoli e shock'!$B$17,$C323&lt;='1 - Titoli e shock'!$B$17),$D$35*Q$6/2*(1-'1 - Titoli e shock'!$B$8),0)</f>
        <v>0</v>
      </c>
      <c r="R323" s="20">
        <f>IF(AND($B$35&lt;='1 - Titoli e shock'!$B$17,$C323&lt;='1 - Titoli e shock'!$B$17),$D$35*R$6/2*(1-'1 - Titoli e shock'!$B$8),0)</f>
        <v>0</v>
      </c>
      <c r="S323" s="20">
        <f>IF(AND($B$35&lt;='1 - Titoli e shock'!$B$17,$C323&lt;='1 - Titoli e shock'!$B$17),$D$35*S$6/2*(1-'1 - Titoli e shock'!$B$8),0)</f>
        <v>0</v>
      </c>
      <c r="T323" s="20">
        <f>IF(AND($B$35&lt;='1 - Titoli e shock'!$B$17,$C323&lt;='1 - Titoli e shock'!$B$17),$D$35*T$6/2*(1-'1 - Titoli e shock'!$B$8),0)</f>
        <v>0</v>
      </c>
      <c r="U323" s="20">
        <f>IF(AND($B$35&lt;='1 - Titoli e shock'!$B$17,$C323&lt;='1 - Titoli e shock'!$B$17),$D$35*U$6/2*(1-'1 - Titoli e shock'!$B$8),0)</f>
        <v>0</v>
      </c>
    </row>
    <row r="324" spans="1:21">
      <c r="A324" s="15" t="s">
        <v>267</v>
      </c>
      <c r="B324" s="22" t="str">
        <f>A35</f>
        <v>BTP 2,80% dic 2028</v>
      </c>
      <c r="C324" s="13">
        <f>EDATE($B$35,6*18)</f>
        <v>50375</v>
      </c>
      <c r="D324" s="23">
        <f>MAX(1,(YEAR(C324)-YEAR('1 - Titoli e shock'!$B$6))+IF(MONTH(C324)*100+DAY(C324)&gt;MONTH('1 - Titoli e shock'!$B$6)*100+DAY('1 - Titoli e shock'!$B$6),1,0))</f>
        <v>12</v>
      </c>
      <c r="F324" s="20">
        <f>IF(AND($B$35&lt;='1 - Titoli e shock'!$B$17,$C324&lt;='1 - Titoli e shock'!$B$17),$D$35*F$6/2*(1-'1 - Titoli e shock'!$B$8),0)</f>
        <v>0</v>
      </c>
      <c r="G324" s="20">
        <f>IF(AND($B$35&lt;='1 - Titoli e shock'!$B$17,$C324&lt;='1 - Titoli e shock'!$B$17),$D$35*G$6/2*(1-'1 - Titoli e shock'!$B$8),0)</f>
        <v>0</v>
      </c>
      <c r="H324" s="20">
        <f>IF(AND($B$35&lt;='1 - Titoli e shock'!$B$17,$C324&lt;='1 - Titoli e shock'!$B$17),$D$35*H$6/2*(1-'1 - Titoli e shock'!$B$8),0)</f>
        <v>0</v>
      </c>
      <c r="I324" s="20">
        <f>IF(AND($B$35&lt;='1 - Titoli e shock'!$B$17,$C324&lt;='1 - Titoli e shock'!$B$17),$D$35*I$6/2*(1-'1 - Titoli e shock'!$B$8),0)</f>
        <v>0</v>
      </c>
      <c r="J324" s="20">
        <f>IF(AND($B$35&lt;='1 - Titoli e shock'!$B$17,$C324&lt;='1 - Titoli e shock'!$B$17),$D$35*J$6/2*(1-'1 - Titoli e shock'!$B$8),0)</f>
        <v>0</v>
      </c>
      <c r="K324" s="20">
        <f>IF(AND($B$35&lt;='1 - Titoli e shock'!$B$17,$C324&lt;='1 - Titoli e shock'!$B$17),$D$35*K$6/2*(1-'1 - Titoli e shock'!$B$8),0)</f>
        <v>0</v>
      </c>
      <c r="L324" s="20">
        <f>IF(AND($B$35&lt;='1 - Titoli e shock'!$B$17,$C324&lt;='1 - Titoli e shock'!$B$17),$D$35*L$6/2*(1-'1 - Titoli e shock'!$B$8),0)</f>
        <v>0</v>
      </c>
      <c r="M324" s="20">
        <f>IF(AND($B$35&lt;='1 - Titoli e shock'!$B$17,$C324&lt;='1 - Titoli e shock'!$B$17),$D$35*M$6/2*(1-'1 - Titoli e shock'!$B$8),0)</f>
        <v>0</v>
      </c>
      <c r="N324" s="20">
        <f>IF(AND($B$35&lt;='1 - Titoli e shock'!$B$17,$C324&lt;='1 - Titoli e shock'!$B$17),$D$35*N$6/2*(1-'1 - Titoli e shock'!$B$8),0)</f>
        <v>0</v>
      </c>
      <c r="O324" s="20">
        <f>IF(AND($B$35&lt;='1 - Titoli e shock'!$B$17,$C324&lt;='1 - Titoli e shock'!$B$17),$D$35*O$6/2*(1-'1 - Titoli e shock'!$B$8),0)</f>
        <v>0</v>
      </c>
      <c r="P324" s="20">
        <f>IF(AND($B$35&lt;='1 - Titoli e shock'!$B$17,$C324&lt;='1 - Titoli e shock'!$B$17),$D$35*P$6/2*(1-'1 - Titoli e shock'!$B$8),0)</f>
        <v>0</v>
      </c>
      <c r="Q324" s="20">
        <f>IF(AND($B$35&lt;='1 - Titoli e shock'!$B$17,$C324&lt;='1 - Titoli e shock'!$B$17),$D$35*Q$6/2*(1-'1 - Titoli e shock'!$B$8),0)</f>
        <v>0</v>
      </c>
      <c r="R324" s="20">
        <f>IF(AND($B$35&lt;='1 - Titoli e shock'!$B$17,$C324&lt;='1 - Titoli e shock'!$B$17),$D$35*R$6/2*(1-'1 - Titoli e shock'!$B$8),0)</f>
        <v>0</v>
      </c>
      <c r="S324" s="20">
        <f>IF(AND($B$35&lt;='1 - Titoli e shock'!$B$17,$C324&lt;='1 - Titoli e shock'!$B$17),$D$35*S$6/2*(1-'1 - Titoli e shock'!$B$8),0)</f>
        <v>0</v>
      </c>
      <c r="T324" s="20">
        <f>IF(AND($B$35&lt;='1 - Titoli e shock'!$B$17,$C324&lt;='1 - Titoli e shock'!$B$17),$D$35*T$6/2*(1-'1 - Titoli e shock'!$B$8),0)</f>
        <v>0</v>
      </c>
      <c r="U324" s="20">
        <f>IF(AND($B$35&lt;='1 - Titoli e shock'!$B$17,$C324&lt;='1 - Titoli e shock'!$B$17),$D$35*U$6/2*(1-'1 - Titoli e shock'!$B$8),0)</f>
        <v>0</v>
      </c>
    </row>
    <row r="325" spans="1:21">
      <c r="A325" s="15" t="s">
        <v>267</v>
      </c>
      <c r="B325" s="22" t="str">
        <f>A35</f>
        <v>BTP 2,80% dic 2028</v>
      </c>
      <c r="C325" s="13">
        <f>EDATE($B$35,6*19)</f>
        <v>50557</v>
      </c>
      <c r="D325" s="23">
        <f>MAX(1,(YEAR(C325)-YEAR('1 - Titoli e shock'!$B$6))+IF(MONTH(C325)*100+DAY(C325)&gt;MONTH('1 - Titoli e shock'!$B$6)*100+DAY('1 - Titoli e shock'!$B$6),1,0))</f>
        <v>12</v>
      </c>
      <c r="F325" s="20">
        <f>IF(AND($B$35&lt;='1 - Titoli e shock'!$B$17,$C325&lt;='1 - Titoli e shock'!$B$17),$D$35*F$6/2*(1-'1 - Titoli e shock'!$B$8),0)</f>
        <v>0</v>
      </c>
      <c r="G325" s="20">
        <f>IF(AND($B$35&lt;='1 - Titoli e shock'!$B$17,$C325&lt;='1 - Titoli e shock'!$B$17),$D$35*G$6/2*(1-'1 - Titoli e shock'!$B$8),0)</f>
        <v>0</v>
      </c>
      <c r="H325" s="20">
        <f>IF(AND($B$35&lt;='1 - Titoli e shock'!$B$17,$C325&lt;='1 - Titoli e shock'!$B$17),$D$35*H$6/2*(1-'1 - Titoli e shock'!$B$8),0)</f>
        <v>0</v>
      </c>
      <c r="I325" s="20">
        <f>IF(AND($B$35&lt;='1 - Titoli e shock'!$B$17,$C325&lt;='1 - Titoli e shock'!$B$17),$D$35*I$6/2*(1-'1 - Titoli e shock'!$B$8),0)</f>
        <v>0</v>
      </c>
      <c r="J325" s="20">
        <f>IF(AND($B$35&lt;='1 - Titoli e shock'!$B$17,$C325&lt;='1 - Titoli e shock'!$B$17),$D$35*J$6/2*(1-'1 - Titoli e shock'!$B$8),0)</f>
        <v>0</v>
      </c>
      <c r="K325" s="20">
        <f>IF(AND($B$35&lt;='1 - Titoli e shock'!$B$17,$C325&lt;='1 - Titoli e shock'!$B$17),$D$35*K$6/2*(1-'1 - Titoli e shock'!$B$8),0)</f>
        <v>0</v>
      </c>
      <c r="L325" s="20">
        <f>IF(AND($B$35&lt;='1 - Titoli e shock'!$B$17,$C325&lt;='1 - Titoli e shock'!$B$17),$D$35*L$6/2*(1-'1 - Titoli e shock'!$B$8),0)</f>
        <v>0</v>
      </c>
      <c r="M325" s="20">
        <f>IF(AND($B$35&lt;='1 - Titoli e shock'!$B$17,$C325&lt;='1 - Titoli e shock'!$B$17),$D$35*M$6/2*(1-'1 - Titoli e shock'!$B$8),0)</f>
        <v>0</v>
      </c>
      <c r="N325" s="20">
        <f>IF(AND($B$35&lt;='1 - Titoli e shock'!$B$17,$C325&lt;='1 - Titoli e shock'!$B$17),$D$35*N$6/2*(1-'1 - Titoli e shock'!$B$8),0)</f>
        <v>0</v>
      </c>
      <c r="O325" s="20">
        <f>IF(AND($B$35&lt;='1 - Titoli e shock'!$B$17,$C325&lt;='1 - Titoli e shock'!$B$17),$D$35*O$6/2*(1-'1 - Titoli e shock'!$B$8),0)</f>
        <v>0</v>
      </c>
      <c r="P325" s="20">
        <f>IF(AND($B$35&lt;='1 - Titoli e shock'!$B$17,$C325&lt;='1 - Titoli e shock'!$B$17),$D$35*P$6/2*(1-'1 - Titoli e shock'!$B$8),0)</f>
        <v>0</v>
      </c>
      <c r="Q325" s="20">
        <f>IF(AND($B$35&lt;='1 - Titoli e shock'!$B$17,$C325&lt;='1 - Titoli e shock'!$B$17),$D$35*Q$6/2*(1-'1 - Titoli e shock'!$B$8),0)</f>
        <v>0</v>
      </c>
      <c r="R325" s="20">
        <f>IF(AND($B$35&lt;='1 - Titoli e shock'!$B$17,$C325&lt;='1 - Titoli e shock'!$B$17),$D$35*R$6/2*(1-'1 - Titoli e shock'!$B$8),0)</f>
        <v>0</v>
      </c>
      <c r="S325" s="20">
        <f>IF(AND($B$35&lt;='1 - Titoli e shock'!$B$17,$C325&lt;='1 - Titoli e shock'!$B$17),$D$35*S$6/2*(1-'1 - Titoli e shock'!$B$8),0)</f>
        <v>0</v>
      </c>
      <c r="T325" s="20">
        <f>IF(AND($B$35&lt;='1 - Titoli e shock'!$B$17,$C325&lt;='1 - Titoli e shock'!$B$17),$D$35*T$6/2*(1-'1 - Titoli e shock'!$B$8),0)</f>
        <v>0</v>
      </c>
      <c r="U325" s="20">
        <f>IF(AND($B$35&lt;='1 - Titoli e shock'!$B$17,$C325&lt;='1 - Titoli e shock'!$B$17),$D$35*U$6/2*(1-'1 - Titoli e shock'!$B$8),0)</f>
        <v>0</v>
      </c>
    </row>
    <row r="326" spans="1:21">
      <c r="A326" s="15" t="s">
        <v>267</v>
      </c>
      <c r="B326" s="22" t="str">
        <f>A35</f>
        <v>BTP 2,80% dic 2028</v>
      </c>
      <c r="C326" s="13">
        <f>EDATE($B$35,6*20)</f>
        <v>50740</v>
      </c>
      <c r="D326" s="23">
        <f>MAX(1,(YEAR(C326)-YEAR('1 - Titoli e shock'!$B$6))+IF(MONTH(C326)*100+DAY(C326)&gt;MONTH('1 - Titoli e shock'!$B$6)*100+DAY('1 - Titoli e shock'!$B$6),1,0))</f>
        <v>13</v>
      </c>
      <c r="F326" s="20">
        <f>IF(AND($B$35&lt;='1 - Titoli e shock'!$B$17,$C326&lt;='1 - Titoli e shock'!$B$17),$D$35*F$6/2*(1-'1 - Titoli e shock'!$B$8),0)</f>
        <v>0</v>
      </c>
      <c r="G326" s="20">
        <f>IF(AND($B$35&lt;='1 - Titoli e shock'!$B$17,$C326&lt;='1 - Titoli e shock'!$B$17),$D$35*G$6/2*(1-'1 - Titoli e shock'!$B$8),0)</f>
        <v>0</v>
      </c>
      <c r="H326" s="20">
        <f>IF(AND($B$35&lt;='1 - Titoli e shock'!$B$17,$C326&lt;='1 - Titoli e shock'!$B$17),$D$35*H$6/2*(1-'1 - Titoli e shock'!$B$8),0)</f>
        <v>0</v>
      </c>
      <c r="I326" s="20">
        <f>IF(AND($B$35&lt;='1 - Titoli e shock'!$B$17,$C326&lt;='1 - Titoli e shock'!$B$17),$D$35*I$6/2*(1-'1 - Titoli e shock'!$B$8),0)</f>
        <v>0</v>
      </c>
      <c r="J326" s="20">
        <f>IF(AND($B$35&lt;='1 - Titoli e shock'!$B$17,$C326&lt;='1 - Titoli e shock'!$B$17),$D$35*J$6/2*(1-'1 - Titoli e shock'!$B$8),0)</f>
        <v>0</v>
      </c>
      <c r="K326" s="20">
        <f>IF(AND($B$35&lt;='1 - Titoli e shock'!$B$17,$C326&lt;='1 - Titoli e shock'!$B$17),$D$35*K$6/2*(1-'1 - Titoli e shock'!$B$8),0)</f>
        <v>0</v>
      </c>
      <c r="L326" s="20">
        <f>IF(AND($B$35&lt;='1 - Titoli e shock'!$B$17,$C326&lt;='1 - Titoli e shock'!$B$17),$D$35*L$6/2*(1-'1 - Titoli e shock'!$B$8),0)</f>
        <v>0</v>
      </c>
      <c r="M326" s="20">
        <f>IF(AND($B$35&lt;='1 - Titoli e shock'!$B$17,$C326&lt;='1 - Titoli e shock'!$B$17),$D$35*M$6/2*(1-'1 - Titoli e shock'!$B$8),0)</f>
        <v>0</v>
      </c>
      <c r="N326" s="20">
        <f>IF(AND($B$35&lt;='1 - Titoli e shock'!$B$17,$C326&lt;='1 - Titoli e shock'!$B$17),$D$35*N$6/2*(1-'1 - Titoli e shock'!$B$8),0)</f>
        <v>0</v>
      </c>
      <c r="O326" s="20">
        <f>IF(AND($B$35&lt;='1 - Titoli e shock'!$B$17,$C326&lt;='1 - Titoli e shock'!$B$17),$D$35*O$6/2*(1-'1 - Titoli e shock'!$B$8),0)</f>
        <v>0</v>
      </c>
      <c r="P326" s="20">
        <f>IF(AND($B$35&lt;='1 - Titoli e shock'!$B$17,$C326&lt;='1 - Titoli e shock'!$B$17),$D$35*P$6/2*(1-'1 - Titoli e shock'!$B$8),0)</f>
        <v>0</v>
      </c>
      <c r="Q326" s="20">
        <f>IF(AND($B$35&lt;='1 - Titoli e shock'!$B$17,$C326&lt;='1 - Titoli e shock'!$B$17),$D$35*Q$6/2*(1-'1 - Titoli e shock'!$B$8),0)</f>
        <v>0</v>
      </c>
      <c r="R326" s="20">
        <f>IF(AND($B$35&lt;='1 - Titoli e shock'!$B$17,$C326&lt;='1 - Titoli e shock'!$B$17),$D$35*R$6/2*(1-'1 - Titoli e shock'!$B$8),0)</f>
        <v>0</v>
      </c>
      <c r="S326" s="20">
        <f>IF(AND($B$35&lt;='1 - Titoli e shock'!$B$17,$C326&lt;='1 - Titoli e shock'!$B$17),$D$35*S$6/2*(1-'1 - Titoli e shock'!$B$8),0)</f>
        <v>0</v>
      </c>
      <c r="T326" s="20">
        <f>IF(AND($B$35&lt;='1 - Titoli e shock'!$B$17,$C326&lt;='1 - Titoli e shock'!$B$17),$D$35*T$6/2*(1-'1 - Titoli e shock'!$B$8),0)</f>
        <v>0</v>
      </c>
      <c r="U326" s="20">
        <f>IF(AND($B$35&lt;='1 - Titoli e shock'!$B$17,$C326&lt;='1 - Titoli e shock'!$B$17),$D$35*U$6/2*(1-'1 - Titoli e shock'!$B$8),0)</f>
        <v>0</v>
      </c>
    </row>
    <row r="327" spans="1:21">
      <c r="A327" s="15" t="s">
        <v>268</v>
      </c>
      <c r="B327" s="22" t="str">
        <f>A35</f>
        <v>BTP 2,80% dic 2028</v>
      </c>
      <c r="C327" s="13">
        <f>EDATE($B$35,120)</f>
        <v>50740</v>
      </c>
      <c r="D327" s="23">
        <f>MAX(1,(YEAR(C327)-YEAR('1 - Titoli e shock'!$B$6))+IF(MONTH(C327)*100+DAY(C327)&gt;MONTH('1 - Titoli e shock'!$B$6)*100+DAY('1 - Titoli e shock'!$B$6),1,0))</f>
        <v>13</v>
      </c>
      <c r="F327" s="20">
        <f>IF(AND($B$35&lt;='1 - Titoli e shock'!$B$17,$C327&lt;='1 - Titoli e shock'!$B$17),$D$35,0)</f>
        <v>0</v>
      </c>
      <c r="G327" s="20">
        <f>IF(AND($B$35&lt;='1 - Titoli e shock'!$B$17,$C327&lt;='1 - Titoli e shock'!$B$17),$D$35,0)</f>
        <v>0</v>
      </c>
      <c r="H327" s="20">
        <f>IF(AND($B$35&lt;='1 - Titoli e shock'!$B$17,$C327&lt;='1 - Titoli e shock'!$B$17),$D$35,0)</f>
        <v>0</v>
      </c>
      <c r="I327" s="20">
        <f>IF(AND($B$35&lt;='1 - Titoli e shock'!$B$17,$C327&lt;='1 - Titoli e shock'!$B$17),$D$35,0)</f>
        <v>0</v>
      </c>
      <c r="J327" s="20">
        <f>IF(AND($B$35&lt;='1 - Titoli e shock'!$B$17,$C327&lt;='1 - Titoli e shock'!$B$17),$D$35,0)</f>
        <v>0</v>
      </c>
      <c r="K327" s="20">
        <f>IF(AND($B$35&lt;='1 - Titoli e shock'!$B$17,$C327&lt;='1 - Titoli e shock'!$B$17),$D$35,0)</f>
        <v>0</v>
      </c>
      <c r="L327" s="20">
        <f>IF(AND($B$35&lt;='1 - Titoli e shock'!$B$17,$C327&lt;='1 - Titoli e shock'!$B$17),$D$35,0)</f>
        <v>0</v>
      </c>
      <c r="M327" s="20">
        <f>IF(AND($B$35&lt;='1 - Titoli e shock'!$B$17,$C327&lt;='1 - Titoli e shock'!$B$17),$D$35,0)</f>
        <v>0</v>
      </c>
      <c r="N327" s="20">
        <f>IF(AND($B$35&lt;='1 - Titoli e shock'!$B$17,$C327&lt;='1 - Titoli e shock'!$B$17),$D$35,0)</f>
        <v>0</v>
      </c>
      <c r="O327" s="20">
        <f>IF(AND($B$35&lt;='1 - Titoli e shock'!$B$17,$C327&lt;='1 - Titoli e shock'!$B$17),$D$35,0)</f>
        <v>0</v>
      </c>
      <c r="P327" s="20">
        <f>IF(AND($B$35&lt;='1 - Titoli e shock'!$B$17,$C327&lt;='1 - Titoli e shock'!$B$17),$D$35,0)</f>
        <v>0</v>
      </c>
      <c r="Q327" s="20">
        <f>IF(AND($B$35&lt;='1 - Titoli e shock'!$B$17,$C327&lt;='1 - Titoli e shock'!$B$17),$D$35,0)</f>
        <v>0</v>
      </c>
      <c r="R327" s="20">
        <f>IF(AND($B$35&lt;='1 - Titoli e shock'!$B$17,$C327&lt;='1 - Titoli e shock'!$B$17),$D$35,0)</f>
        <v>0</v>
      </c>
      <c r="S327" s="20">
        <f>IF(AND($B$35&lt;='1 - Titoli e shock'!$B$17,$C327&lt;='1 - Titoli e shock'!$B$17),$D$35,0)</f>
        <v>0</v>
      </c>
      <c r="T327" s="20">
        <f>IF(AND($B$35&lt;='1 - Titoli e shock'!$B$17,$C327&lt;='1 - Titoli e shock'!$B$17),$D$35,0)</f>
        <v>0</v>
      </c>
      <c r="U327" s="20">
        <f>IF(AND($B$35&lt;='1 - Titoli e shock'!$B$17,$C327&lt;='1 - Titoli e shock'!$B$17),$D$35,0)</f>
        <v>0</v>
      </c>
    </row>
    <row r="328" spans="1:21">
      <c r="A328" s="15" t="s">
        <v>267</v>
      </c>
      <c r="B328" s="22" t="str">
        <f>A36</f>
        <v>BTP 3,00% ott 2029</v>
      </c>
      <c r="C328" s="13">
        <f>EDATE($B$36,6*1)</f>
        <v>47574</v>
      </c>
      <c r="D328" s="23">
        <f>MAX(1,(YEAR(C328)-YEAR('1 - Titoli e shock'!$B$6))+IF(MONTH(C328)*100+DAY(C328)&gt;MONTH('1 - Titoli e shock'!$B$6)*100+DAY('1 - Titoli e shock'!$B$6),1,0))</f>
        <v>4</v>
      </c>
      <c r="F328" s="20">
        <f>IF(AND($B$36&lt;='1 - Titoli e shock'!$B$17,$C328&lt;='1 - Titoli e shock'!$B$17),$D$36*F$6/2*(1-'1 - Titoli e shock'!$B$8),0)</f>
        <v>306.75057986834372</v>
      </c>
      <c r="G328" s="20">
        <f>IF(AND($B$36&lt;='1 - Titoli e shock'!$B$17,$C328&lt;='1 - Titoli e shock'!$B$17),$D$36*G$6/2*(1-'1 - Titoli e shock'!$B$8),0)</f>
        <v>393.73928012080239</v>
      </c>
      <c r="H328" s="20">
        <f>IF(AND($B$36&lt;='1 - Titoli e shock'!$B$17,$C328&lt;='1 - Titoli e shock'!$B$17),$D$36*H$6/2*(1-'1 - Titoli e shock'!$B$8),0)</f>
        <v>480.3127049752905</v>
      </c>
      <c r="I328" s="20">
        <f>IF(AND($B$36&lt;='1 - Titoli e shock'!$B$17,$C328&lt;='1 - Titoli e shock'!$B$17),$D$36*I$6/2*(1-'1 - Titoli e shock'!$B$8),0)</f>
        <v>566.47674569991568</v>
      </c>
      <c r="J328" s="20">
        <f>IF(AND($B$36&lt;='1 - Titoli e shock'!$B$17,$C328&lt;='1 - Titoli e shock'!$B$17),$D$36*J$6/2*(1-'1 - Titoli e shock'!$B$8),0)</f>
        <v>415.42133587383194</v>
      </c>
      <c r="K328" s="20">
        <f>IF(AND($B$36&lt;='1 - Titoli e shock'!$B$17,$C328&lt;='1 - Titoli e shock'!$B$17),$D$36*K$6/2*(1-'1 - Titoli e shock'!$B$8),0)</f>
        <v>437.0775304805544</v>
      </c>
      <c r="L328" s="20">
        <f>IF(AND($B$36&lt;='1 - Titoli e shock'!$B$17,$C328&lt;='1 - Titoli e shock'!$B$17),$D$36*L$6/2*(1-'1 - Titoli e shock'!$B$8),0)</f>
        <v>445.73278789975348</v>
      </c>
      <c r="M328" s="20">
        <f>IF(AND($B$36&lt;='1 - Titoli e shock'!$B$17,$C328&lt;='1 - Titoli e shock'!$B$17),$D$36*M$6/2*(1-'1 - Titoli e shock'!$B$8),0)</f>
        <v>454.38392819608652</v>
      </c>
      <c r="N328" s="20">
        <f>IF(AND($B$36&lt;='1 - Titoli e shock'!$B$17,$C328&lt;='1 - Titoli e shock'!$B$17),$D$36*N$6/2*(1-'1 - Titoli e shock'!$B$8),0)</f>
        <v>463.03095723925873</v>
      </c>
      <c r="O328" s="20">
        <f>IF(AND($B$36&lt;='1 - Titoli e shock'!$B$17,$C328&lt;='1 - Titoli e shock'!$B$17),$D$36*O$6/2*(1-'1 - Titoli e shock'!$B$8),0)</f>
        <v>471.67388088503014</v>
      </c>
      <c r="P328" s="20">
        <f>IF(AND($B$36&lt;='1 - Titoli e shock'!$B$17,$C328&lt;='1 - Titoli e shock'!$B$17),$D$36*P$6/2*(1-'1 - Titoli e shock'!$B$8),0)</f>
        <v>488.94743533806673</v>
      </c>
      <c r="Q328" s="20">
        <f>IF(AND($B$36&lt;='1 - Titoli e shock'!$B$17,$C328&lt;='1 - Titoli e shock'!$B$17),$D$36*Q$6/2*(1-'1 - Titoli e shock'!$B$8),0)</f>
        <v>497.57807778761389</v>
      </c>
      <c r="R328" s="20">
        <f>IF(AND($B$36&lt;='1 - Titoli e shock'!$B$17,$C328&lt;='1 - Titoli e shock'!$B$17),$D$36*R$6/2*(1-'1 - Titoli e shock'!$B$8),0)</f>
        <v>506.20463812441159</v>
      </c>
      <c r="S328" s="20">
        <f>IF(AND($B$36&lt;='1 - Titoli e shock'!$B$17,$C328&lt;='1 - Titoli e shock'!$B$17),$D$36*S$6/2*(1-'1 - Titoli e shock'!$B$8),0)</f>
        <v>514.8271221352536</v>
      </c>
      <c r="T328" s="20">
        <f>IF(AND($B$36&lt;='1 - Titoli e shock'!$B$17,$C328&lt;='1 - Titoli e shock'!$B$17),$D$36*T$6/2*(1-'1 - Titoli e shock'!$B$8),0)</f>
        <v>523.44553559326846</v>
      </c>
      <c r="U328" s="20">
        <f>IF(AND($B$36&lt;='1 - Titoli e shock'!$B$17,$C328&lt;='1 - Titoli e shock'!$B$17),$D$36*U$6/2*(1-'1 - Titoli e shock'!$B$8),0)</f>
        <v>652.23715557304899</v>
      </c>
    </row>
    <row r="329" spans="1:21">
      <c r="A329" s="15" t="s">
        <v>267</v>
      </c>
      <c r="B329" s="22" t="str">
        <f>A36</f>
        <v>BTP 3,00% ott 2029</v>
      </c>
      <c r="C329" s="13">
        <f>EDATE($B$36,6*2)</f>
        <v>47757</v>
      </c>
      <c r="D329" s="23">
        <f>MAX(1,(YEAR(C329)-YEAR('1 - Titoli e shock'!$B$6))+IF(MONTH(C329)*100+DAY(C329)&gt;MONTH('1 - Titoli e shock'!$B$6)*100+DAY('1 - Titoli e shock'!$B$6),1,0))</f>
        <v>4</v>
      </c>
      <c r="F329" s="20">
        <f>IF(AND($B$36&lt;='1 - Titoli e shock'!$B$17,$C329&lt;='1 - Titoli e shock'!$B$17),$D$36*F$6/2*(1-'1 - Titoli e shock'!$B$8),0)</f>
        <v>306.75057986834372</v>
      </c>
      <c r="G329" s="20">
        <f>IF(AND($B$36&lt;='1 - Titoli e shock'!$B$17,$C329&lt;='1 - Titoli e shock'!$B$17),$D$36*G$6/2*(1-'1 - Titoli e shock'!$B$8),0)</f>
        <v>393.73928012080239</v>
      </c>
      <c r="H329" s="20">
        <f>IF(AND($B$36&lt;='1 - Titoli e shock'!$B$17,$C329&lt;='1 - Titoli e shock'!$B$17),$D$36*H$6/2*(1-'1 - Titoli e shock'!$B$8),0)</f>
        <v>480.3127049752905</v>
      </c>
      <c r="I329" s="20">
        <f>IF(AND($B$36&lt;='1 - Titoli e shock'!$B$17,$C329&lt;='1 - Titoli e shock'!$B$17),$D$36*I$6/2*(1-'1 - Titoli e shock'!$B$8),0)</f>
        <v>566.47674569991568</v>
      </c>
      <c r="J329" s="20">
        <f>IF(AND($B$36&lt;='1 - Titoli e shock'!$B$17,$C329&lt;='1 - Titoli e shock'!$B$17),$D$36*J$6/2*(1-'1 - Titoli e shock'!$B$8),0)</f>
        <v>415.42133587383194</v>
      </c>
      <c r="K329" s="20">
        <f>IF(AND($B$36&lt;='1 - Titoli e shock'!$B$17,$C329&lt;='1 - Titoli e shock'!$B$17),$D$36*K$6/2*(1-'1 - Titoli e shock'!$B$8),0)</f>
        <v>437.0775304805544</v>
      </c>
      <c r="L329" s="20">
        <f>IF(AND($B$36&lt;='1 - Titoli e shock'!$B$17,$C329&lt;='1 - Titoli e shock'!$B$17),$D$36*L$6/2*(1-'1 - Titoli e shock'!$B$8),0)</f>
        <v>445.73278789975348</v>
      </c>
      <c r="M329" s="20">
        <f>IF(AND($B$36&lt;='1 - Titoli e shock'!$B$17,$C329&lt;='1 - Titoli e shock'!$B$17),$D$36*M$6/2*(1-'1 - Titoli e shock'!$B$8),0)</f>
        <v>454.38392819608652</v>
      </c>
      <c r="N329" s="20">
        <f>IF(AND($B$36&lt;='1 - Titoli e shock'!$B$17,$C329&lt;='1 - Titoli e shock'!$B$17),$D$36*N$6/2*(1-'1 - Titoli e shock'!$B$8),0)</f>
        <v>463.03095723925873</v>
      </c>
      <c r="O329" s="20">
        <f>IF(AND($B$36&lt;='1 - Titoli e shock'!$B$17,$C329&lt;='1 - Titoli e shock'!$B$17),$D$36*O$6/2*(1-'1 - Titoli e shock'!$B$8),0)</f>
        <v>471.67388088503014</v>
      </c>
      <c r="P329" s="20">
        <f>IF(AND($B$36&lt;='1 - Titoli e shock'!$B$17,$C329&lt;='1 - Titoli e shock'!$B$17),$D$36*P$6/2*(1-'1 - Titoli e shock'!$B$8),0)</f>
        <v>488.94743533806673</v>
      </c>
      <c r="Q329" s="20">
        <f>IF(AND($B$36&lt;='1 - Titoli e shock'!$B$17,$C329&lt;='1 - Titoli e shock'!$B$17),$D$36*Q$6/2*(1-'1 - Titoli e shock'!$B$8),0)</f>
        <v>497.57807778761389</v>
      </c>
      <c r="R329" s="20">
        <f>IF(AND($B$36&lt;='1 - Titoli e shock'!$B$17,$C329&lt;='1 - Titoli e shock'!$B$17),$D$36*R$6/2*(1-'1 - Titoli e shock'!$B$8),0)</f>
        <v>506.20463812441159</v>
      </c>
      <c r="S329" s="20">
        <f>IF(AND($B$36&lt;='1 - Titoli e shock'!$B$17,$C329&lt;='1 - Titoli e shock'!$B$17),$D$36*S$6/2*(1-'1 - Titoli e shock'!$B$8),0)</f>
        <v>514.8271221352536</v>
      </c>
      <c r="T329" s="20">
        <f>IF(AND($B$36&lt;='1 - Titoli e shock'!$B$17,$C329&lt;='1 - Titoli e shock'!$B$17),$D$36*T$6/2*(1-'1 - Titoli e shock'!$B$8),0)</f>
        <v>523.44553559326846</v>
      </c>
      <c r="U329" s="20">
        <f>IF(AND($B$36&lt;='1 - Titoli e shock'!$B$17,$C329&lt;='1 - Titoli e shock'!$B$17),$D$36*U$6/2*(1-'1 - Titoli e shock'!$B$8),0)</f>
        <v>652.23715557304899</v>
      </c>
    </row>
    <row r="330" spans="1:21">
      <c r="A330" s="15" t="s">
        <v>267</v>
      </c>
      <c r="B330" s="22" t="str">
        <f>A36</f>
        <v>BTP 3,00% ott 2029</v>
      </c>
      <c r="C330" s="13">
        <f>EDATE($B$36,6*3)</f>
        <v>47939</v>
      </c>
      <c r="D330" s="23">
        <f>MAX(1,(YEAR(C330)-YEAR('1 - Titoli e shock'!$B$6))+IF(MONTH(C330)*100+DAY(C330)&gt;MONTH('1 - Titoli e shock'!$B$6)*100+DAY('1 - Titoli e shock'!$B$6),1,0))</f>
        <v>5</v>
      </c>
      <c r="F330" s="20">
        <f>IF(AND($B$36&lt;='1 - Titoli e shock'!$B$17,$C330&lt;='1 - Titoli e shock'!$B$17),$D$36*F$6/2*(1-'1 - Titoli e shock'!$B$8),0)</f>
        <v>306.75057986834372</v>
      </c>
      <c r="G330" s="20">
        <f>IF(AND($B$36&lt;='1 - Titoli e shock'!$B$17,$C330&lt;='1 - Titoli e shock'!$B$17),$D$36*G$6/2*(1-'1 - Titoli e shock'!$B$8),0)</f>
        <v>393.73928012080239</v>
      </c>
      <c r="H330" s="20">
        <f>IF(AND($B$36&lt;='1 - Titoli e shock'!$B$17,$C330&lt;='1 - Titoli e shock'!$B$17),$D$36*H$6/2*(1-'1 - Titoli e shock'!$B$8),0)</f>
        <v>480.3127049752905</v>
      </c>
      <c r="I330" s="20">
        <f>IF(AND($B$36&lt;='1 - Titoli e shock'!$B$17,$C330&lt;='1 - Titoli e shock'!$B$17),$D$36*I$6/2*(1-'1 - Titoli e shock'!$B$8),0)</f>
        <v>566.47674569991568</v>
      </c>
      <c r="J330" s="20">
        <f>IF(AND($B$36&lt;='1 - Titoli e shock'!$B$17,$C330&lt;='1 - Titoli e shock'!$B$17),$D$36*J$6/2*(1-'1 - Titoli e shock'!$B$8),0)</f>
        <v>415.42133587383194</v>
      </c>
      <c r="K330" s="20">
        <f>IF(AND($B$36&lt;='1 - Titoli e shock'!$B$17,$C330&lt;='1 - Titoli e shock'!$B$17),$D$36*K$6/2*(1-'1 - Titoli e shock'!$B$8),0)</f>
        <v>437.0775304805544</v>
      </c>
      <c r="L330" s="20">
        <f>IF(AND($B$36&lt;='1 - Titoli e shock'!$B$17,$C330&lt;='1 - Titoli e shock'!$B$17),$D$36*L$6/2*(1-'1 - Titoli e shock'!$B$8),0)</f>
        <v>445.73278789975348</v>
      </c>
      <c r="M330" s="20">
        <f>IF(AND($B$36&lt;='1 - Titoli e shock'!$B$17,$C330&lt;='1 - Titoli e shock'!$B$17),$D$36*M$6/2*(1-'1 - Titoli e shock'!$B$8),0)</f>
        <v>454.38392819608652</v>
      </c>
      <c r="N330" s="20">
        <f>IF(AND($B$36&lt;='1 - Titoli e shock'!$B$17,$C330&lt;='1 - Titoli e shock'!$B$17),$D$36*N$6/2*(1-'1 - Titoli e shock'!$B$8),0)</f>
        <v>463.03095723925873</v>
      </c>
      <c r="O330" s="20">
        <f>IF(AND($B$36&lt;='1 - Titoli e shock'!$B$17,$C330&lt;='1 - Titoli e shock'!$B$17),$D$36*O$6/2*(1-'1 - Titoli e shock'!$B$8),0)</f>
        <v>471.67388088503014</v>
      </c>
      <c r="P330" s="20">
        <f>IF(AND($B$36&lt;='1 - Titoli e shock'!$B$17,$C330&lt;='1 - Titoli e shock'!$B$17),$D$36*P$6/2*(1-'1 - Titoli e shock'!$B$8),0)</f>
        <v>488.94743533806673</v>
      </c>
      <c r="Q330" s="20">
        <f>IF(AND($B$36&lt;='1 - Titoli e shock'!$B$17,$C330&lt;='1 - Titoli e shock'!$B$17),$D$36*Q$6/2*(1-'1 - Titoli e shock'!$B$8),0)</f>
        <v>497.57807778761389</v>
      </c>
      <c r="R330" s="20">
        <f>IF(AND($B$36&lt;='1 - Titoli e shock'!$B$17,$C330&lt;='1 - Titoli e shock'!$B$17),$D$36*R$6/2*(1-'1 - Titoli e shock'!$B$8),0)</f>
        <v>506.20463812441159</v>
      </c>
      <c r="S330" s="20">
        <f>IF(AND($B$36&lt;='1 - Titoli e shock'!$B$17,$C330&lt;='1 - Titoli e shock'!$B$17),$D$36*S$6/2*(1-'1 - Titoli e shock'!$B$8),0)</f>
        <v>514.8271221352536</v>
      </c>
      <c r="T330" s="20">
        <f>IF(AND($B$36&lt;='1 - Titoli e shock'!$B$17,$C330&lt;='1 - Titoli e shock'!$B$17),$D$36*T$6/2*(1-'1 - Titoli e shock'!$B$8),0)</f>
        <v>523.44553559326846</v>
      </c>
      <c r="U330" s="20">
        <f>IF(AND($B$36&lt;='1 - Titoli e shock'!$B$17,$C330&lt;='1 - Titoli e shock'!$B$17),$D$36*U$6/2*(1-'1 - Titoli e shock'!$B$8),0)</f>
        <v>652.23715557304899</v>
      </c>
    </row>
    <row r="331" spans="1:21">
      <c r="A331" s="15" t="s">
        <v>267</v>
      </c>
      <c r="B331" s="22" t="str">
        <f>A36</f>
        <v>BTP 3,00% ott 2029</v>
      </c>
      <c r="C331" s="13">
        <f>EDATE($B$36,6*4)</f>
        <v>48122</v>
      </c>
      <c r="D331" s="23">
        <f>MAX(1,(YEAR(C331)-YEAR('1 - Titoli e shock'!$B$6))+IF(MONTH(C331)*100+DAY(C331)&gt;MONTH('1 - Titoli e shock'!$B$6)*100+DAY('1 - Titoli e shock'!$B$6),1,0))</f>
        <v>5</v>
      </c>
      <c r="F331" s="20">
        <f>IF(AND($B$36&lt;='1 - Titoli e shock'!$B$17,$C331&lt;='1 - Titoli e shock'!$B$17),$D$36*F$6/2*(1-'1 - Titoli e shock'!$B$8),0)</f>
        <v>306.75057986834372</v>
      </c>
      <c r="G331" s="20">
        <f>IF(AND($B$36&lt;='1 - Titoli e shock'!$B$17,$C331&lt;='1 - Titoli e shock'!$B$17),$D$36*G$6/2*(1-'1 - Titoli e shock'!$B$8),0)</f>
        <v>393.73928012080239</v>
      </c>
      <c r="H331" s="20">
        <f>IF(AND($B$36&lt;='1 - Titoli e shock'!$B$17,$C331&lt;='1 - Titoli e shock'!$B$17),$D$36*H$6/2*(1-'1 - Titoli e shock'!$B$8),0)</f>
        <v>480.3127049752905</v>
      </c>
      <c r="I331" s="20">
        <f>IF(AND($B$36&lt;='1 - Titoli e shock'!$B$17,$C331&lt;='1 - Titoli e shock'!$B$17),$D$36*I$6/2*(1-'1 - Titoli e shock'!$B$8),0)</f>
        <v>566.47674569991568</v>
      </c>
      <c r="J331" s="20">
        <f>IF(AND($B$36&lt;='1 - Titoli e shock'!$B$17,$C331&lt;='1 - Titoli e shock'!$B$17),$D$36*J$6/2*(1-'1 - Titoli e shock'!$B$8),0)</f>
        <v>415.42133587383194</v>
      </c>
      <c r="K331" s="20">
        <f>IF(AND($B$36&lt;='1 - Titoli e shock'!$B$17,$C331&lt;='1 - Titoli e shock'!$B$17),$D$36*K$6/2*(1-'1 - Titoli e shock'!$B$8),0)</f>
        <v>437.0775304805544</v>
      </c>
      <c r="L331" s="20">
        <f>IF(AND($B$36&lt;='1 - Titoli e shock'!$B$17,$C331&lt;='1 - Titoli e shock'!$B$17),$D$36*L$6/2*(1-'1 - Titoli e shock'!$B$8),0)</f>
        <v>445.73278789975348</v>
      </c>
      <c r="M331" s="20">
        <f>IF(AND($B$36&lt;='1 - Titoli e shock'!$B$17,$C331&lt;='1 - Titoli e shock'!$B$17),$D$36*M$6/2*(1-'1 - Titoli e shock'!$B$8),0)</f>
        <v>454.38392819608652</v>
      </c>
      <c r="N331" s="20">
        <f>IF(AND($B$36&lt;='1 - Titoli e shock'!$B$17,$C331&lt;='1 - Titoli e shock'!$B$17),$D$36*N$6/2*(1-'1 - Titoli e shock'!$B$8),0)</f>
        <v>463.03095723925873</v>
      </c>
      <c r="O331" s="20">
        <f>IF(AND($B$36&lt;='1 - Titoli e shock'!$B$17,$C331&lt;='1 - Titoli e shock'!$B$17),$D$36*O$6/2*(1-'1 - Titoli e shock'!$B$8),0)</f>
        <v>471.67388088503014</v>
      </c>
      <c r="P331" s="20">
        <f>IF(AND($B$36&lt;='1 - Titoli e shock'!$B$17,$C331&lt;='1 - Titoli e shock'!$B$17),$D$36*P$6/2*(1-'1 - Titoli e shock'!$B$8),0)</f>
        <v>488.94743533806673</v>
      </c>
      <c r="Q331" s="20">
        <f>IF(AND($B$36&lt;='1 - Titoli e shock'!$B$17,$C331&lt;='1 - Titoli e shock'!$B$17),$D$36*Q$6/2*(1-'1 - Titoli e shock'!$B$8),0)</f>
        <v>497.57807778761389</v>
      </c>
      <c r="R331" s="20">
        <f>IF(AND($B$36&lt;='1 - Titoli e shock'!$B$17,$C331&lt;='1 - Titoli e shock'!$B$17),$D$36*R$6/2*(1-'1 - Titoli e shock'!$B$8),0)</f>
        <v>506.20463812441159</v>
      </c>
      <c r="S331" s="20">
        <f>IF(AND($B$36&lt;='1 - Titoli e shock'!$B$17,$C331&lt;='1 - Titoli e shock'!$B$17),$D$36*S$6/2*(1-'1 - Titoli e shock'!$B$8),0)</f>
        <v>514.8271221352536</v>
      </c>
      <c r="T331" s="20">
        <f>IF(AND($B$36&lt;='1 - Titoli e shock'!$B$17,$C331&lt;='1 - Titoli e shock'!$B$17),$D$36*T$6/2*(1-'1 - Titoli e shock'!$B$8),0)</f>
        <v>523.44553559326846</v>
      </c>
      <c r="U331" s="20">
        <f>IF(AND($B$36&lt;='1 - Titoli e shock'!$B$17,$C331&lt;='1 - Titoli e shock'!$B$17),$D$36*U$6/2*(1-'1 - Titoli e shock'!$B$8),0)</f>
        <v>652.23715557304899</v>
      </c>
    </row>
    <row r="332" spans="1:21">
      <c r="A332" s="15" t="s">
        <v>267</v>
      </c>
      <c r="B332" s="22" t="str">
        <f>A36</f>
        <v>BTP 3,00% ott 2029</v>
      </c>
      <c r="C332" s="13">
        <f>EDATE($B$36,6*5)</f>
        <v>48305</v>
      </c>
      <c r="D332" s="23">
        <f>MAX(1,(YEAR(C332)-YEAR('1 - Titoli e shock'!$B$6))+IF(MONTH(C332)*100+DAY(C332)&gt;MONTH('1 - Titoli e shock'!$B$6)*100+DAY('1 - Titoli e shock'!$B$6),1,0))</f>
        <v>6</v>
      </c>
      <c r="F332" s="20">
        <f>IF(AND($B$36&lt;='1 - Titoli e shock'!$B$17,$C332&lt;='1 - Titoli e shock'!$B$17),$D$36*F$6/2*(1-'1 - Titoli e shock'!$B$8),0)</f>
        <v>306.75057986834372</v>
      </c>
      <c r="G332" s="20">
        <f>IF(AND($B$36&lt;='1 - Titoli e shock'!$B$17,$C332&lt;='1 - Titoli e shock'!$B$17),$D$36*G$6/2*(1-'1 - Titoli e shock'!$B$8),0)</f>
        <v>393.73928012080239</v>
      </c>
      <c r="H332" s="20">
        <f>IF(AND($B$36&lt;='1 - Titoli e shock'!$B$17,$C332&lt;='1 - Titoli e shock'!$B$17),$D$36*H$6/2*(1-'1 - Titoli e shock'!$B$8),0)</f>
        <v>480.3127049752905</v>
      </c>
      <c r="I332" s="20">
        <f>IF(AND($B$36&lt;='1 - Titoli e shock'!$B$17,$C332&lt;='1 - Titoli e shock'!$B$17),$D$36*I$6/2*(1-'1 - Titoli e shock'!$B$8),0)</f>
        <v>566.47674569991568</v>
      </c>
      <c r="J332" s="20">
        <f>IF(AND($B$36&lt;='1 - Titoli e shock'!$B$17,$C332&lt;='1 - Titoli e shock'!$B$17),$D$36*J$6/2*(1-'1 - Titoli e shock'!$B$8),0)</f>
        <v>415.42133587383194</v>
      </c>
      <c r="K332" s="20">
        <f>IF(AND($B$36&lt;='1 - Titoli e shock'!$B$17,$C332&lt;='1 - Titoli e shock'!$B$17),$D$36*K$6/2*(1-'1 - Titoli e shock'!$B$8),0)</f>
        <v>437.0775304805544</v>
      </c>
      <c r="L332" s="20">
        <f>IF(AND($B$36&lt;='1 - Titoli e shock'!$B$17,$C332&lt;='1 - Titoli e shock'!$B$17),$D$36*L$6/2*(1-'1 - Titoli e shock'!$B$8),0)</f>
        <v>445.73278789975348</v>
      </c>
      <c r="M332" s="20">
        <f>IF(AND($B$36&lt;='1 - Titoli e shock'!$B$17,$C332&lt;='1 - Titoli e shock'!$B$17),$D$36*M$6/2*(1-'1 - Titoli e shock'!$B$8),0)</f>
        <v>454.38392819608652</v>
      </c>
      <c r="N332" s="20">
        <f>IF(AND($B$36&lt;='1 - Titoli e shock'!$B$17,$C332&lt;='1 - Titoli e shock'!$B$17),$D$36*N$6/2*(1-'1 - Titoli e shock'!$B$8),0)</f>
        <v>463.03095723925873</v>
      </c>
      <c r="O332" s="20">
        <f>IF(AND($B$36&lt;='1 - Titoli e shock'!$B$17,$C332&lt;='1 - Titoli e shock'!$B$17),$D$36*O$6/2*(1-'1 - Titoli e shock'!$B$8),0)</f>
        <v>471.67388088503014</v>
      </c>
      <c r="P332" s="20">
        <f>IF(AND($B$36&lt;='1 - Titoli e shock'!$B$17,$C332&lt;='1 - Titoli e shock'!$B$17),$D$36*P$6/2*(1-'1 - Titoli e shock'!$B$8),0)</f>
        <v>488.94743533806673</v>
      </c>
      <c r="Q332" s="20">
        <f>IF(AND($B$36&lt;='1 - Titoli e shock'!$B$17,$C332&lt;='1 - Titoli e shock'!$B$17),$D$36*Q$6/2*(1-'1 - Titoli e shock'!$B$8),0)</f>
        <v>497.57807778761389</v>
      </c>
      <c r="R332" s="20">
        <f>IF(AND($B$36&lt;='1 - Titoli e shock'!$B$17,$C332&lt;='1 - Titoli e shock'!$B$17),$D$36*R$6/2*(1-'1 - Titoli e shock'!$B$8),0)</f>
        <v>506.20463812441159</v>
      </c>
      <c r="S332" s="20">
        <f>IF(AND($B$36&lt;='1 - Titoli e shock'!$B$17,$C332&lt;='1 - Titoli e shock'!$B$17),$D$36*S$6/2*(1-'1 - Titoli e shock'!$B$8),0)</f>
        <v>514.8271221352536</v>
      </c>
      <c r="T332" s="20">
        <f>IF(AND($B$36&lt;='1 - Titoli e shock'!$B$17,$C332&lt;='1 - Titoli e shock'!$B$17),$D$36*T$6/2*(1-'1 - Titoli e shock'!$B$8),0)</f>
        <v>523.44553559326846</v>
      </c>
      <c r="U332" s="20">
        <f>IF(AND($B$36&lt;='1 - Titoli e shock'!$B$17,$C332&lt;='1 - Titoli e shock'!$B$17),$D$36*U$6/2*(1-'1 - Titoli e shock'!$B$8),0)</f>
        <v>652.23715557304899</v>
      </c>
    </row>
    <row r="333" spans="1:21">
      <c r="A333" s="15" t="s">
        <v>267</v>
      </c>
      <c r="B333" s="22" t="str">
        <f>A36</f>
        <v>BTP 3,00% ott 2029</v>
      </c>
      <c r="C333" s="13">
        <f>EDATE($B$36,6*6)</f>
        <v>48488</v>
      </c>
      <c r="D333" s="23">
        <f>MAX(1,(YEAR(C333)-YEAR('1 - Titoli e shock'!$B$6))+IF(MONTH(C333)*100+DAY(C333)&gt;MONTH('1 - Titoli e shock'!$B$6)*100+DAY('1 - Titoli e shock'!$B$6),1,0))</f>
        <v>6</v>
      </c>
      <c r="F333" s="20">
        <f>IF(AND($B$36&lt;='1 - Titoli e shock'!$B$17,$C333&lt;='1 - Titoli e shock'!$B$17),$D$36*F$6/2*(1-'1 - Titoli e shock'!$B$8),0)</f>
        <v>306.75057986834372</v>
      </c>
      <c r="G333" s="20">
        <f>IF(AND($B$36&lt;='1 - Titoli e shock'!$B$17,$C333&lt;='1 - Titoli e shock'!$B$17),$D$36*G$6/2*(1-'1 - Titoli e shock'!$B$8),0)</f>
        <v>393.73928012080239</v>
      </c>
      <c r="H333" s="20">
        <f>IF(AND($B$36&lt;='1 - Titoli e shock'!$B$17,$C333&lt;='1 - Titoli e shock'!$B$17),$D$36*H$6/2*(1-'1 - Titoli e shock'!$B$8),0)</f>
        <v>480.3127049752905</v>
      </c>
      <c r="I333" s="20">
        <f>IF(AND($B$36&lt;='1 - Titoli e shock'!$B$17,$C333&lt;='1 - Titoli e shock'!$B$17),$D$36*I$6/2*(1-'1 - Titoli e shock'!$B$8),0)</f>
        <v>566.47674569991568</v>
      </c>
      <c r="J333" s="20">
        <f>IF(AND($B$36&lt;='1 - Titoli e shock'!$B$17,$C333&lt;='1 - Titoli e shock'!$B$17),$D$36*J$6/2*(1-'1 - Titoli e shock'!$B$8),0)</f>
        <v>415.42133587383194</v>
      </c>
      <c r="K333" s="20">
        <f>IF(AND($B$36&lt;='1 - Titoli e shock'!$B$17,$C333&lt;='1 - Titoli e shock'!$B$17),$D$36*K$6/2*(1-'1 - Titoli e shock'!$B$8),0)</f>
        <v>437.0775304805544</v>
      </c>
      <c r="L333" s="20">
        <f>IF(AND($B$36&lt;='1 - Titoli e shock'!$B$17,$C333&lt;='1 - Titoli e shock'!$B$17),$D$36*L$6/2*(1-'1 - Titoli e shock'!$B$8),0)</f>
        <v>445.73278789975348</v>
      </c>
      <c r="M333" s="20">
        <f>IF(AND($B$36&lt;='1 - Titoli e shock'!$B$17,$C333&lt;='1 - Titoli e shock'!$B$17),$D$36*M$6/2*(1-'1 - Titoli e shock'!$B$8),0)</f>
        <v>454.38392819608652</v>
      </c>
      <c r="N333" s="20">
        <f>IF(AND($B$36&lt;='1 - Titoli e shock'!$B$17,$C333&lt;='1 - Titoli e shock'!$B$17),$D$36*N$6/2*(1-'1 - Titoli e shock'!$B$8),0)</f>
        <v>463.03095723925873</v>
      </c>
      <c r="O333" s="20">
        <f>IF(AND($B$36&lt;='1 - Titoli e shock'!$B$17,$C333&lt;='1 - Titoli e shock'!$B$17),$D$36*O$6/2*(1-'1 - Titoli e shock'!$B$8),0)</f>
        <v>471.67388088503014</v>
      </c>
      <c r="P333" s="20">
        <f>IF(AND($B$36&lt;='1 - Titoli e shock'!$B$17,$C333&lt;='1 - Titoli e shock'!$B$17),$D$36*P$6/2*(1-'1 - Titoli e shock'!$B$8),0)</f>
        <v>488.94743533806673</v>
      </c>
      <c r="Q333" s="20">
        <f>IF(AND($B$36&lt;='1 - Titoli e shock'!$B$17,$C333&lt;='1 - Titoli e shock'!$B$17),$D$36*Q$6/2*(1-'1 - Titoli e shock'!$B$8),0)</f>
        <v>497.57807778761389</v>
      </c>
      <c r="R333" s="20">
        <f>IF(AND($B$36&lt;='1 - Titoli e shock'!$B$17,$C333&lt;='1 - Titoli e shock'!$B$17),$D$36*R$6/2*(1-'1 - Titoli e shock'!$B$8),0)</f>
        <v>506.20463812441159</v>
      </c>
      <c r="S333" s="20">
        <f>IF(AND($B$36&lt;='1 - Titoli e shock'!$B$17,$C333&lt;='1 - Titoli e shock'!$B$17),$D$36*S$6/2*(1-'1 - Titoli e shock'!$B$8),0)</f>
        <v>514.8271221352536</v>
      </c>
      <c r="T333" s="20">
        <f>IF(AND($B$36&lt;='1 - Titoli e shock'!$B$17,$C333&lt;='1 - Titoli e shock'!$B$17),$D$36*T$6/2*(1-'1 - Titoli e shock'!$B$8),0)</f>
        <v>523.44553559326846</v>
      </c>
      <c r="U333" s="20">
        <f>IF(AND($B$36&lt;='1 - Titoli e shock'!$B$17,$C333&lt;='1 - Titoli e shock'!$B$17),$D$36*U$6/2*(1-'1 - Titoli e shock'!$B$8),0)</f>
        <v>652.23715557304899</v>
      </c>
    </row>
    <row r="334" spans="1:21">
      <c r="A334" s="15" t="s">
        <v>267</v>
      </c>
      <c r="B334" s="22" t="str">
        <f>A36</f>
        <v>BTP 3,00% ott 2029</v>
      </c>
      <c r="C334" s="13">
        <f>EDATE($B$36,6*7)</f>
        <v>48670</v>
      </c>
      <c r="D334" s="23">
        <f>MAX(1,(YEAR(C334)-YEAR('1 - Titoli e shock'!$B$6))+IF(MONTH(C334)*100+DAY(C334)&gt;MONTH('1 - Titoli e shock'!$B$6)*100+DAY('1 - Titoli e shock'!$B$6),1,0))</f>
        <v>7</v>
      </c>
      <c r="F334" s="20">
        <f>IF(AND($B$36&lt;='1 - Titoli e shock'!$B$17,$C334&lt;='1 - Titoli e shock'!$B$17),$D$36*F$6/2*(1-'1 - Titoli e shock'!$B$8),0)</f>
        <v>306.75057986834372</v>
      </c>
      <c r="G334" s="20">
        <f>IF(AND($B$36&lt;='1 - Titoli e shock'!$B$17,$C334&lt;='1 - Titoli e shock'!$B$17),$D$36*G$6/2*(1-'1 - Titoli e shock'!$B$8),0)</f>
        <v>393.73928012080239</v>
      </c>
      <c r="H334" s="20">
        <f>IF(AND($B$36&lt;='1 - Titoli e shock'!$B$17,$C334&lt;='1 - Titoli e shock'!$B$17),$D$36*H$6/2*(1-'1 - Titoli e shock'!$B$8),0)</f>
        <v>480.3127049752905</v>
      </c>
      <c r="I334" s="20">
        <f>IF(AND($B$36&lt;='1 - Titoli e shock'!$B$17,$C334&lt;='1 - Titoli e shock'!$B$17),$D$36*I$6/2*(1-'1 - Titoli e shock'!$B$8),0)</f>
        <v>566.47674569991568</v>
      </c>
      <c r="J334" s="20">
        <f>IF(AND($B$36&lt;='1 - Titoli e shock'!$B$17,$C334&lt;='1 - Titoli e shock'!$B$17),$D$36*J$6/2*(1-'1 - Titoli e shock'!$B$8),0)</f>
        <v>415.42133587383194</v>
      </c>
      <c r="K334" s="20">
        <f>IF(AND($B$36&lt;='1 - Titoli e shock'!$B$17,$C334&lt;='1 - Titoli e shock'!$B$17),$D$36*K$6/2*(1-'1 - Titoli e shock'!$B$8),0)</f>
        <v>437.0775304805544</v>
      </c>
      <c r="L334" s="20">
        <f>IF(AND($B$36&lt;='1 - Titoli e shock'!$B$17,$C334&lt;='1 - Titoli e shock'!$B$17),$D$36*L$6/2*(1-'1 - Titoli e shock'!$B$8),0)</f>
        <v>445.73278789975348</v>
      </c>
      <c r="M334" s="20">
        <f>IF(AND($B$36&lt;='1 - Titoli e shock'!$B$17,$C334&lt;='1 - Titoli e shock'!$B$17),$D$36*M$6/2*(1-'1 - Titoli e shock'!$B$8),0)</f>
        <v>454.38392819608652</v>
      </c>
      <c r="N334" s="20">
        <f>IF(AND($B$36&lt;='1 - Titoli e shock'!$B$17,$C334&lt;='1 - Titoli e shock'!$B$17),$D$36*N$6/2*(1-'1 - Titoli e shock'!$B$8),0)</f>
        <v>463.03095723925873</v>
      </c>
      <c r="O334" s="20">
        <f>IF(AND($B$36&lt;='1 - Titoli e shock'!$B$17,$C334&lt;='1 - Titoli e shock'!$B$17),$D$36*O$6/2*(1-'1 - Titoli e shock'!$B$8),0)</f>
        <v>471.67388088503014</v>
      </c>
      <c r="P334" s="20">
        <f>IF(AND($B$36&lt;='1 - Titoli e shock'!$B$17,$C334&lt;='1 - Titoli e shock'!$B$17),$D$36*P$6/2*(1-'1 - Titoli e shock'!$B$8),0)</f>
        <v>488.94743533806673</v>
      </c>
      <c r="Q334" s="20">
        <f>IF(AND($B$36&lt;='1 - Titoli e shock'!$B$17,$C334&lt;='1 - Titoli e shock'!$B$17),$D$36*Q$6/2*(1-'1 - Titoli e shock'!$B$8),0)</f>
        <v>497.57807778761389</v>
      </c>
      <c r="R334" s="20">
        <f>IF(AND($B$36&lt;='1 - Titoli e shock'!$B$17,$C334&lt;='1 - Titoli e shock'!$B$17),$D$36*R$6/2*(1-'1 - Titoli e shock'!$B$8),0)</f>
        <v>506.20463812441159</v>
      </c>
      <c r="S334" s="20">
        <f>IF(AND($B$36&lt;='1 - Titoli e shock'!$B$17,$C334&lt;='1 - Titoli e shock'!$B$17),$D$36*S$6/2*(1-'1 - Titoli e shock'!$B$8),0)</f>
        <v>514.8271221352536</v>
      </c>
      <c r="T334" s="20">
        <f>IF(AND($B$36&lt;='1 - Titoli e shock'!$B$17,$C334&lt;='1 - Titoli e shock'!$B$17),$D$36*T$6/2*(1-'1 - Titoli e shock'!$B$8),0)</f>
        <v>523.44553559326846</v>
      </c>
      <c r="U334" s="20">
        <f>IF(AND($B$36&lt;='1 - Titoli e shock'!$B$17,$C334&lt;='1 - Titoli e shock'!$B$17),$D$36*U$6/2*(1-'1 - Titoli e shock'!$B$8),0)</f>
        <v>652.23715557304899</v>
      </c>
    </row>
    <row r="335" spans="1:21">
      <c r="A335" s="15" t="s">
        <v>267</v>
      </c>
      <c r="B335" s="22" t="str">
        <f>A36</f>
        <v>BTP 3,00% ott 2029</v>
      </c>
      <c r="C335" s="13">
        <f>EDATE($B$36,6*8)</f>
        <v>48853</v>
      </c>
      <c r="D335" s="23">
        <f>MAX(1,(YEAR(C335)-YEAR('1 - Titoli e shock'!$B$6))+IF(MONTH(C335)*100+DAY(C335)&gt;MONTH('1 - Titoli e shock'!$B$6)*100+DAY('1 - Titoli e shock'!$B$6),1,0))</f>
        <v>7</v>
      </c>
      <c r="F335" s="20">
        <f>IF(AND($B$36&lt;='1 - Titoli e shock'!$B$17,$C335&lt;='1 - Titoli e shock'!$B$17),$D$36*F$6/2*(1-'1 - Titoli e shock'!$B$8),0)</f>
        <v>306.75057986834372</v>
      </c>
      <c r="G335" s="20">
        <f>IF(AND($B$36&lt;='1 - Titoli e shock'!$B$17,$C335&lt;='1 - Titoli e shock'!$B$17),$D$36*G$6/2*(1-'1 - Titoli e shock'!$B$8),0)</f>
        <v>393.73928012080239</v>
      </c>
      <c r="H335" s="20">
        <f>IF(AND($B$36&lt;='1 - Titoli e shock'!$B$17,$C335&lt;='1 - Titoli e shock'!$B$17),$D$36*H$6/2*(1-'1 - Titoli e shock'!$B$8),0)</f>
        <v>480.3127049752905</v>
      </c>
      <c r="I335" s="20">
        <f>IF(AND($B$36&lt;='1 - Titoli e shock'!$B$17,$C335&lt;='1 - Titoli e shock'!$B$17),$D$36*I$6/2*(1-'1 - Titoli e shock'!$B$8),0)</f>
        <v>566.47674569991568</v>
      </c>
      <c r="J335" s="20">
        <f>IF(AND($B$36&lt;='1 - Titoli e shock'!$B$17,$C335&lt;='1 - Titoli e shock'!$B$17),$D$36*J$6/2*(1-'1 - Titoli e shock'!$B$8),0)</f>
        <v>415.42133587383194</v>
      </c>
      <c r="K335" s="20">
        <f>IF(AND($B$36&lt;='1 - Titoli e shock'!$B$17,$C335&lt;='1 - Titoli e shock'!$B$17),$D$36*K$6/2*(1-'1 - Titoli e shock'!$B$8),0)</f>
        <v>437.0775304805544</v>
      </c>
      <c r="L335" s="20">
        <f>IF(AND($B$36&lt;='1 - Titoli e shock'!$B$17,$C335&lt;='1 - Titoli e shock'!$B$17),$D$36*L$6/2*(1-'1 - Titoli e shock'!$B$8),0)</f>
        <v>445.73278789975348</v>
      </c>
      <c r="M335" s="20">
        <f>IF(AND($B$36&lt;='1 - Titoli e shock'!$B$17,$C335&lt;='1 - Titoli e shock'!$B$17),$D$36*M$6/2*(1-'1 - Titoli e shock'!$B$8),0)</f>
        <v>454.38392819608652</v>
      </c>
      <c r="N335" s="20">
        <f>IF(AND($B$36&lt;='1 - Titoli e shock'!$B$17,$C335&lt;='1 - Titoli e shock'!$B$17),$D$36*N$6/2*(1-'1 - Titoli e shock'!$B$8),0)</f>
        <v>463.03095723925873</v>
      </c>
      <c r="O335" s="20">
        <f>IF(AND($B$36&lt;='1 - Titoli e shock'!$B$17,$C335&lt;='1 - Titoli e shock'!$B$17),$D$36*O$6/2*(1-'1 - Titoli e shock'!$B$8),0)</f>
        <v>471.67388088503014</v>
      </c>
      <c r="P335" s="20">
        <f>IF(AND($B$36&lt;='1 - Titoli e shock'!$B$17,$C335&lt;='1 - Titoli e shock'!$B$17),$D$36*P$6/2*(1-'1 - Titoli e shock'!$B$8),0)</f>
        <v>488.94743533806673</v>
      </c>
      <c r="Q335" s="20">
        <f>IF(AND($B$36&lt;='1 - Titoli e shock'!$B$17,$C335&lt;='1 - Titoli e shock'!$B$17),$D$36*Q$6/2*(1-'1 - Titoli e shock'!$B$8),0)</f>
        <v>497.57807778761389</v>
      </c>
      <c r="R335" s="20">
        <f>IF(AND($B$36&lt;='1 - Titoli e shock'!$B$17,$C335&lt;='1 - Titoli e shock'!$B$17),$D$36*R$6/2*(1-'1 - Titoli e shock'!$B$8),0)</f>
        <v>506.20463812441159</v>
      </c>
      <c r="S335" s="20">
        <f>IF(AND($B$36&lt;='1 - Titoli e shock'!$B$17,$C335&lt;='1 - Titoli e shock'!$B$17),$D$36*S$6/2*(1-'1 - Titoli e shock'!$B$8),0)</f>
        <v>514.8271221352536</v>
      </c>
      <c r="T335" s="20">
        <f>IF(AND($B$36&lt;='1 - Titoli e shock'!$B$17,$C335&lt;='1 - Titoli e shock'!$B$17),$D$36*T$6/2*(1-'1 - Titoli e shock'!$B$8),0)</f>
        <v>523.44553559326846</v>
      </c>
      <c r="U335" s="20">
        <f>IF(AND($B$36&lt;='1 - Titoli e shock'!$B$17,$C335&lt;='1 - Titoli e shock'!$B$17),$D$36*U$6/2*(1-'1 - Titoli e shock'!$B$8),0)</f>
        <v>652.23715557304899</v>
      </c>
    </row>
    <row r="336" spans="1:21">
      <c r="A336" s="15" t="s">
        <v>267</v>
      </c>
      <c r="B336" s="22" t="str">
        <f>A36</f>
        <v>BTP 3,00% ott 2029</v>
      </c>
      <c r="C336" s="13">
        <f>EDATE($B$36,6*9)</f>
        <v>49035</v>
      </c>
      <c r="D336" s="23">
        <f>MAX(1,(YEAR(C336)-YEAR('1 - Titoli e shock'!$B$6))+IF(MONTH(C336)*100+DAY(C336)&gt;MONTH('1 - Titoli e shock'!$B$6)*100+DAY('1 - Titoli e shock'!$B$6),1,0))</f>
        <v>8</v>
      </c>
      <c r="F336" s="20">
        <f>IF(AND($B$36&lt;='1 - Titoli e shock'!$B$17,$C336&lt;='1 - Titoli e shock'!$B$17),$D$36*F$6/2*(1-'1 - Titoli e shock'!$B$8),0)</f>
        <v>306.75057986834372</v>
      </c>
      <c r="G336" s="20">
        <f>IF(AND($B$36&lt;='1 - Titoli e shock'!$B$17,$C336&lt;='1 - Titoli e shock'!$B$17),$D$36*G$6/2*(1-'1 - Titoli e shock'!$B$8),0)</f>
        <v>393.73928012080239</v>
      </c>
      <c r="H336" s="20">
        <f>IF(AND($B$36&lt;='1 - Titoli e shock'!$B$17,$C336&lt;='1 - Titoli e shock'!$B$17),$D$36*H$6/2*(1-'1 - Titoli e shock'!$B$8),0)</f>
        <v>480.3127049752905</v>
      </c>
      <c r="I336" s="20">
        <f>IF(AND($B$36&lt;='1 - Titoli e shock'!$B$17,$C336&lt;='1 - Titoli e shock'!$B$17),$D$36*I$6/2*(1-'1 - Titoli e shock'!$B$8),0)</f>
        <v>566.47674569991568</v>
      </c>
      <c r="J336" s="20">
        <f>IF(AND($B$36&lt;='1 - Titoli e shock'!$B$17,$C336&lt;='1 - Titoli e shock'!$B$17),$D$36*J$6/2*(1-'1 - Titoli e shock'!$B$8),0)</f>
        <v>415.42133587383194</v>
      </c>
      <c r="K336" s="20">
        <f>IF(AND($B$36&lt;='1 - Titoli e shock'!$B$17,$C336&lt;='1 - Titoli e shock'!$B$17),$D$36*K$6/2*(1-'1 - Titoli e shock'!$B$8),0)</f>
        <v>437.0775304805544</v>
      </c>
      <c r="L336" s="20">
        <f>IF(AND($B$36&lt;='1 - Titoli e shock'!$B$17,$C336&lt;='1 - Titoli e shock'!$B$17),$D$36*L$6/2*(1-'1 - Titoli e shock'!$B$8),0)</f>
        <v>445.73278789975348</v>
      </c>
      <c r="M336" s="20">
        <f>IF(AND($B$36&lt;='1 - Titoli e shock'!$B$17,$C336&lt;='1 - Titoli e shock'!$B$17),$D$36*M$6/2*(1-'1 - Titoli e shock'!$B$8),0)</f>
        <v>454.38392819608652</v>
      </c>
      <c r="N336" s="20">
        <f>IF(AND($B$36&lt;='1 - Titoli e shock'!$B$17,$C336&lt;='1 - Titoli e shock'!$B$17),$D$36*N$6/2*(1-'1 - Titoli e shock'!$B$8),0)</f>
        <v>463.03095723925873</v>
      </c>
      <c r="O336" s="20">
        <f>IF(AND($B$36&lt;='1 - Titoli e shock'!$B$17,$C336&lt;='1 - Titoli e shock'!$B$17),$D$36*O$6/2*(1-'1 - Titoli e shock'!$B$8),0)</f>
        <v>471.67388088503014</v>
      </c>
      <c r="P336" s="20">
        <f>IF(AND($B$36&lt;='1 - Titoli e shock'!$B$17,$C336&lt;='1 - Titoli e shock'!$B$17),$D$36*P$6/2*(1-'1 - Titoli e shock'!$B$8),0)</f>
        <v>488.94743533806673</v>
      </c>
      <c r="Q336" s="20">
        <f>IF(AND($B$36&lt;='1 - Titoli e shock'!$B$17,$C336&lt;='1 - Titoli e shock'!$B$17),$D$36*Q$6/2*(1-'1 - Titoli e shock'!$B$8),0)</f>
        <v>497.57807778761389</v>
      </c>
      <c r="R336" s="20">
        <f>IF(AND($B$36&lt;='1 - Titoli e shock'!$B$17,$C336&lt;='1 - Titoli e shock'!$B$17),$D$36*R$6/2*(1-'1 - Titoli e shock'!$B$8),0)</f>
        <v>506.20463812441159</v>
      </c>
      <c r="S336" s="20">
        <f>IF(AND($B$36&lt;='1 - Titoli e shock'!$B$17,$C336&lt;='1 - Titoli e shock'!$B$17),$D$36*S$6/2*(1-'1 - Titoli e shock'!$B$8),0)</f>
        <v>514.8271221352536</v>
      </c>
      <c r="T336" s="20">
        <f>IF(AND($B$36&lt;='1 - Titoli e shock'!$B$17,$C336&lt;='1 - Titoli e shock'!$B$17),$D$36*T$6/2*(1-'1 - Titoli e shock'!$B$8),0)</f>
        <v>523.44553559326846</v>
      </c>
      <c r="U336" s="20">
        <f>IF(AND($B$36&lt;='1 - Titoli e shock'!$B$17,$C336&lt;='1 - Titoli e shock'!$B$17),$D$36*U$6/2*(1-'1 - Titoli e shock'!$B$8),0)</f>
        <v>652.23715557304899</v>
      </c>
    </row>
    <row r="337" spans="1:21">
      <c r="A337" s="15" t="s">
        <v>267</v>
      </c>
      <c r="B337" s="22" t="str">
        <f>A36</f>
        <v>BTP 3,00% ott 2029</v>
      </c>
      <c r="C337" s="13">
        <f>EDATE($B$36,6*10)</f>
        <v>49218</v>
      </c>
      <c r="D337" s="23">
        <f>MAX(1,(YEAR(C337)-YEAR('1 - Titoli e shock'!$B$6))+IF(MONTH(C337)*100+DAY(C337)&gt;MONTH('1 - Titoli e shock'!$B$6)*100+DAY('1 - Titoli e shock'!$B$6),1,0))</f>
        <v>8</v>
      </c>
      <c r="F337" s="20">
        <f>IF(AND($B$36&lt;='1 - Titoli e shock'!$B$17,$C337&lt;='1 - Titoli e shock'!$B$17),$D$36*F$6/2*(1-'1 - Titoli e shock'!$B$8),0)</f>
        <v>306.75057986834372</v>
      </c>
      <c r="G337" s="20">
        <f>IF(AND($B$36&lt;='1 - Titoli e shock'!$B$17,$C337&lt;='1 - Titoli e shock'!$B$17),$D$36*G$6/2*(1-'1 - Titoli e shock'!$B$8),0)</f>
        <v>393.73928012080239</v>
      </c>
      <c r="H337" s="20">
        <f>IF(AND($B$36&lt;='1 - Titoli e shock'!$B$17,$C337&lt;='1 - Titoli e shock'!$B$17),$D$36*H$6/2*(1-'1 - Titoli e shock'!$B$8),0)</f>
        <v>480.3127049752905</v>
      </c>
      <c r="I337" s="20">
        <f>IF(AND($B$36&lt;='1 - Titoli e shock'!$B$17,$C337&lt;='1 - Titoli e shock'!$B$17),$D$36*I$6/2*(1-'1 - Titoli e shock'!$B$8),0)</f>
        <v>566.47674569991568</v>
      </c>
      <c r="J337" s="20">
        <f>IF(AND($B$36&lt;='1 - Titoli e shock'!$B$17,$C337&lt;='1 - Titoli e shock'!$B$17),$D$36*J$6/2*(1-'1 - Titoli e shock'!$B$8),0)</f>
        <v>415.42133587383194</v>
      </c>
      <c r="K337" s="20">
        <f>IF(AND($B$36&lt;='1 - Titoli e shock'!$B$17,$C337&lt;='1 - Titoli e shock'!$B$17),$D$36*K$6/2*(1-'1 - Titoli e shock'!$B$8),0)</f>
        <v>437.0775304805544</v>
      </c>
      <c r="L337" s="20">
        <f>IF(AND($B$36&lt;='1 - Titoli e shock'!$B$17,$C337&lt;='1 - Titoli e shock'!$B$17),$D$36*L$6/2*(1-'1 - Titoli e shock'!$B$8),0)</f>
        <v>445.73278789975348</v>
      </c>
      <c r="M337" s="20">
        <f>IF(AND($B$36&lt;='1 - Titoli e shock'!$B$17,$C337&lt;='1 - Titoli e shock'!$B$17),$D$36*M$6/2*(1-'1 - Titoli e shock'!$B$8),0)</f>
        <v>454.38392819608652</v>
      </c>
      <c r="N337" s="20">
        <f>IF(AND($B$36&lt;='1 - Titoli e shock'!$B$17,$C337&lt;='1 - Titoli e shock'!$B$17),$D$36*N$6/2*(1-'1 - Titoli e shock'!$B$8),0)</f>
        <v>463.03095723925873</v>
      </c>
      <c r="O337" s="20">
        <f>IF(AND($B$36&lt;='1 - Titoli e shock'!$B$17,$C337&lt;='1 - Titoli e shock'!$B$17),$D$36*O$6/2*(1-'1 - Titoli e shock'!$B$8),0)</f>
        <v>471.67388088503014</v>
      </c>
      <c r="P337" s="20">
        <f>IF(AND($B$36&lt;='1 - Titoli e shock'!$B$17,$C337&lt;='1 - Titoli e shock'!$B$17),$D$36*P$6/2*(1-'1 - Titoli e shock'!$B$8),0)</f>
        <v>488.94743533806673</v>
      </c>
      <c r="Q337" s="20">
        <f>IF(AND($B$36&lt;='1 - Titoli e shock'!$B$17,$C337&lt;='1 - Titoli e shock'!$B$17),$D$36*Q$6/2*(1-'1 - Titoli e shock'!$B$8),0)</f>
        <v>497.57807778761389</v>
      </c>
      <c r="R337" s="20">
        <f>IF(AND($B$36&lt;='1 - Titoli e shock'!$B$17,$C337&lt;='1 - Titoli e shock'!$B$17),$D$36*R$6/2*(1-'1 - Titoli e shock'!$B$8),0)</f>
        <v>506.20463812441159</v>
      </c>
      <c r="S337" s="20">
        <f>IF(AND($B$36&lt;='1 - Titoli e shock'!$B$17,$C337&lt;='1 - Titoli e shock'!$B$17),$D$36*S$6/2*(1-'1 - Titoli e shock'!$B$8),0)</f>
        <v>514.8271221352536</v>
      </c>
      <c r="T337" s="20">
        <f>IF(AND($B$36&lt;='1 - Titoli e shock'!$B$17,$C337&lt;='1 - Titoli e shock'!$B$17),$D$36*T$6/2*(1-'1 - Titoli e shock'!$B$8),0)</f>
        <v>523.44553559326846</v>
      </c>
      <c r="U337" s="20">
        <f>IF(AND($B$36&lt;='1 - Titoli e shock'!$B$17,$C337&lt;='1 - Titoli e shock'!$B$17),$D$36*U$6/2*(1-'1 - Titoli e shock'!$B$8),0)</f>
        <v>652.23715557304899</v>
      </c>
    </row>
    <row r="338" spans="1:21">
      <c r="A338" s="15" t="s">
        <v>267</v>
      </c>
      <c r="B338" s="22" t="str">
        <f>A36</f>
        <v>BTP 3,00% ott 2029</v>
      </c>
      <c r="C338" s="13">
        <f>EDATE($B$36,6*11)</f>
        <v>49400</v>
      </c>
      <c r="D338" s="23">
        <f>MAX(1,(YEAR(C338)-YEAR('1 - Titoli e shock'!$B$6))+IF(MONTH(C338)*100+DAY(C338)&gt;MONTH('1 - Titoli e shock'!$B$6)*100+DAY('1 - Titoli e shock'!$B$6),1,0))</f>
        <v>9</v>
      </c>
      <c r="F338" s="20">
        <f>IF(AND($B$36&lt;='1 - Titoli e shock'!$B$17,$C338&lt;='1 - Titoli e shock'!$B$17),$D$36*F$6/2*(1-'1 - Titoli e shock'!$B$8),0)</f>
        <v>306.75057986834372</v>
      </c>
      <c r="G338" s="20">
        <f>IF(AND($B$36&lt;='1 - Titoli e shock'!$B$17,$C338&lt;='1 - Titoli e shock'!$B$17),$D$36*G$6/2*(1-'1 - Titoli e shock'!$B$8),0)</f>
        <v>393.73928012080239</v>
      </c>
      <c r="H338" s="20">
        <f>IF(AND($B$36&lt;='1 - Titoli e shock'!$B$17,$C338&lt;='1 - Titoli e shock'!$B$17),$D$36*H$6/2*(1-'1 - Titoli e shock'!$B$8),0)</f>
        <v>480.3127049752905</v>
      </c>
      <c r="I338" s="20">
        <f>IF(AND($B$36&lt;='1 - Titoli e shock'!$B$17,$C338&lt;='1 - Titoli e shock'!$B$17),$D$36*I$6/2*(1-'1 - Titoli e shock'!$B$8),0)</f>
        <v>566.47674569991568</v>
      </c>
      <c r="J338" s="20">
        <f>IF(AND($B$36&lt;='1 - Titoli e shock'!$B$17,$C338&lt;='1 - Titoli e shock'!$B$17),$D$36*J$6/2*(1-'1 - Titoli e shock'!$B$8),0)</f>
        <v>415.42133587383194</v>
      </c>
      <c r="K338" s="20">
        <f>IF(AND($B$36&lt;='1 - Titoli e shock'!$B$17,$C338&lt;='1 - Titoli e shock'!$B$17),$D$36*K$6/2*(1-'1 - Titoli e shock'!$B$8),0)</f>
        <v>437.0775304805544</v>
      </c>
      <c r="L338" s="20">
        <f>IF(AND($B$36&lt;='1 - Titoli e shock'!$B$17,$C338&lt;='1 - Titoli e shock'!$B$17),$D$36*L$6/2*(1-'1 - Titoli e shock'!$B$8),0)</f>
        <v>445.73278789975348</v>
      </c>
      <c r="M338" s="20">
        <f>IF(AND($B$36&lt;='1 - Titoli e shock'!$B$17,$C338&lt;='1 - Titoli e shock'!$B$17),$D$36*M$6/2*(1-'1 - Titoli e shock'!$B$8),0)</f>
        <v>454.38392819608652</v>
      </c>
      <c r="N338" s="20">
        <f>IF(AND($B$36&lt;='1 - Titoli e shock'!$B$17,$C338&lt;='1 - Titoli e shock'!$B$17),$D$36*N$6/2*(1-'1 - Titoli e shock'!$B$8),0)</f>
        <v>463.03095723925873</v>
      </c>
      <c r="O338" s="20">
        <f>IF(AND($B$36&lt;='1 - Titoli e shock'!$B$17,$C338&lt;='1 - Titoli e shock'!$B$17),$D$36*O$6/2*(1-'1 - Titoli e shock'!$B$8),0)</f>
        <v>471.67388088503014</v>
      </c>
      <c r="P338" s="20">
        <f>IF(AND($B$36&lt;='1 - Titoli e shock'!$B$17,$C338&lt;='1 - Titoli e shock'!$B$17),$D$36*P$6/2*(1-'1 - Titoli e shock'!$B$8),0)</f>
        <v>488.94743533806673</v>
      </c>
      <c r="Q338" s="20">
        <f>IF(AND($B$36&lt;='1 - Titoli e shock'!$B$17,$C338&lt;='1 - Titoli e shock'!$B$17),$D$36*Q$6/2*(1-'1 - Titoli e shock'!$B$8),0)</f>
        <v>497.57807778761389</v>
      </c>
      <c r="R338" s="20">
        <f>IF(AND($B$36&lt;='1 - Titoli e shock'!$B$17,$C338&lt;='1 - Titoli e shock'!$B$17),$D$36*R$6/2*(1-'1 - Titoli e shock'!$B$8),0)</f>
        <v>506.20463812441159</v>
      </c>
      <c r="S338" s="20">
        <f>IF(AND($B$36&lt;='1 - Titoli e shock'!$B$17,$C338&lt;='1 - Titoli e shock'!$B$17),$D$36*S$6/2*(1-'1 - Titoli e shock'!$B$8),0)</f>
        <v>514.8271221352536</v>
      </c>
      <c r="T338" s="20">
        <f>IF(AND($B$36&lt;='1 - Titoli e shock'!$B$17,$C338&lt;='1 - Titoli e shock'!$B$17),$D$36*T$6/2*(1-'1 - Titoli e shock'!$B$8),0)</f>
        <v>523.44553559326846</v>
      </c>
      <c r="U338" s="20">
        <f>IF(AND($B$36&lt;='1 - Titoli e shock'!$B$17,$C338&lt;='1 - Titoli e shock'!$B$17),$D$36*U$6/2*(1-'1 - Titoli e shock'!$B$8),0)</f>
        <v>652.23715557304899</v>
      </c>
    </row>
    <row r="339" spans="1:21">
      <c r="A339" s="15" t="s">
        <v>267</v>
      </c>
      <c r="B339" s="22" t="str">
        <f>A36</f>
        <v>BTP 3,00% ott 2029</v>
      </c>
      <c r="C339" s="13">
        <f>EDATE($B$36,6*12)</f>
        <v>49583</v>
      </c>
      <c r="D339" s="23">
        <f>MAX(1,(YEAR(C339)-YEAR('1 - Titoli e shock'!$B$6))+IF(MONTH(C339)*100+DAY(C339)&gt;MONTH('1 - Titoli e shock'!$B$6)*100+DAY('1 - Titoli e shock'!$B$6),1,0))</f>
        <v>9</v>
      </c>
      <c r="F339" s="20">
        <f>IF(AND($B$36&lt;='1 - Titoli e shock'!$B$17,$C339&lt;='1 - Titoli e shock'!$B$17),$D$36*F$6/2*(1-'1 - Titoli e shock'!$B$8),0)</f>
        <v>306.75057986834372</v>
      </c>
      <c r="G339" s="20">
        <f>IF(AND($B$36&lt;='1 - Titoli e shock'!$B$17,$C339&lt;='1 - Titoli e shock'!$B$17),$D$36*G$6/2*(1-'1 - Titoli e shock'!$B$8),0)</f>
        <v>393.73928012080239</v>
      </c>
      <c r="H339" s="20">
        <f>IF(AND($B$36&lt;='1 - Titoli e shock'!$B$17,$C339&lt;='1 - Titoli e shock'!$B$17),$D$36*H$6/2*(1-'1 - Titoli e shock'!$B$8),0)</f>
        <v>480.3127049752905</v>
      </c>
      <c r="I339" s="20">
        <f>IF(AND($B$36&lt;='1 - Titoli e shock'!$B$17,$C339&lt;='1 - Titoli e shock'!$B$17),$D$36*I$6/2*(1-'1 - Titoli e shock'!$B$8),0)</f>
        <v>566.47674569991568</v>
      </c>
      <c r="J339" s="20">
        <f>IF(AND($B$36&lt;='1 - Titoli e shock'!$B$17,$C339&lt;='1 - Titoli e shock'!$B$17),$D$36*J$6/2*(1-'1 - Titoli e shock'!$B$8),0)</f>
        <v>415.42133587383194</v>
      </c>
      <c r="K339" s="20">
        <f>IF(AND($B$36&lt;='1 - Titoli e shock'!$B$17,$C339&lt;='1 - Titoli e shock'!$B$17),$D$36*K$6/2*(1-'1 - Titoli e shock'!$B$8),0)</f>
        <v>437.0775304805544</v>
      </c>
      <c r="L339" s="20">
        <f>IF(AND($B$36&lt;='1 - Titoli e shock'!$B$17,$C339&lt;='1 - Titoli e shock'!$B$17),$D$36*L$6/2*(1-'1 - Titoli e shock'!$B$8),0)</f>
        <v>445.73278789975348</v>
      </c>
      <c r="M339" s="20">
        <f>IF(AND($B$36&lt;='1 - Titoli e shock'!$B$17,$C339&lt;='1 - Titoli e shock'!$B$17),$D$36*M$6/2*(1-'1 - Titoli e shock'!$B$8),0)</f>
        <v>454.38392819608652</v>
      </c>
      <c r="N339" s="20">
        <f>IF(AND($B$36&lt;='1 - Titoli e shock'!$B$17,$C339&lt;='1 - Titoli e shock'!$B$17),$D$36*N$6/2*(1-'1 - Titoli e shock'!$B$8),0)</f>
        <v>463.03095723925873</v>
      </c>
      <c r="O339" s="20">
        <f>IF(AND($B$36&lt;='1 - Titoli e shock'!$B$17,$C339&lt;='1 - Titoli e shock'!$B$17),$D$36*O$6/2*(1-'1 - Titoli e shock'!$B$8),0)</f>
        <v>471.67388088503014</v>
      </c>
      <c r="P339" s="20">
        <f>IF(AND($B$36&lt;='1 - Titoli e shock'!$B$17,$C339&lt;='1 - Titoli e shock'!$B$17),$D$36*P$6/2*(1-'1 - Titoli e shock'!$B$8),0)</f>
        <v>488.94743533806673</v>
      </c>
      <c r="Q339" s="20">
        <f>IF(AND($B$36&lt;='1 - Titoli e shock'!$B$17,$C339&lt;='1 - Titoli e shock'!$B$17),$D$36*Q$6/2*(1-'1 - Titoli e shock'!$B$8),0)</f>
        <v>497.57807778761389</v>
      </c>
      <c r="R339" s="20">
        <f>IF(AND($B$36&lt;='1 - Titoli e shock'!$B$17,$C339&lt;='1 - Titoli e shock'!$B$17),$D$36*R$6/2*(1-'1 - Titoli e shock'!$B$8),0)</f>
        <v>506.20463812441159</v>
      </c>
      <c r="S339" s="20">
        <f>IF(AND($B$36&lt;='1 - Titoli e shock'!$B$17,$C339&lt;='1 - Titoli e shock'!$B$17),$D$36*S$6/2*(1-'1 - Titoli e shock'!$B$8),0)</f>
        <v>514.8271221352536</v>
      </c>
      <c r="T339" s="20">
        <f>IF(AND($B$36&lt;='1 - Titoli e shock'!$B$17,$C339&lt;='1 - Titoli e shock'!$B$17),$D$36*T$6/2*(1-'1 - Titoli e shock'!$B$8),0)</f>
        <v>523.44553559326846</v>
      </c>
      <c r="U339" s="20">
        <f>IF(AND($B$36&lt;='1 - Titoli e shock'!$B$17,$C339&lt;='1 - Titoli e shock'!$B$17),$D$36*U$6/2*(1-'1 - Titoli e shock'!$B$8),0)</f>
        <v>652.23715557304899</v>
      </c>
    </row>
    <row r="340" spans="1:21">
      <c r="A340" s="15" t="s">
        <v>267</v>
      </c>
      <c r="B340" s="22" t="str">
        <f>A36</f>
        <v>BTP 3,00% ott 2029</v>
      </c>
      <c r="C340" s="13">
        <f>EDATE($B$36,6*13)</f>
        <v>49766</v>
      </c>
      <c r="D340" s="23">
        <f>MAX(1,(YEAR(C340)-YEAR('1 - Titoli e shock'!$B$6))+IF(MONTH(C340)*100+DAY(C340)&gt;MONTH('1 - Titoli e shock'!$B$6)*100+DAY('1 - Titoli e shock'!$B$6),1,0))</f>
        <v>10</v>
      </c>
      <c r="F340" s="20">
        <f>IF(AND($B$36&lt;='1 - Titoli e shock'!$B$17,$C340&lt;='1 - Titoli e shock'!$B$17),$D$36*F$6/2*(1-'1 - Titoli e shock'!$B$8),0)</f>
        <v>306.75057986834372</v>
      </c>
      <c r="G340" s="20">
        <f>IF(AND($B$36&lt;='1 - Titoli e shock'!$B$17,$C340&lt;='1 - Titoli e shock'!$B$17),$D$36*G$6/2*(1-'1 - Titoli e shock'!$B$8),0)</f>
        <v>393.73928012080239</v>
      </c>
      <c r="H340" s="20">
        <f>IF(AND($B$36&lt;='1 - Titoli e shock'!$B$17,$C340&lt;='1 - Titoli e shock'!$B$17),$D$36*H$6/2*(1-'1 - Titoli e shock'!$B$8),0)</f>
        <v>480.3127049752905</v>
      </c>
      <c r="I340" s="20">
        <f>IF(AND($B$36&lt;='1 - Titoli e shock'!$B$17,$C340&lt;='1 - Titoli e shock'!$B$17),$D$36*I$6/2*(1-'1 - Titoli e shock'!$B$8),0)</f>
        <v>566.47674569991568</v>
      </c>
      <c r="J340" s="20">
        <f>IF(AND($B$36&lt;='1 - Titoli e shock'!$B$17,$C340&lt;='1 - Titoli e shock'!$B$17),$D$36*J$6/2*(1-'1 - Titoli e shock'!$B$8),0)</f>
        <v>415.42133587383194</v>
      </c>
      <c r="K340" s="20">
        <f>IF(AND($B$36&lt;='1 - Titoli e shock'!$B$17,$C340&lt;='1 - Titoli e shock'!$B$17),$D$36*K$6/2*(1-'1 - Titoli e shock'!$B$8),0)</f>
        <v>437.0775304805544</v>
      </c>
      <c r="L340" s="20">
        <f>IF(AND($B$36&lt;='1 - Titoli e shock'!$B$17,$C340&lt;='1 - Titoli e shock'!$B$17),$D$36*L$6/2*(1-'1 - Titoli e shock'!$B$8),0)</f>
        <v>445.73278789975348</v>
      </c>
      <c r="M340" s="20">
        <f>IF(AND($B$36&lt;='1 - Titoli e shock'!$B$17,$C340&lt;='1 - Titoli e shock'!$B$17),$D$36*M$6/2*(1-'1 - Titoli e shock'!$B$8),0)</f>
        <v>454.38392819608652</v>
      </c>
      <c r="N340" s="20">
        <f>IF(AND($B$36&lt;='1 - Titoli e shock'!$B$17,$C340&lt;='1 - Titoli e shock'!$B$17),$D$36*N$6/2*(1-'1 - Titoli e shock'!$B$8),0)</f>
        <v>463.03095723925873</v>
      </c>
      <c r="O340" s="20">
        <f>IF(AND($B$36&lt;='1 - Titoli e shock'!$B$17,$C340&lt;='1 - Titoli e shock'!$B$17),$D$36*O$6/2*(1-'1 - Titoli e shock'!$B$8),0)</f>
        <v>471.67388088503014</v>
      </c>
      <c r="P340" s="20">
        <f>IF(AND($B$36&lt;='1 - Titoli e shock'!$B$17,$C340&lt;='1 - Titoli e shock'!$B$17),$D$36*P$6/2*(1-'1 - Titoli e shock'!$B$8),0)</f>
        <v>488.94743533806673</v>
      </c>
      <c r="Q340" s="20">
        <f>IF(AND($B$36&lt;='1 - Titoli e shock'!$B$17,$C340&lt;='1 - Titoli e shock'!$B$17),$D$36*Q$6/2*(1-'1 - Titoli e shock'!$B$8),0)</f>
        <v>497.57807778761389</v>
      </c>
      <c r="R340" s="20">
        <f>IF(AND($B$36&lt;='1 - Titoli e shock'!$B$17,$C340&lt;='1 - Titoli e shock'!$B$17),$D$36*R$6/2*(1-'1 - Titoli e shock'!$B$8),0)</f>
        <v>506.20463812441159</v>
      </c>
      <c r="S340" s="20">
        <f>IF(AND($B$36&lt;='1 - Titoli e shock'!$B$17,$C340&lt;='1 - Titoli e shock'!$B$17),$D$36*S$6/2*(1-'1 - Titoli e shock'!$B$8),0)</f>
        <v>514.8271221352536</v>
      </c>
      <c r="T340" s="20">
        <f>IF(AND($B$36&lt;='1 - Titoli e shock'!$B$17,$C340&lt;='1 - Titoli e shock'!$B$17),$D$36*T$6/2*(1-'1 - Titoli e shock'!$B$8),0)</f>
        <v>523.44553559326846</v>
      </c>
      <c r="U340" s="20">
        <f>IF(AND($B$36&lt;='1 - Titoli e shock'!$B$17,$C340&lt;='1 - Titoli e shock'!$B$17),$D$36*U$6/2*(1-'1 - Titoli e shock'!$B$8),0)</f>
        <v>652.23715557304899</v>
      </c>
    </row>
    <row r="341" spans="1:21">
      <c r="A341" s="15" t="s">
        <v>267</v>
      </c>
      <c r="B341" s="22" t="str">
        <f>A36</f>
        <v>BTP 3,00% ott 2029</v>
      </c>
      <c r="C341" s="13">
        <f>EDATE($B$36,6*14)</f>
        <v>49949</v>
      </c>
      <c r="D341" s="23">
        <f>MAX(1,(YEAR(C341)-YEAR('1 - Titoli e shock'!$B$6))+IF(MONTH(C341)*100+DAY(C341)&gt;MONTH('1 - Titoli e shock'!$B$6)*100+DAY('1 - Titoli e shock'!$B$6),1,0))</f>
        <v>10</v>
      </c>
      <c r="F341" s="20">
        <f>IF(AND($B$36&lt;='1 - Titoli e shock'!$B$17,$C341&lt;='1 - Titoli e shock'!$B$17),$D$36*F$6/2*(1-'1 - Titoli e shock'!$B$8),0)</f>
        <v>306.75057986834372</v>
      </c>
      <c r="G341" s="20">
        <f>IF(AND($B$36&lt;='1 - Titoli e shock'!$B$17,$C341&lt;='1 - Titoli e shock'!$B$17),$D$36*G$6/2*(1-'1 - Titoli e shock'!$B$8),0)</f>
        <v>393.73928012080239</v>
      </c>
      <c r="H341" s="20">
        <f>IF(AND($B$36&lt;='1 - Titoli e shock'!$B$17,$C341&lt;='1 - Titoli e shock'!$B$17),$D$36*H$6/2*(1-'1 - Titoli e shock'!$B$8),0)</f>
        <v>480.3127049752905</v>
      </c>
      <c r="I341" s="20">
        <f>IF(AND($B$36&lt;='1 - Titoli e shock'!$B$17,$C341&lt;='1 - Titoli e shock'!$B$17),$D$36*I$6/2*(1-'1 - Titoli e shock'!$B$8),0)</f>
        <v>566.47674569991568</v>
      </c>
      <c r="J341" s="20">
        <f>IF(AND($B$36&lt;='1 - Titoli e shock'!$B$17,$C341&lt;='1 - Titoli e shock'!$B$17),$D$36*J$6/2*(1-'1 - Titoli e shock'!$B$8),0)</f>
        <v>415.42133587383194</v>
      </c>
      <c r="K341" s="20">
        <f>IF(AND($B$36&lt;='1 - Titoli e shock'!$B$17,$C341&lt;='1 - Titoli e shock'!$B$17),$D$36*K$6/2*(1-'1 - Titoli e shock'!$B$8),0)</f>
        <v>437.0775304805544</v>
      </c>
      <c r="L341" s="20">
        <f>IF(AND($B$36&lt;='1 - Titoli e shock'!$B$17,$C341&lt;='1 - Titoli e shock'!$B$17),$D$36*L$6/2*(1-'1 - Titoli e shock'!$B$8),0)</f>
        <v>445.73278789975348</v>
      </c>
      <c r="M341" s="20">
        <f>IF(AND($B$36&lt;='1 - Titoli e shock'!$B$17,$C341&lt;='1 - Titoli e shock'!$B$17),$D$36*M$6/2*(1-'1 - Titoli e shock'!$B$8),0)</f>
        <v>454.38392819608652</v>
      </c>
      <c r="N341" s="20">
        <f>IF(AND($B$36&lt;='1 - Titoli e shock'!$B$17,$C341&lt;='1 - Titoli e shock'!$B$17),$D$36*N$6/2*(1-'1 - Titoli e shock'!$B$8),0)</f>
        <v>463.03095723925873</v>
      </c>
      <c r="O341" s="20">
        <f>IF(AND($B$36&lt;='1 - Titoli e shock'!$B$17,$C341&lt;='1 - Titoli e shock'!$B$17),$D$36*O$6/2*(1-'1 - Titoli e shock'!$B$8),0)</f>
        <v>471.67388088503014</v>
      </c>
      <c r="P341" s="20">
        <f>IF(AND($B$36&lt;='1 - Titoli e shock'!$B$17,$C341&lt;='1 - Titoli e shock'!$B$17),$D$36*P$6/2*(1-'1 - Titoli e shock'!$B$8),0)</f>
        <v>488.94743533806673</v>
      </c>
      <c r="Q341" s="20">
        <f>IF(AND($B$36&lt;='1 - Titoli e shock'!$B$17,$C341&lt;='1 - Titoli e shock'!$B$17),$D$36*Q$6/2*(1-'1 - Titoli e shock'!$B$8),0)</f>
        <v>497.57807778761389</v>
      </c>
      <c r="R341" s="20">
        <f>IF(AND($B$36&lt;='1 - Titoli e shock'!$B$17,$C341&lt;='1 - Titoli e shock'!$B$17),$D$36*R$6/2*(1-'1 - Titoli e shock'!$B$8),0)</f>
        <v>506.20463812441159</v>
      </c>
      <c r="S341" s="20">
        <f>IF(AND($B$36&lt;='1 - Titoli e shock'!$B$17,$C341&lt;='1 - Titoli e shock'!$B$17),$D$36*S$6/2*(1-'1 - Titoli e shock'!$B$8),0)</f>
        <v>514.8271221352536</v>
      </c>
      <c r="T341" s="20">
        <f>IF(AND($B$36&lt;='1 - Titoli e shock'!$B$17,$C341&lt;='1 - Titoli e shock'!$B$17),$D$36*T$6/2*(1-'1 - Titoli e shock'!$B$8),0)</f>
        <v>523.44553559326846</v>
      </c>
      <c r="U341" s="20">
        <f>IF(AND($B$36&lt;='1 - Titoli e shock'!$B$17,$C341&lt;='1 - Titoli e shock'!$B$17),$D$36*U$6/2*(1-'1 - Titoli e shock'!$B$8),0)</f>
        <v>652.23715557304899</v>
      </c>
    </row>
    <row r="342" spans="1:21">
      <c r="A342" s="15" t="s">
        <v>267</v>
      </c>
      <c r="B342" s="22" t="str">
        <f>A36</f>
        <v>BTP 3,00% ott 2029</v>
      </c>
      <c r="C342" s="13">
        <f>EDATE($B$36,6*15)</f>
        <v>50131</v>
      </c>
      <c r="D342" s="23">
        <f>MAX(1,(YEAR(C342)-YEAR('1 - Titoli e shock'!$B$6))+IF(MONTH(C342)*100+DAY(C342)&gt;MONTH('1 - Titoli e shock'!$B$6)*100+DAY('1 - Titoli e shock'!$B$6),1,0))</f>
        <v>11</v>
      </c>
      <c r="F342" s="20">
        <f>IF(AND($B$36&lt;='1 - Titoli e shock'!$B$17,$C342&lt;='1 - Titoli e shock'!$B$17),$D$36*F$6/2*(1-'1 - Titoli e shock'!$B$8),0)</f>
        <v>0</v>
      </c>
      <c r="G342" s="20">
        <f>IF(AND($B$36&lt;='1 - Titoli e shock'!$B$17,$C342&lt;='1 - Titoli e shock'!$B$17),$D$36*G$6/2*(1-'1 - Titoli e shock'!$B$8),0)</f>
        <v>0</v>
      </c>
      <c r="H342" s="20">
        <f>IF(AND($B$36&lt;='1 - Titoli e shock'!$B$17,$C342&lt;='1 - Titoli e shock'!$B$17),$D$36*H$6/2*(1-'1 - Titoli e shock'!$B$8),0)</f>
        <v>0</v>
      </c>
      <c r="I342" s="20">
        <f>IF(AND($B$36&lt;='1 - Titoli e shock'!$B$17,$C342&lt;='1 - Titoli e shock'!$B$17),$D$36*I$6/2*(1-'1 - Titoli e shock'!$B$8),0)</f>
        <v>0</v>
      </c>
      <c r="J342" s="20">
        <f>IF(AND($B$36&lt;='1 - Titoli e shock'!$B$17,$C342&lt;='1 - Titoli e shock'!$B$17),$D$36*J$6/2*(1-'1 - Titoli e shock'!$B$8),0)</f>
        <v>0</v>
      </c>
      <c r="K342" s="20">
        <f>IF(AND($B$36&lt;='1 - Titoli e shock'!$B$17,$C342&lt;='1 - Titoli e shock'!$B$17),$D$36*K$6/2*(1-'1 - Titoli e shock'!$B$8),0)</f>
        <v>0</v>
      </c>
      <c r="L342" s="20">
        <f>IF(AND($B$36&lt;='1 - Titoli e shock'!$B$17,$C342&lt;='1 - Titoli e shock'!$B$17),$D$36*L$6/2*(1-'1 - Titoli e shock'!$B$8),0)</f>
        <v>0</v>
      </c>
      <c r="M342" s="20">
        <f>IF(AND($B$36&lt;='1 - Titoli e shock'!$B$17,$C342&lt;='1 - Titoli e shock'!$B$17),$D$36*M$6/2*(1-'1 - Titoli e shock'!$B$8),0)</f>
        <v>0</v>
      </c>
      <c r="N342" s="20">
        <f>IF(AND($B$36&lt;='1 - Titoli e shock'!$B$17,$C342&lt;='1 - Titoli e shock'!$B$17),$D$36*N$6/2*(1-'1 - Titoli e shock'!$B$8),0)</f>
        <v>0</v>
      </c>
      <c r="O342" s="20">
        <f>IF(AND($B$36&lt;='1 - Titoli e shock'!$B$17,$C342&lt;='1 - Titoli e shock'!$B$17),$D$36*O$6/2*(1-'1 - Titoli e shock'!$B$8),0)</f>
        <v>0</v>
      </c>
      <c r="P342" s="20">
        <f>IF(AND($B$36&lt;='1 - Titoli e shock'!$B$17,$C342&lt;='1 - Titoli e shock'!$B$17),$D$36*P$6/2*(1-'1 - Titoli e shock'!$B$8),0)</f>
        <v>0</v>
      </c>
      <c r="Q342" s="20">
        <f>IF(AND($B$36&lt;='1 - Titoli e shock'!$B$17,$C342&lt;='1 - Titoli e shock'!$B$17),$D$36*Q$6/2*(1-'1 - Titoli e shock'!$B$8),0)</f>
        <v>0</v>
      </c>
      <c r="R342" s="20">
        <f>IF(AND($B$36&lt;='1 - Titoli e shock'!$B$17,$C342&lt;='1 - Titoli e shock'!$B$17),$D$36*R$6/2*(1-'1 - Titoli e shock'!$B$8),0)</f>
        <v>0</v>
      </c>
      <c r="S342" s="20">
        <f>IF(AND($B$36&lt;='1 - Titoli e shock'!$B$17,$C342&lt;='1 - Titoli e shock'!$B$17),$D$36*S$6/2*(1-'1 - Titoli e shock'!$B$8),0)</f>
        <v>0</v>
      </c>
      <c r="T342" s="20">
        <f>IF(AND($B$36&lt;='1 - Titoli e shock'!$B$17,$C342&lt;='1 - Titoli e shock'!$B$17),$D$36*T$6/2*(1-'1 - Titoli e shock'!$B$8),0)</f>
        <v>0</v>
      </c>
      <c r="U342" s="20">
        <f>IF(AND($B$36&lt;='1 - Titoli e shock'!$B$17,$C342&lt;='1 - Titoli e shock'!$B$17),$D$36*U$6/2*(1-'1 - Titoli e shock'!$B$8),0)</f>
        <v>0</v>
      </c>
    </row>
    <row r="343" spans="1:21">
      <c r="A343" s="15" t="s">
        <v>267</v>
      </c>
      <c r="B343" s="22" t="str">
        <f>A36</f>
        <v>BTP 3,00% ott 2029</v>
      </c>
      <c r="C343" s="13">
        <f>EDATE($B$36,6*16)</f>
        <v>50314</v>
      </c>
      <c r="D343" s="23">
        <f>MAX(1,(YEAR(C343)-YEAR('1 - Titoli e shock'!$B$6))+IF(MONTH(C343)*100+DAY(C343)&gt;MONTH('1 - Titoli e shock'!$B$6)*100+DAY('1 - Titoli e shock'!$B$6),1,0))</f>
        <v>11</v>
      </c>
      <c r="F343" s="20">
        <f>IF(AND($B$36&lt;='1 - Titoli e shock'!$B$17,$C343&lt;='1 - Titoli e shock'!$B$17),$D$36*F$6/2*(1-'1 - Titoli e shock'!$B$8),0)</f>
        <v>0</v>
      </c>
      <c r="G343" s="20">
        <f>IF(AND($B$36&lt;='1 - Titoli e shock'!$B$17,$C343&lt;='1 - Titoli e shock'!$B$17),$D$36*G$6/2*(1-'1 - Titoli e shock'!$B$8),0)</f>
        <v>0</v>
      </c>
      <c r="H343" s="20">
        <f>IF(AND($B$36&lt;='1 - Titoli e shock'!$B$17,$C343&lt;='1 - Titoli e shock'!$B$17),$D$36*H$6/2*(1-'1 - Titoli e shock'!$B$8),0)</f>
        <v>0</v>
      </c>
      <c r="I343" s="20">
        <f>IF(AND($B$36&lt;='1 - Titoli e shock'!$B$17,$C343&lt;='1 - Titoli e shock'!$B$17),$D$36*I$6/2*(1-'1 - Titoli e shock'!$B$8),0)</f>
        <v>0</v>
      </c>
      <c r="J343" s="20">
        <f>IF(AND($B$36&lt;='1 - Titoli e shock'!$B$17,$C343&lt;='1 - Titoli e shock'!$B$17),$D$36*J$6/2*(1-'1 - Titoli e shock'!$B$8),0)</f>
        <v>0</v>
      </c>
      <c r="K343" s="20">
        <f>IF(AND($B$36&lt;='1 - Titoli e shock'!$B$17,$C343&lt;='1 - Titoli e shock'!$B$17),$D$36*K$6/2*(1-'1 - Titoli e shock'!$B$8),0)</f>
        <v>0</v>
      </c>
      <c r="L343" s="20">
        <f>IF(AND($B$36&lt;='1 - Titoli e shock'!$B$17,$C343&lt;='1 - Titoli e shock'!$B$17),$D$36*L$6/2*(1-'1 - Titoli e shock'!$B$8),0)</f>
        <v>0</v>
      </c>
      <c r="M343" s="20">
        <f>IF(AND($B$36&lt;='1 - Titoli e shock'!$B$17,$C343&lt;='1 - Titoli e shock'!$B$17),$D$36*M$6/2*(1-'1 - Titoli e shock'!$B$8),0)</f>
        <v>0</v>
      </c>
      <c r="N343" s="20">
        <f>IF(AND($B$36&lt;='1 - Titoli e shock'!$B$17,$C343&lt;='1 - Titoli e shock'!$B$17),$D$36*N$6/2*(1-'1 - Titoli e shock'!$B$8),0)</f>
        <v>0</v>
      </c>
      <c r="O343" s="20">
        <f>IF(AND($B$36&lt;='1 - Titoli e shock'!$B$17,$C343&lt;='1 - Titoli e shock'!$B$17),$D$36*O$6/2*(1-'1 - Titoli e shock'!$B$8),0)</f>
        <v>0</v>
      </c>
      <c r="P343" s="20">
        <f>IF(AND($B$36&lt;='1 - Titoli e shock'!$B$17,$C343&lt;='1 - Titoli e shock'!$B$17),$D$36*P$6/2*(1-'1 - Titoli e shock'!$B$8),0)</f>
        <v>0</v>
      </c>
      <c r="Q343" s="20">
        <f>IF(AND($B$36&lt;='1 - Titoli e shock'!$B$17,$C343&lt;='1 - Titoli e shock'!$B$17),$D$36*Q$6/2*(1-'1 - Titoli e shock'!$B$8),0)</f>
        <v>0</v>
      </c>
      <c r="R343" s="20">
        <f>IF(AND($B$36&lt;='1 - Titoli e shock'!$B$17,$C343&lt;='1 - Titoli e shock'!$B$17),$D$36*R$6/2*(1-'1 - Titoli e shock'!$B$8),0)</f>
        <v>0</v>
      </c>
      <c r="S343" s="20">
        <f>IF(AND($B$36&lt;='1 - Titoli e shock'!$B$17,$C343&lt;='1 - Titoli e shock'!$B$17),$D$36*S$6/2*(1-'1 - Titoli e shock'!$B$8),0)</f>
        <v>0</v>
      </c>
      <c r="T343" s="20">
        <f>IF(AND($B$36&lt;='1 - Titoli e shock'!$B$17,$C343&lt;='1 - Titoli e shock'!$B$17),$D$36*T$6/2*(1-'1 - Titoli e shock'!$B$8),0)</f>
        <v>0</v>
      </c>
      <c r="U343" s="20">
        <f>IF(AND($B$36&lt;='1 - Titoli e shock'!$B$17,$C343&lt;='1 - Titoli e shock'!$B$17),$D$36*U$6/2*(1-'1 - Titoli e shock'!$B$8),0)</f>
        <v>0</v>
      </c>
    </row>
    <row r="344" spans="1:21">
      <c r="A344" s="15" t="s">
        <v>267</v>
      </c>
      <c r="B344" s="22" t="str">
        <f>A36</f>
        <v>BTP 3,00% ott 2029</v>
      </c>
      <c r="C344" s="13">
        <f>EDATE($B$36,6*17)</f>
        <v>50496</v>
      </c>
      <c r="D344" s="23">
        <f>MAX(1,(YEAR(C344)-YEAR('1 - Titoli e shock'!$B$6))+IF(MONTH(C344)*100+DAY(C344)&gt;MONTH('1 - Titoli e shock'!$B$6)*100+DAY('1 - Titoli e shock'!$B$6),1,0))</f>
        <v>12</v>
      </c>
      <c r="F344" s="20">
        <f>IF(AND($B$36&lt;='1 - Titoli e shock'!$B$17,$C344&lt;='1 - Titoli e shock'!$B$17),$D$36*F$6/2*(1-'1 - Titoli e shock'!$B$8),0)</f>
        <v>0</v>
      </c>
      <c r="G344" s="20">
        <f>IF(AND($B$36&lt;='1 - Titoli e shock'!$B$17,$C344&lt;='1 - Titoli e shock'!$B$17),$D$36*G$6/2*(1-'1 - Titoli e shock'!$B$8),0)</f>
        <v>0</v>
      </c>
      <c r="H344" s="20">
        <f>IF(AND($B$36&lt;='1 - Titoli e shock'!$B$17,$C344&lt;='1 - Titoli e shock'!$B$17),$D$36*H$6/2*(1-'1 - Titoli e shock'!$B$8),0)</f>
        <v>0</v>
      </c>
      <c r="I344" s="20">
        <f>IF(AND($B$36&lt;='1 - Titoli e shock'!$B$17,$C344&lt;='1 - Titoli e shock'!$B$17),$D$36*I$6/2*(1-'1 - Titoli e shock'!$B$8),0)</f>
        <v>0</v>
      </c>
      <c r="J344" s="20">
        <f>IF(AND($B$36&lt;='1 - Titoli e shock'!$B$17,$C344&lt;='1 - Titoli e shock'!$B$17),$D$36*J$6/2*(1-'1 - Titoli e shock'!$B$8),0)</f>
        <v>0</v>
      </c>
      <c r="K344" s="20">
        <f>IF(AND($B$36&lt;='1 - Titoli e shock'!$B$17,$C344&lt;='1 - Titoli e shock'!$B$17),$D$36*K$6/2*(1-'1 - Titoli e shock'!$B$8),0)</f>
        <v>0</v>
      </c>
      <c r="L344" s="20">
        <f>IF(AND($B$36&lt;='1 - Titoli e shock'!$B$17,$C344&lt;='1 - Titoli e shock'!$B$17),$D$36*L$6/2*(1-'1 - Titoli e shock'!$B$8),0)</f>
        <v>0</v>
      </c>
      <c r="M344" s="20">
        <f>IF(AND($B$36&lt;='1 - Titoli e shock'!$B$17,$C344&lt;='1 - Titoli e shock'!$B$17),$D$36*M$6/2*(1-'1 - Titoli e shock'!$B$8),0)</f>
        <v>0</v>
      </c>
      <c r="N344" s="20">
        <f>IF(AND($B$36&lt;='1 - Titoli e shock'!$B$17,$C344&lt;='1 - Titoli e shock'!$B$17),$D$36*N$6/2*(1-'1 - Titoli e shock'!$B$8),0)</f>
        <v>0</v>
      </c>
      <c r="O344" s="20">
        <f>IF(AND($B$36&lt;='1 - Titoli e shock'!$B$17,$C344&lt;='1 - Titoli e shock'!$B$17),$D$36*O$6/2*(1-'1 - Titoli e shock'!$B$8),0)</f>
        <v>0</v>
      </c>
      <c r="P344" s="20">
        <f>IF(AND($B$36&lt;='1 - Titoli e shock'!$B$17,$C344&lt;='1 - Titoli e shock'!$B$17),$D$36*P$6/2*(1-'1 - Titoli e shock'!$B$8),0)</f>
        <v>0</v>
      </c>
      <c r="Q344" s="20">
        <f>IF(AND($B$36&lt;='1 - Titoli e shock'!$B$17,$C344&lt;='1 - Titoli e shock'!$B$17),$D$36*Q$6/2*(1-'1 - Titoli e shock'!$B$8),0)</f>
        <v>0</v>
      </c>
      <c r="R344" s="20">
        <f>IF(AND($B$36&lt;='1 - Titoli e shock'!$B$17,$C344&lt;='1 - Titoli e shock'!$B$17),$D$36*R$6/2*(1-'1 - Titoli e shock'!$B$8),0)</f>
        <v>0</v>
      </c>
      <c r="S344" s="20">
        <f>IF(AND($B$36&lt;='1 - Titoli e shock'!$B$17,$C344&lt;='1 - Titoli e shock'!$B$17),$D$36*S$6/2*(1-'1 - Titoli e shock'!$B$8),0)</f>
        <v>0</v>
      </c>
      <c r="T344" s="20">
        <f>IF(AND($B$36&lt;='1 - Titoli e shock'!$B$17,$C344&lt;='1 - Titoli e shock'!$B$17),$D$36*T$6/2*(1-'1 - Titoli e shock'!$B$8),0)</f>
        <v>0</v>
      </c>
      <c r="U344" s="20">
        <f>IF(AND($B$36&lt;='1 - Titoli e shock'!$B$17,$C344&lt;='1 - Titoli e shock'!$B$17),$D$36*U$6/2*(1-'1 - Titoli e shock'!$B$8),0)</f>
        <v>0</v>
      </c>
    </row>
    <row r="345" spans="1:21">
      <c r="A345" s="15" t="s">
        <v>267</v>
      </c>
      <c r="B345" s="22" t="str">
        <f>A36</f>
        <v>BTP 3,00% ott 2029</v>
      </c>
      <c r="C345" s="13">
        <f>EDATE($B$36,6*18)</f>
        <v>50679</v>
      </c>
      <c r="D345" s="23">
        <f>MAX(1,(YEAR(C345)-YEAR('1 - Titoli e shock'!$B$6))+IF(MONTH(C345)*100+DAY(C345)&gt;MONTH('1 - Titoli e shock'!$B$6)*100+DAY('1 - Titoli e shock'!$B$6),1,0))</f>
        <v>12</v>
      </c>
      <c r="F345" s="20">
        <f>IF(AND($B$36&lt;='1 - Titoli e shock'!$B$17,$C345&lt;='1 - Titoli e shock'!$B$17),$D$36*F$6/2*(1-'1 - Titoli e shock'!$B$8),0)</f>
        <v>0</v>
      </c>
      <c r="G345" s="20">
        <f>IF(AND($B$36&lt;='1 - Titoli e shock'!$B$17,$C345&lt;='1 - Titoli e shock'!$B$17),$D$36*G$6/2*(1-'1 - Titoli e shock'!$B$8),0)</f>
        <v>0</v>
      </c>
      <c r="H345" s="20">
        <f>IF(AND($B$36&lt;='1 - Titoli e shock'!$B$17,$C345&lt;='1 - Titoli e shock'!$B$17),$D$36*H$6/2*(1-'1 - Titoli e shock'!$B$8),0)</f>
        <v>0</v>
      </c>
      <c r="I345" s="20">
        <f>IF(AND($B$36&lt;='1 - Titoli e shock'!$B$17,$C345&lt;='1 - Titoli e shock'!$B$17),$D$36*I$6/2*(1-'1 - Titoli e shock'!$B$8),0)</f>
        <v>0</v>
      </c>
      <c r="J345" s="20">
        <f>IF(AND($B$36&lt;='1 - Titoli e shock'!$B$17,$C345&lt;='1 - Titoli e shock'!$B$17),$D$36*J$6/2*(1-'1 - Titoli e shock'!$B$8),0)</f>
        <v>0</v>
      </c>
      <c r="K345" s="20">
        <f>IF(AND($B$36&lt;='1 - Titoli e shock'!$B$17,$C345&lt;='1 - Titoli e shock'!$B$17),$D$36*K$6/2*(1-'1 - Titoli e shock'!$B$8),0)</f>
        <v>0</v>
      </c>
      <c r="L345" s="20">
        <f>IF(AND($B$36&lt;='1 - Titoli e shock'!$B$17,$C345&lt;='1 - Titoli e shock'!$B$17),$D$36*L$6/2*(1-'1 - Titoli e shock'!$B$8),0)</f>
        <v>0</v>
      </c>
      <c r="M345" s="20">
        <f>IF(AND($B$36&lt;='1 - Titoli e shock'!$B$17,$C345&lt;='1 - Titoli e shock'!$B$17),$D$36*M$6/2*(1-'1 - Titoli e shock'!$B$8),0)</f>
        <v>0</v>
      </c>
      <c r="N345" s="20">
        <f>IF(AND($B$36&lt;='1 - Titoli e shock'!$B$17,$C345&lt;='1 - Titoli e shock'!$B$17),$D$36*N$6/2*(1-'1 - Titoli e shock'!$B$8),0)</f>
        <v>0</v>
      </c>
      <c r="O345" s="20">
        <f>IF(AND($B$36&lt;='1 - Titoli e shock'!$B$17,$C345&lt;='1 - Titoli e shock'!$B$17),$D$36*O$6/2*(1-'1 - Titoli e shock'!$B$8),0)</f>
        <v>0</v>
      </c>
      <c r="P345" s="20">
        <f>IF(AND($B$36&lt;='1 - Titoli e shock'!$B$17,$C345&lt;='1 - Titoli e shock'!$B$17),$D$36*P$6/2*(1-'1 - Titoli e shock'!$B$8),0)</f>
        <v>0</v>
      </c>
      <c r="Q345" s="20">
        <f>IF(AND($B$36&lt;='1 - Titoli e shock'!$B$17,$C345&lt;='1 - Titoli e shock'!$B$17),$D$36*Q$6/2*(1-'1 - Titoli e shock'!$B$8),0)</f>
        <v>0</v>
      </c>
      <c r="R345" s="20">
        <f>IF(AND($B$36&lt;='1 - Titoli e shock'!$B$17,$C345&lt;='1 - Titoli e shock'!$B$17),$D$36*R$6/2*(1-'1 - Titoli e shock'!$B$8),0)</f>
        <v>0</v>
      </c>
      <c r="S345" s="20">
        <f>IF(AND($B$36&lt;='1 - Titoli e shock'!$B$17,$C345&lt;='1 - Titoli e shock'!$B$17),$D$36*S$6/2*(1-'1 - Titoli e shock'!$B$8),0)</f>
        <v>0</v>
      </c>
      <c r="T345" s="20">
        <f>IF(AND($B$36&lt;='1 - Titoli e shock'!$B$17,$C345&lt;='1 - Titoli e shock'!$B$17),$D$36*T$6/2*(1-'1 - Titoli e shock'!$B$8),0)</f>
        <v>0</v>
      </c>
      <c r="U345" s="20">
        <f>IF(AND($B$36&lt;='1 - Titoli e shock'!$B$17,$C345&lt;='1 - Titoli e shock'!$B$17),$D$36*U$6/2*(1-'1 - Titoli e shock'!$B$8),0)</f>
        <v>0</v>
      </c>
    </row>
    <row r="346" spans="1:21">
      <c r="A346" s="15" t="s">
        <v>267</v>
      </c>
      <c r="B346" s="22" t="str">
        <f>A36</f>
        <v>BTP 3,00% ott 2029</v>
      </c>
      <c r="C346" s="13">
        <f>EDATE($B$36,6*19)</f>
        <v>50861</v>
      </c>
      <c r="D346" s="23">
        <f>MAX(1,(YEAR(C346)-YEAR('1 - Titoli e shock'!$B$6))+IF(MONTH(C346)*100+DAY(C346)&gt;MONTH('1 - Titoli e shock'!$B$6)*100+DAY('1 - Titoli e shock'!$B$6),1,0))</f>
        <v>13</v>
      </c>
      <c r="F346" s="20">
        <f>IF(AND($B$36&lt;='1 - Titoli e shock'!$B$17,$C346&lt;='1 - Titoli e shock'!$B$17),$D$36*F$6/2*(1-'1 - Titoli e shock'!$B$8),0)</f>
        <v>0</v>
      </c>
      <c r="G346" s="20">
        <f>IF(AND($B$36&lt;='1 - Titoli e shock'!$B$17,$C346&lt;='1 - Titoli e shock'!$B$17),$D$36*G$6/2*(1-'1 - Titoli e shock'!$B$8),0)</f>
        <v>0</v>
      </c>
      <c r="H346" s="20">
        <f>IF(AND($B$36&lt;='1 - Titoli e shock'!$B$17,$C346&lt;='1 - Titoli e shock'!$B$17),$D$36*H$6/2*(1-'1 - Titoli e shock'!$B$8),0)</f>
        <v>0</v>
      </c>
      <c r="I346" s="20">
        <f>IF(AND($B$36&lt;='1 - Titoli e shock'!$B$17,$C346&lt;='1 - Titoli e shock'!$B$17),$D$36*I$6/2*(1-'1 - Titoli e shock'!$B$8),0)</f>
        <v>0</v>
      </c>
      <c r="J346" s="20">
        <f>IF(AND($B$36&lt;='1 - Titoli e shock'!$B$17,$C346&lt;='1 - Titoli e shock'!$B$17),$D$36*J$6/2*(1-'1 - Titoli e shock'!$B$8),0)</f>
        <v>0</v>
      </c>
      <c r="K346" s="20">
        <f>IF(AND($B$36&lt;='1 - Titoli e shock'!$B$17,$C346&lt;='1 - Titoli e shock'!$B$17),$D$36*K$6/2*(1-'1 - Titoli e shock'!$B$8),0)</f>
        <v>0</v>
      </c>
      <c r="L346" s="20">
        <f>IF(AND($B$36&lt;='1 - Titoli e shock'!$B$17,$C346&lt;='1 - Titoli e shock'!$B$17),$D$36*L$6/2*(1-'1 - Titoli e shock'!$B$8),0)</f>
        <v>0</v>
      </c>
      <c r="M346" s="20">
        <f>IF(AND($B$36&lt;='1 - Titoli e shock'!$B$17,$C346&lt;='1 - Titoli e shock'!$B$17),$D$36*M$6/2*(1-'1 - Titoli e shock'!$B$8),0)</f>
        <v>0</v>
      </c>
      <c r="N346" s="20">
        <f>IF(AND($B$36&lt;='1 - Titoli e shock'!$B$17,$C346&lt;='1 - Titoli e shock'!$B$17),$D$36*N$6/2*(1-'1 - Titoli e shock'!$B$8),0)</f>
        <v>0</v>
      </c>
      <c r="O346" s="20">
        <f>IF(AND($B$36&lt;='1 - Titoli e shock'!$B$17,$C346&lt;='1 - Titoli e shock'!$B$17),$D$36*O$6/2*(1-'1 - Titoli e shock'!$B$8),0)</f>
        <v>0</v>
      </c>
      <c r="P346" s="20">
        <f>IF(AND($B$36&lt;='1 - Titoli e shock'!$B$17,$C346&lt;='1 - Titoli e shock'!$B$17),$D$36*P$6/2*(1-'1 - Titoli e shock'!$B$8),0)</f>
        <v>0</v>
      </c>
      <c r="Q346" s="20">
        <f>IF(AND($B$36&lt;='1 - Titoli e shock'!$B$17,$C346&lt;='1 - Titoli e shock'!$B$17),$D$36*Q$6/2*(1-'1 - Titoli e shock'!$B$8),0)</f>
        <v>0</v>
      </c>
      <c r="R346" s="20">
        <f>IF(AND($B$36&lt;='1 - Titoli e shock'!$B$17,$C346&lt;='1 - Titoli e shock'!$B$17),$D$36*R$6/2*(1-'1 - Titoli e shock'!$B$8),0)</f>
        <v>0</v>
      </c>
      <c r="S346" s="20">
        <f>IF(AND($B$36&lt;='1 - Titoli e shock'!$B$17,$C346&lt;='1 - Titoli e shock'!$B$17),$D$36*S$6/2*(1-'1 - Titoli e shock'!$B$8),0)</f>
        <v>0</v>
      </c>
      <c r="T346" s="20">
        <f>IF(AND($B$36&lt;='1 - Titoli e shock'!$B$17,$C346&lt;='1 - Titoli e shock'!$B$17),$D$36*T$6/2*(1-'1 - Titoli e shock'!$B$8),0)</f>
        <v>0</v>
      </c>
      <c r="U346" s="20">
        <f>IF(AND($B$36&lt;='1 - Titoli e shock'!$B$17,$C346&lt;='1 - Titoli e shock'!$B$17),$D$36*U$6/2*(1-'1 - Titoli e shock'!$B$8),0)</f>
        <v>0</v>
      </c>
    </row>
    <row r="347" spans="1:21">
      <c r="A347" s="15" t="s">
        <v>267</v>
      </c>
      <c r="B347" s="22" t="str">
        <f>A36</f>
        <v>BTP 3,00% ott 2029</v>
      </c>
      <c r="C347" s="13">
        <f>EDATE($B$36,6*20)</f>
        <v>51044</v>
      </c>
      <c r="D347" s="23">
        <f>MAX(1,(YEAR(C347)-YEAR('1 - Titoli e shock'!$B$6))+IF(MONTH(C347)*100+DAY(C347)&gt;MONTH('1 - Titoli e shock'!$B$6)*100+DAY('1 - Titoli e shock'!$B$6),1,0))</f>
        <v>13</v>
      </c>
      <c r="F347" s="20">
        <f>IF(AND($B$36&lt;='1 - Titoli e shock'!$B$17,$C347&lt;='1 - Titoli e shock'!$B$17),$D$36*F$6/2*(1-'1 - Titoli e shock'!$B$8),0)</f>
        <v>0</v>
      </c>
      <c r="G347" s="20">
        <f>IF(AND($B$36&lt;='1 - Titoli e shock'!$B$17,$C347&lt;='1 - Titoli e shock'!$B$17),$D$36*G$6/2*(1-'1 - Titoli e shock'!$B$8),0)</f>
        <v>0</v>
      </c>
      <c r="H347" s="20">
        <f>IF(AND($B$36&lt;='1 - Titoli e shock'!$B$17,$C347&lt;='1 - Titoli e shock'!$B$17),$D$36*H$6/2*(1-'1 - Titoli e shock'!$B$8),0)</f>
        <v>0</v>
      </c>
      <c r="I347" s="20">
        <f>IF(AND($B$36&lt;='1 - Titoli e shock'!$B$17,$C347&lt;='1 - Titoli e shock'!$B$17),$D$36*I$6/2*(1-'1 - Titoli e shock'!$B$8),0)</f>
        <v>0</v>
      </c>
      <c r="J347" s="20">
        <f>IF(AND($B$36&lt;='1 - Titoli e shock'!$B$17,$C347&lt;='1 - Titoli e shock'!$B$17),$D$36*J$6/2*(1-'1 - Titoli e shock'!$B$8),0)</f>
        <v>0</v>
      </c>
      <c r="K347" s="20">
        <f>IF(AND($B$36&lt;='1 - Titoli e shock'!$B$17,$C347&lt;='1 - Titoli e shock'!$B$17),$D$36*K$6/2*(1-'1 - Titoli e shock'!$B$8),0)</f>
        <v>0</v>
      </c>
      <c r="L347" s="20">
        <f>IF(AND($B$36&lt;='1 - Titoli e shock'!$B$17,$C347&lt;='1 - Titoli e shock'!$B$17),$D$36*L$6/2*(1-'1 - Titoli e shock'!$B$8),0)</f>
        <v>0</v>
      </c>
      <c r="M347" s="20">
        <f>IF(AND($B$36&lt;='1 - Titoli e shock'!$B$17,$C347&lt;='1 - Titoli e shock'!$B$17),$D$36*M$6/2*(1-'1 - Titoli e shock'!$B$8),0)</f>
        <v>0</v>
      </c>
      <c r="N347" s="20">
        <f>IF(AND($B$36&lt;='1 - Titoli e shock'!$B$17,$C347&lt;='1 - Titoli e shock'!$B$17),$D$36*N$6/2*(1-'1 - Titoli e shock'!$B$8),0)</f>
        <v>0</v>
      </c>
      <c r="O347" s="20">
        <f>IF(AND($B$36&lt;='1 - Titoli e shock'!$B$17,$C347&lt;='1 - Titoli e shock'!$B$17),$D$36*O$6/2*(1-'1 - Titoli e shock'!$B$8),0)</f>
        <v>0</v>
      </c>
      <c r="P347" s="20">
        <f>IF(AND($B$36&lt;='1 - Titoli e shock'!$B$17,$C347&lt;='1 - Titoli e shock'!$B$17),$D$36*P$6/2*(1-'1 - Titoli e shock'!$B$8),0)</f>
        <v>0</v>
      </c>
      <c r="Q347" s="20">
        <f>IF(AND($B$36&lt;='1 - Titoli e shock'!$B$17,$C347&lt;='1 - Titoli e shock'!$B$17),$D$36*Q$6/2*(1-'1 - Titoli e shock'!$B$8),0)</f>
        <v>0</v>
      </c>
      <c r="R347" s="20">
        <f>IF(AND($B$36&lt;='1 - Titoli e shock'!$B$17,$C347&lt;='1 - Titoli e shock'!$B$17),$D$36*R$6/2*(1-'1 - Titoli e shock'!$B$8),0)</f>
        <v>0</v>
      </c>
      <c r="S347" s="20">
        <f>IF(AND($B$36&lt;='1 - Titoli e shock'!$B$17,$C347&lt;='1 - Titoli e shock'!$B$17),$D$36*S$6/2*(1-'1 - Titoli e shock'!$B$8),0)</f>
        <v>0</v>
      </c>
      <c r="T347" s="20">
        <f>IF(AND($B$36&lt;='1 - Titoli e shock'!$B$17,$C347&lt;='1 - Titoli e shock'!$B$17),$D$36*T$6/2*(1-'1 - Titoli e shock'!$B$8),0)</f>
        <v>0</v>
      </c>
      <c r="U347" s="20">
        <f>IF(AND($B$36&lt;='1 - Titoli e shock'!$B$17,$C347&lt;='1 - Titoli e shock'!$B$17),$D$36*U$6/2*(1-'1 - Titoli e shock'!$B$8),0)</f>
        <v>0</v>
      </c>
    </row>
    <row r="348" spans="1:21">
      <c r="A348" s="15" t="s">
        <v>268</v>
      </c>
      <c r="B348" s="22" t="str">
        <f>A36</f>
        <v>BTP 3,00% ott 2029</v>
      </c>
      <c r="C348" s="13">
        <f>EDATE($B$36,120)</f>
        <v>51044</v>
      </c>
      <c r="D348" s="23">
        <f>MAX(1,(YEAR(C348)-YEAR('1 - Titoli e shock'!$B$6))+IF(MONTH(C348)*100+DAY(C348)&gt;MONTH('1 - Titoli e shock'!$B$6)*100+DAY('1 - Titoli e shock'!$B$6),1,0))</f>
        <v>13</v>
      </c>
      <c r="F348" s="20">
        <f>IF(AND($B$36&lt;='1 - Titoli e shock'!$B$17,$C348&lt;='1 - Titoli e shock'!$B$17),$D$36,0)</f>
        <v>0</v>
      </c>
      <c r="G348" s="20">
        <f>IF(AND($B$36&lt;='1 - Titoli e shock'!$B$17,$C348&lt;='1 - Titoli e shock'!$B$17),$D$36,0)</f>
        <v>0</v>
      </c>
      <c r="H348" s="20">
        <f>IF(AND($B$36&lt;='1 - Titoli e shock'!$B$17,$C348&lt;='1 - Titoli e shock'!$B$17),$D$36,0)</f>
        <v>0</v>
      </c>
      <c r="I348" s="20">
        <f>IF(AND($B$36&lt;='1 - Titoli e shock'!$B$17,$C348&lt;='1 - Titoli e shock'!$B$17),$D$36,0)</f>
        <v>0</v>
      </c>
      <c r="J348" s="20">
        <f>IF(AND($B$36&lt;='1 - Titoli e shock'!$B$17,$C348&lt;='1 - Titoli e shock'!$B$17),$D$36,0)</f>
        <v>0</v>
      </c>
      <c r="K348" s="20">
        <f>IF(AND($B$36&lt;='1 - Titoli e shock'!$B$17,$C348&lt;='1 - Titoli e shock'!$B$17),$D$36,0)</f>
        <v>0</v>
      </c>
      <c r="L348" s="20">
        <f>IF(AND($B$36&lt;='1 - Titoli e shock'!$B$17,$C348&lt;='1 - Titoli e shock'!$B$17),$D$36,0)</f>
        <v>0</v>
      </c>
      <c r="M348" s="20">
        <f>IF(AND($B$36&lt;='1 - Titoli e shock'!$B$17,$C348&lt;='1 - Titoli e shock'!$B$17),$D$36,0)</f>
        <v>0</v>
      </c>
      <c r="N348" s="20">
        <f>IF(AND($B$36&lt;='1 - Titoli e shock'!$B$17,$C348&lt;='1 - Titoli e shock'!$B$17),$D$36,0)</f>
        <v>0</v>
      </c>
      <c r="O348" s="20">
        <f>IF(AND($B$36&lt;='1 - Titoli e shock'!$B$17,$C348&lt;='1 - Titoli e shock'!$B$17),$D$36,0)</f>
        <v>0</v>
      </c>
      <c r="P348" s="20">
        <f>IF(AND($B$36&lt;='1 - Titoli e shock'!$B$17,$C348&lt;='1 - Titoli e shock'!$B$17),$D$36,0)</f>
        <v>0</v>
      </c>
      <c r="Q348" s="20">
        <f>IF(AND($B$36&lt;='1 - Titoli e shock'!$B$17,$C348&lt;='1 - Titoli e shock'!$B$17),$D$36,0)</f>
        <v>0</v>
      </c>
      <c r="R348" s="20">
        <f>IF(AND($B$36&lt;='1 - Titoli e shock'!$B$17,$C348&lt;='1 - Titoli e shock'!$B$17),$D$36,0)</f>
        <v>0</v>
      </c>
      <c r="S348" s="20">
        <f>IF(AND($B$36&lt;='1 - Titoli e shock'!$B$17,$C348&lt;='1 - Titoli e shock'!$B$17),$D$36,0)</f>
        <v>0</v>
      </c>
      <c r="T348" s="20">
        <f>IF(AND($B$36&lt;='1 - Titoli e shock'!$B$17,$C348&lt;='1 - Titoli e shock'!$B$17),$D$36,0)</f>
        <v>0</v>
      </c>
      <c r="U348" s="20">
        <f>IF(AND($B$36&lt;='1 - Titoli e shock'!$B$17,$C348&lt;='1 - Titoli e shock'!$B$17),$D$36,0)</f>
        <v>0</v>
      </c>
    </row>
    <row r="349" spans="1:21">
      <c r="A349" s="15" t="s">
        <v>267</v>
      </c>
      <c r="B349" s="22" t="str">
        <f>A37</f>
        <v>BTP 2,70% ott 2030</v>
      </c>
      <c r="C349" s="13">
        <f>EDATE($B$37,6*1)</f>
        <v>47939</v>
      </c>
      <c r="D349" s="23">
        <f>MAX(1,(YEAR(C349)-YEAR('1 - Titoli e shock'!$B$6))+IF(MONTH(C349)*100+DAY(C349)&gt;MONTH('1 - Titoli e shock'!$B$6)*100+DAY('1 - Titoli e shock'!$B$6),1,0))</f>
        <v>5</v>
      </c>
      <c r="F349" s="20">
        <f>IF(AND($B$37&lt;='1 - Titoli e shock'!$B$17,$C349&lt;='1 - Titoli e shock'!$B$17),$D$37*F$6/2*(1-'1 - Titoli e shock'!$B$8),0)</f>
        <v>313.06156434992363</v>
      </c>
      <c r="G349" s="20">
        <f>IF(AND($B$37&lt;='1 - Titoli e shock'!$B$17,$C349&lt;='1 - Titoli e shock'!$B$17),$D$37*G$6/2*(1-'1 - Titoli e shock'!$B$8),0)</f>
        <v>401.8399412106603</v>
      </c>
      <c r="H349" s="20">
        <f>IF(AND($B$37&lt;='1 - Titoli e shock'!$B$17,$C349&lt;='1 - Titoli e shock'!$B$17),$D$37*H$6/2*(1-'1 - Titoli e shock'!$B$8),0)</f>
        <v>490.19449893540536</v>
      </c>
      <c r="I349" s="20">
        <f>IF(AND($B$37&lt;='1 - Titoli e shock'!$B$17,$C349&lt;='1 - Titoli e shock'!$B$17),$D$37*I$6/2*(1-'1 - Titoli e shock'!$B$8),0)</f>
        <v>578.13124999725869</v>
      </c>
      <c r="J349" s="20">
        <f>IF(AND($B$37&lt;='1 - Titoli e shock'!$B$17,$C349&lt;='1 - Titoli e shock'!$B$17),$D$37*J$6/2*(1-'1 - Titoli e shock'!$B$8),0)</f>
        <v>423.96807637271604</v>
      </c>
      <c r="K349" s="20">
        <f>IF(AND($B$37&lt;='1 - Titoli e shock'!$B$17,$C349&lt;='1 - Titoli e shock'!$B$17),$D$37*K$6/2*(1-'1 - Titoli e shock'!$B$8),0)</f>
        <v>446.06981832983558</v>
      </c>
      <c r="L349" s="20">
        <f>IF(AND($B$37&lt;='1 - Titoli e shock'!$B$17,$C349&lt;='1 - Titoli e shock'!$B$17),$D$37*L$6/2*(1-'1 - Titoli e shock'!$B$8),0)</f>
        <v>454.90314613860033</v>
      </c>
      <c r="M349" s="20">
        <f>IF(AND($B$37&lt;='1 - Titoli e shock'!$B$17,$C349&lt;='1 - Titoli e shock'!$B$17),$D$37*M$6/2*(1-'1 - Titoli e shock'!$B$8),0)</f>
        <v>463.73227212018151</v>
      </c>
      <c r="N349" s="20">
        <f>IF(AND($B$37&lt;='1 - Titoli e shock'!$B$17,$C349&lt;='1 - Titoli e shock'!$B$17),$D$37*N$6/2*(1-'1 - Titoli e shock'!$B$8),0)</f>
        <v>472.55720226504565</v>
      </c>
      <c r="O349" s="20">
        <f>IF(AND($B$37&lt;='1 - Titoli e shock'!$B$17,$C349&lt;='1 - Titoli e shock'!$B$17),$D$37*O$6/2*(1-'1 - Titoli e shock'!$B$8),0)</f>
        <v>481.37794254942742</v>
      </c>
      <c r="P349" s="20">
        <f>IF(AND($B$37&lt;='1 - Titoli e shock'!$B$17,$C349&lt;='1 - Titoli e shock'!$B$17),$D$37*P$6/2*(1-'1 - Titoli e shock'!$B$8),0)</f>
        <v>499.0068773709105</v>
      </c>
      <c r="Q349" s="20">
        <f>IF(AND($B$37&lt;='1 - Titoli e shock'!$B$17,$C349&lt;='1 - Titoli e shock'!$B$17),$D$37*Q$6/2*(1-'1 - Titoli e shock'!$B$8),0)</f>
        <v>507.81508378981869</v>
      </c>
      <c r="R349" s="20">
        <f>IF(AND($B$37&lt;='1 - Titoli e shock'!$B$17,$C349&lt;='1 - Titoli e shock'!$B$17),$D$37*R$6/2*(1-'1 - Titoli e shock'!$B$8),0)</f>
        <v>516.61912411194601</v>
      </c>
      <c r="S349" s="20">
        <f>IF(AND($B$37&lt;='1 - Titoli e shock'!$B$17,$C349&lt;='1 - Titoli e shock'!$B$17),$D$37*S$6/2*(1-'1 - Titoli e shock'!$B$8),0)</f>
        <v>525.41900424314247</v>
      </c>
      <c r="T349" s="20">
        <f>IF(AND($B$37&lt;='1 - Titoli e shock'!$B$17,$C349&lt;='1 - Titoli e shock'!$B$17),$D$37*T$6/2*(1-'1 - Titoli e shock'!$B$8),0)</f>
        <v>534.21473007531063</v>
      </c>
      <c r="U349" s="20">
        <f>IF(AND($B$37&lt;='1 - Titoli e shock'!$B$17,$C349&lt;='1 - Titoli e shock'!$B$17),$D$37*U$6/2*(1-'1 - Titoli e shock'!$B$8),0)</f>
        <v>665.65606604062839</v>
      </c>
    </row>
    <row r="350" spans="1:21">
      <c r="A350" s="15" t="s">
        <v>267</v>
      </c>
      <c r="B350" s="22" t="str">
        <f>A37</f>
        <v>BTP 2,70% ott 2030</v>
      </c>
      <c r="C350" s="13">
        <f>EDATE($B$37,6*2)</f>
        <v>48122</v>
      </c>
      <c r="D350" s="23">
        <f>MAX(1,(YEAR(C350)-YEAR('1 - Titoli e shock'!$B$6))+IF(MONTH(C350)*100+DAY(C350)&gt;MONTH('1 - Titoli e shock'!$B$6)*100+DAY('1 - Titoli e shock'!$B$6),1,0))</f>
        <v>5</v>
      </c>
      <c r="F350" s="20">
        <f>IF(AND($B$37&lt;='1 - Titoli e shock'!$B$17,$C350&lt;='1 - Titoli e shock'!$B$17),$D$37*F$6/2*(1-'1 - Titoli e shock'!$B$8),0)</f>
        <v>313.06156434992363</v>
      </c>
      <c r="G350" s="20">
        <f>IF(AND($B$37&lt;='1 - Titoli e shock'!$B$17,$C350&lt;='1 - Titoli e shock'!$B$17),$D$37*G$6/2*(1-'1 - Titoli e shock'!$B$8),0)</f>
        <v>401.8399412106603</v>
      </c>
      <c r="H350" s="20">
        <f>IF(AND($B$37&lt;='1 - Titoli e shock'!$B$17,$C350&lt;='1 - Titoli e shock'!$B$17),$D$37*H$6/2*(1-'1 - Titoli e shock'!$B$8),0)</f>
        <v>490.19449893540536</v>
      </c>
      <c r="I350" s="20">
        <f>IF(AND($B$37&lt;='1 - Titoli e shock'!$B$17,$C350&lt;='1 - Titoli e shock'!$B$17),$D$37*I$6/2*(1-'1 - Titoli e shock'!$B$8),0)</f>
        <v>578.13124999725869</v>
      </c>
      <c r="J350" s="20">
        <f>IF(AND($B$37&lt;='1 - Titoli e shock'!$B$17,$C350&lt;='1 - Titoli e shock'!$B$17),$D$37*J$6/2*(1-'1 - Titoli e shock'!$B$8),0)</f>
        <v>423.96807637271604</v>
      </c>
      <c r="K350" s="20">
        <f>IF(AND($B$37&lt;='1 - Titoli e shock'!$B$17,$C350&lt;='1 - Titoli e shock'!$B$17),$D$37*K$6/2*(1-'1 - Titoli e shock'!$B$8),0)</f>
        <v>446.06981832983558</v>
      </c>
      <c r="L350" s="20">
        <f>IF(AND($B$37&lt;='1 - Titoli e shock'!$B$17,$C350&lt;='1 - Titoli e shock'!$B$17),$D$37*L$6/2*(1-'1 - Titoli e shock'!$B$8),0)</f>
        <v>454.90314613860033</v>
      </c>
      <c r="M350" s="20">
        <f>IF(AND($B$37&lt;='1 - Titoli e shock'!$B$17,$C350&lt;='1 - Titoli e shock'!$B$17),$D$37*M$6/2*(1-'1 - Titoli e shock'!$B$8),0)</f>
        <v>463.73227212018151</v>
      </c>
      <c r="N350" s="20">
        <f>IF(AND($B$37&lt;='1 - Titoli e shock'!$B$17,$C350&lt;='1 - Titoli e shock'!$B$17),$D$37*N$6/2*(1-'1 - Titoli e shock'!$B$8),0)</f>
        <v>472.55720226504565</v>
      </c>
      <c r="O350" s="20">
        <f>IF(AND($B$37&lt;='1 - Titoli e shock'!$B$17,$C350&lt;='1 - Titoli e shock'!$B$17),$D$37*O$6/2*(1-'1 - Titoli e shock'!$B$8),0)</f>
        <v>481.37794254942742</v>
      </c>
      <c r="P350" s="20">
        <f>IF(AND($B$37&lt;='1 - Titoli e shock'!$B$17,$C350&lt;='1 - Titoli e shock'!$B$17),$D$37*P$6/2*(1-'1 - Titoli e shock'!$B$8),0)</f>
        <v>499.0068773709105</v>
      </c>
      <c r="Q350" s="20">
        <f>IF(AND($B$37&lt;='1 - Titoli e shock'!$B$17,$C350&lt;='1 - Titoli e shock'!$B$17),$D$37*Q$6/2*(1-'1 - Titoli e shock'!$B$8),0)</f>
        <v>507.81508378981869</v>
      </c>
      <c r="R350" s="20">
        <f>IF(AND($B$37&lt;='1 - Titoli e shock'!$B$17,$C350&lt;='1 - Titoli e shock'!$B$17),$D$37*R$6/2*(1-'1 - Titoli e shock'!$B$8),0)</f>
        <v>516.61912411194601</v>
      </c>
      <c r="S350" s="20">
        <f>IF(AND($B$37&lt;='1 - Titoli e shock'!$B$17,$C350&lt;='1 - Titoli e shock'!$B$17),$D$37*S$6/2*(1-'1 - Titoli e shock'!$B$8),0)</f>
        <v>525.41900424314247</v>
      </c>
      <c r="T350" s="20">
        <f>IF(AND($B$37&lt;='1 - Titoli e shock'!$B$17,$C350&lt;='1 - Titoli e shock'!$B$17),$D$37*T$6/2*(1-'1 - Titoli e shock'!$B$8),0)</f>
        <v>534.21473007531063</v>
      </c>
      <c r="U350" s="20">
        <f>IF(AND($B$37&lt;='1 - Titoli e shock'!$B$17,$C350&lt;='1 - Titoli e shock'!$B$17),$D$37*U$6/2*(1-'1 - Titoli e shock'!$B$8),0)</f>
        <v>665.65606604062839</v>
      </c>
    </row>
    <row r="351" spans="1:21">
      <c r="A351" s="15" t="s">
        <v>267</v>
      </c>
      <c r="B351" s="22" t="str">
        <f>A37</f>
        <v>BTP 2,70% ott 2030</v>
      </c>
      <c r="C351" s="13">
        <f>EDATE($B$37,6*3)</f>
        <v>48305</v>
      </c>
      <c r="D351" s="23">
        <f>MAX(1,(YEAR(C351)-YEAR('1 - Titoli e shock'!$B$6))+IF(MONTH(C351)*100+DAY(C351)&gt;MONTH('1 - Titoli e shock'!$B$6)*100+DAY('1 - Titoli e shock'!$B$6),1,0))</f>
        <v>6</v>
      </c>
      <c r="F351" s="20">
        <f>IF(AND($B$37&lt;='1 - Titoli e shock'!$B$17,$C351&lt;='1 - Titoli e shock'!$B$17),$D$37*F$6/2*(1-'1 - Titoli e shock'!$B$8),0)</f>
        <v>313.06156434992363</v>
      </c>
      <c r="G351" s="20">
        <f>IF(AND($B$37&lt;='1 - Titoli e shock'!$B$17,$C351&lt;='1 - Titoli e shock'!$B$17),$D$37*G$6/2*(1-'1 - Titoli e shock'!$B$8),0)</f>
        <v>401.8399412106603</v>
      </c>
      <c r="H351" s="20">
        <f>IF(AND($B$37&lt;='1 - Titoli e shock'!$B$17,$C351&lt;='1 - Titoli e shock'!$B$17),$D$37*H$6/2*(1-'1 - Titoli e shock'!$B$8),0)</f>
        <v>490.19449893540536</v>
      </c>
      <c r="I351" s="20">
        <f>IF(AND($B$37&lt;='1 - Titoli e shock'!$B$17,$C351&lt;='1 - Titoli e shock'!$B$17),$D$37*I$6/2*(1-'1 - Titoli e shock'!$B$8),0)</f>
        <v>578.13124999725869</v>
      </c>
      <c r="J351" s="20">
        <f>IF(AND($B$37&lt;='1 - Titoli e shock'!$B$17,$C351&lt;='1 - Titoli e shock'!$B$17),$D$37*J$6/2*(1-'1 - Titoli e shock'!$B$8),0)</f>
        <v>423.96807637271604</v>
      </c>
      <c r="K351" s="20">
        <f>IF(AND($B$37&lt;='1 - Titoli e shock'!$B$17,$C351&lt;='1 - Titoli e shock'!$B$17),$D$37*K$6/2*(1-'1 - Titoli e shock'!$B$8),0)</f>
        <v>446.06981832983558</v>
      </c>
      <c r="L351" s="20">
        <f>IF(AND($B$37&lt;='1 - Titoli e shock'!$B$17,$C351&lt;='1 - Titoli e shock'!$B$17),$D$37*L$6/2*(1-'1 - Titoli e shock'!$B$8),0)</f>
        <v>454.90314613860033</v>
      </c>
      <c r="M351" s="20">
        <f>IF(AND($B$37&lt;='1 - Titoli e shock'!$B$17,$C351&lt;='1 - Titoli e shock'!$B$17),$D$37*M$6/2*(1-'1 - Titoli e shock'!$B$8),0)</f>
        <v>463.73227212018151</v>
      </c>
      <c r="N351" s="20">
        <f>IF(AND($B$37&lt;='1 - Titoli e shock'!$B$17,$C351&lt;='1 - Titoli e shock'!$B$17),$D$37*N$6/2*(1-'1 - Titoli e shock'!$B$8),0)</f>
        <v>472.55720226504565</v>
      </c>
      <c r="O351" s="20">
        <f>IF(AND($B$37&lt;='1 - Titoli e shock'!$B$17,$C351&lt;='1 - Titoli e shock'!$B$17),$D$37*O$6/2*(1-'1 - Titoli e shock'!$B$8),0)</f>
        <v>481.37794254942742</v>
      </c>
      <c r="P351" s="20">
        <f>IF(AND($B$37&lt;='1 - Titoli e shock'!$B$17,$C351&lt;='1 - Titoli e shock'!$B$17),$D$37*P$6/2*(1-'1 - Titoli e shock'!$B$8),0)</f>
        <v>499.0068773709105</v>
      </c>
      <c r="Q351" s="20">
        <f>IF(AND($B$37&lt;='1 - Titoli e shock'!$B$17,$C351&lt;='1 - Titoli e shock'!$B$17),$D$37*Q$6/2*(1-'1 - Titoli e shock'!$B$8),0)</f>
        <v>507.81508378981869</v>
      </c>
      <c r="R351" s="20">
        <f>IF(AND($B$37&lt;='1 - Titoli e shock'!$B$17,$C351&lt;='1 - Titoli e shock'!$B$17),$D$37*R$6/2*(1-'1 - Titoli e shock'!$B$8),0)</f>
        <v>516.61912411194601</v>
      </c>
      <c r="S351" s="20">
        <f>IF(AND($B$37&lt;='1 - Titoli e shock'!$B$17,$C351&lt;='1 - Titoli e shock'!$B$17),$D$37*S$6/2*(1-'1 - Titoli e shock'!$B$8),0)</f>
        <v>525.41900424314247</v>
      </c>
      <c r="T351" s="20">
        <f>IF(AND($B$37&lt;='1 - Titoli e shock'!$B$17,$C351&lt;='1 - Titoli e shock'!$B$17),$D$37*T$6/2*(1-'1 - Titoli e shock'!$B$8),0)</f>
        <v>534.21473007531063</v>
      </c>
      <c r="U351" s="20">
        <f>IF(AND($B$37&lt;='1 - Titoli e shock'!$B$17,$C351&lt;='1 - Titoli e shock'!$B$17),$D$37*U$6/2*(1-'1 - Titoli e shock'!$B$8),0)</f>
        <v>665.65606604062839</v>
      </c>
    </row>
    <row r="352" spans="1:21">
      <c r="A352" s="15" t="s">
        <v>267</v>
      </c>
      <c r="B352" s="22" t="str">
        <f>A37</f>
        <v>BTP 2,70% ott 2030</v>
      </c>
      <c r="C352" s="13">
        <f>EDATE($B$37,6*4)</f>
        <v>48488</v>
      </c>
      <c r="D352" s="23">
        <f>MAX(1,(YEAR(C352)-YEAR('1 - Titoli e shock'!$B$6))+IF(MONTH(C352)*100+DAY(C352)&gt;MONTH('1 - Titoli e shock'!$B$6)*100+DAY('1 - Titoli e shock'!$B$6),1,0))</f>
        <v>6</v>
      </c>
      <c r="F352" s="20">
        <f>IF(AND($B$37&lt;='1 - Titoli e shock'!$B$17,$C352&lt;='1 - Titoli e shock'!$B$17),$D$37*F$6/2*(1-'1 - Titoli e shock'!$B$8),0)</f>
        <v>313.06156434992363</v>
      </c>
      <c r="G352" s="20">
        <f>IF(AND($B$37&lt;='1 - Titoli e shock'!$B$17,$C352&lt;='1 - Titoli e shock'!$B$17),$D$37*G$6/2*(1-'1 - Titoli e shock'!$B$8),0)</f>
        <v>401.8399412106603</v>
      </c>
      <c r="H352" s="20">
        <f>IF(AND($B$37&lt;='1 - Titoli e shock'!$B$17,$C352&lt;='1 - Titoli e shock'!$B$17),$D$37*H$6/2*(1-'1 - Titoli e shock'!$B$8),0)</f>
        <v>490.19449893540536</v>
      </c>
      <c r="I352" s="20">
        <f>IF(AND($B$37&lt;='1 - Titoli e shock'!$B$17,$C352&lt;='1 - Titoli e shock'!$B$17),$D$37*I$6/2*(1-'1 - Titoli e shock'!$B$8),0)</f>
        <v>578.13124999725869</v>
      </c>
      <c r="J352" s="20">
        <f>IF(AND($B$37&lt;='1 - Titoli e shock'!$B$17,$C352&lt;='1 - Titoli e shock'!$B$17),$D$37*J$6/2*(1-'1 - Titoli e shock'!$B$8),0)</f>
        <v>423.96807637271604</v>
      </c>
      <c r="K352" s="20">
        <f>IF(AND($B$37&lt;='1 - Titoli e shock'!$B$17,$C352&lt;='1 - Titoli e shock'!$B$17),$D$37*K$6/2*(1-'1 - Titoli e shock'!$B$8),0)</f>
        <v>446.06981832983558</v>
      </c>
      <c r="L352" s="20">
        <f>IF(AND($B$37&lt;='1 - Titoli e shock'!$B$17,$C352&lt;='1 - Titoli e shock'!$B$17),$D$37*L$6/2*(1-'1 - Titoli e shock'!$B$8),0)</f>
        <v>454.90314613860033</v>
      </c>
      <c r="M352" s="20">
        <f>IF(AND($B$37&lt;='1 - Titoli e shock'!$B$17,$C352&lt;='1 - Titoli e shock'!$B$17),$D$37*M$6/2*(1-'1 - Titoli e shock'!$B$8),0)</f>
        <v>463.73227212018151</v>
      </c>
      <c r="N352" s="20">
        <f>IF(AND($B$37&lt;='1 - Titoli e shock'!$B$17,$C352&lt;='1 - Titoli e shock'!$B$17),$D$37*N$6/2*(1-'1 - Titoli e shock'!$B$8),0)</f>
        <v>472.55720226504565</v>
      </c>
      <c r="O352" s="20">
        <f>IF(AND($B$37&lt;='1 - Titoli e shock'!$B$17,$C352&lt;='1 - Titoli e shock'!$B$17),$D$37*O$6/2*(1-'1 - Titoli e shock'!$B$8),0)</f>
        <v>481.37794254942742</v>
      </c>
      <c r="P352" s="20">
        <f>IF(AND($B$37&lt;='1 - Titoli e shock'!$B$17,$C352&lt;='1 - Titoli e shock'!$B$17),$D$37*P$6/2*(1-'1 - Titoli e shock'!$B$8),0)</f>
        <v>499.0068773709105</v>
      </c>
      <c r="Q352" s="20">
        <f>IF(AND($B$37&lt;='1 - Titoli e shock'!$B$17,$C352&lt;='1 - Titoli e shock'!$B$17),$D$37*Q$6/2*(1-'1 - Titoli e shock'!$B$8),0)</f>
        <v>507.81508378981869</v>
      </c>
      <c r="R352" s="20">
        <f>IF(AND($B$37&lt;='1 - Titoli e shock'!$B$17,$C352&lt;='1 - Titoli e shock'!$B$17),$D$37*R$6/2*(1-'1 - Titoli e shock'!$B$8),0)</f>
        <v>516.61912411194601</v>
      </c>
      <c r="S352" s="20">
        <f>IF(AND($B$37&lt;='1 - Titoli e shock'!$B$17,$C352&lt;='1 - Titoli e shock'!$B$17),$D$37*S$6/2*(1-'1 - Titoli e shock'!$B$8),0)</f>
        <v>525.41900424314247</v>
      </c>
      <c r="T352" s="20">
        <f>IF(AND($B$37&lt;='1 - Titoli e shock'!$B$17,$C352&lt;='1 - Titoli e shock'!$B$17),$D$37*T$6/2*(1-'1 - Titoli e shock'!$B$8),0)</f>
        <v>534.21473007531063</v>
      </c>
      <c r="U352" s="20">
        <f>IF(AND($B$37&lt;='1 - Titoli e shock'!$B$17,$C352&lt;='1 - Titoli e shock'!$B$17),$D$37*U$6/2*(1-'1 - Titoli e shock'!$B$8),0)</f>
        <v>665.65606604062839</v>
      </c>
    </row>
    <row r="353" spans="1:21">
      <c r="A353" s="15" t="s">
        <v>267</v>
      </c>
      <c r="B353" s="22" t="str">
        <f>A37</f>
        <v>BTP 2,70% ott 2030</v>
      </c>
      <c r="C353" s="13">
        <f>EDATE($B$37,6*5)</f>
        <v>48670</v>
      </c>
      <c r="D353" s="23">
        <f>MAX(1,(YEAR(C353)-YEAR('1 - Titoli e shock'!$B$6))+IF(MONTH(C353)*100+DAY(C353)&gt;MONTH('1 - Titoli e shock'!$B$6)*100+DAY('1 - Titoli e shock'!$B$6),1,0))</f>
        <v>7</v>
      </c>
      <c r="F353" s="20">
        <f>IF(AND($B$37&lt;='1 - Titoli e shock'!$B$17,$C353&lt;='1 - Titoli e shock'!$B$17),$D$37*F$6/2*(1-'1 - Titoli e shock'!$B$8),0)</f>
        <v>313.06156434992363</v>
      </c>
      <c r="G353" s="20">
        <f>IF(AND($B$37&lt;='1 - Titoli e shock'!$B$17,$C353&lt;='1 - Titoli e shock'!$B$17),$D$37*G$6/2*(1-'1 - Titoli e shock'!$B$8),0)</f>
        <v>401.8399412106603</v>
      </c>
      <c r="H353" s="20">
        <f>IF(AND($B$37&lt;='1 - Titoli e shock'!$B$17,$C353&lt;='1 - Titoli e shock'!$B$17),$D$37*H$6/2*(1-'1 - Titoli e shock'!$B$8),0)</f>
        <v>490.19449893540536</v>
      </c>
      <c r="I353" s="20">
        <f>IF(AND($B$37&lt;='1 - Titoli e shock'!$B$17,$C353&lt;='1 - Titoli e shock'!$B$17),$D$37*I$6/2*(1-'1 - Titoli e shock'!$B$8),0)</f>
        <v>578.13124999725869</v>
      </c>
      <c r="J353" s="20">
        <f>IF(AND($B$37&lt;='1 - Titoli e shock'!$B$17,$C353&lt;='1 - Titoli e shock'!$B$17),$D$37*J$6/2*(1-'1 - Titoli e shock'!$B$8),0)</f>
        <v>423.96807637271604</v>
      </c>
      <c r="K353" s="20">
        <f>IF(AND($B$37&lt;='1 - Titoli e shock'!$B$17,$C353&lt;='1 - Titoli e shock'!$B$17),$D$37*K$6/2*(1-'1 - Titoli e shock'!$B$8),0)</f>
        <v>446.06981832983558</v>
      </c>
      <c r="L353" s="20">
        <f>IF(AND($B$37&lt;='1 - Titoli e shock'!$B$17,$C353&lt;='1 - Titoli e shock'!$B$17),$D$37*L$6/2*(1-'1 - Titoli e shock'!$B$8),0)</f>
        <v>454.90314613860033</v>
      </c>
      <c r="M353" s="20">
        <f>IF(AND($B$37&lt;='1 - Titoli e shock'!$B$17,$C353&lt;='1 - Titoli e shock'!$B$17),$D$37*M$6/2*(1-'1 - Titoli e shock'!$B$8),0)</f>
        <v>463.73227212018151</v>
      </c>
      <c r="N353" s="20">
        <f>IF(AND($B$37&lt;='1 - Titoli e shock'!$B$17,$C353&lt;='1 - Titoli e shock'!$B$17),$D$37*N$6/2*(1-'1 - Titoli e shock'!$B$8),0)</f>
        <v>472.55720226504565</v>
      </c>
      <c r="O353" s="20">
        <f>IF(AND($B$37&lt;='1 - Titoli e shock'!$B$17,$C353&lt;='1 - Titoli e shock'!$B$17),$D$37*O$6/2*(1-'1 - Titoli e shock'!$B$8),0)</f>
        <v>481.37794254942742</v>
      </c>
      <c r="P353" s="20">
        <f>IF(AND($B$37&lt;='1 - Titoli e shock'!$B$17,$C353&lt;='1 - Titoli e shock'!$B$17),$D$37*P$6/2*(1-'1 - Titoli e shock'!$B$8),0)</f>
        <v>499.0068773709105</v>
      </c>
      <c r="Q353" s="20">
        <f>IF(AND($B$37&lt;='1 - Titoli e shock'!$B$17,$C353&lt;='1 - Titoli e shock'!$B$17),$D$37*Q$6/2*(1-'1 - Titoli e shock'!$B$8),0)</f>
        <v>507.81508378981869</v>
      </c>
      <c r="R353" s="20">
        <f>IF(AND($B$37&lt;='1 - Titoli e shock'!$B$17,$C353&lt;='1 - Titoli e shock'!$B$17),$D$37*R$6/2*(1-'1 - Titoli e shock'!$B$8),0)</f>
        <v>516.61912411194601</v>
      </c>
      <c r="S353" s="20">
        <f>IF(AND($B$37&lt;='1 - Titoli e shock'!$B$17,$C353&lt;='1 - Titoli e shock'!$B$17),$D$37*S$6/2*(1-'1 - Titoli e shock'!$B$8),0)</f>
        <v>525.41900424314247</v>
      </c>
      <c r="T353" s="20">
        <f>IF(AND($B$37&lt;='1 - Titoli e shock'!$B$17,$C353&lt;='1 - Titoli e shock'!$B$17),$D$37*T$6/2*(1-'1 - Titoli e shock'!$B$8),0)</f>
        <v>534.21473007531063</v>
      </c>
      <c r="U353" s="20">
        <f>IF(AND($B$37&lt;='1 - Titoli e shock'!$B$17,$C353&lt;='1 - Titoli e shock'!$B$17),$D$37*U$6/2*(1-'1 - Titoli e shock'!$B$8),0)</f>
        <v>665.65606604062839</v>
      </c>
    </row>
    <row r="354" spans="1:21">
      <c r="A354" s="15" t="s">
        <v>267</v>
      </c>
      <c r="B354" s="22" t="str">
        <f>A37</f>
        <v>BTP 2,70% ott 2030</v>
      </c>
      <c r="C354" s="13">
        <f>EDATE($B$37,6*6)</f>
        <v>48853</v>
      </c>
      <c r="D354" s="23">
        <f>MAX(1,(YEAR(C354)-YEAR('1 - Titoli e shock'!$B$6))+IF(MONTH(C354)*100+DAY(C354)&gt;MONTH('1 - Titoli e shock'!$B$6)*100+DAY('1 - Titoli e shock'!$B$6),1,0))</f>
        <v>7</v>
      </c>
      <c r="F354" s="20">
        <f>IF(AND($B$37&lt;='1 - Titoli e shock'!$B$17,$C354&lt;='1 - Titoli e shock'!$B$17),$D$37*F$6/2*(1-'1 - Titoli e shock'!$B$8),0)</f>
        <v>313.06156434992363</v>
      </c>
      <c r="G354" s="20">
        <f>IF(AND($B$37&lt;='1 - Titoli e shock'!$B$17,$C354&lt;='1 - Titoli e shock'!$B$17),$D$37*G$6/2*(1-'1 - Titoli e shock'!$B$8),0)</f>
        <v>401.8399412106603</v>
      </c>
      <c r="H354" s="20">
        <f>IF(AND($B$37&lt;='1 - Titoli e shock'!$B$17,$C354&lt;='1 - Titoli e shock'!$B$17),$D$37*H$6/2*(1-'1 - Titoli e shock'!$B$8),0)</f>
        <v>490.19449893540536</v>
      </c>
      <c r="I354" s="20">
        <f>IF(AND($B$37&lt;='1 - Titoli e shock'!$B$17,$C354&lt;='1 - Titoli e shock'!$B$17),$D$37*I$6/2*(1-'1 - Titoli e shock'!$B$8),0)</f>
        <v>578.13124999725869</v>
      </c>
      <c r="J354" s="20">
        <f>IF(AND($B$37&lt;='1 - Titoli e shock'!$B$17,$C354&lt;='1 - Titoli e shock'!$B$17),$D$37*J$6/2*(1-'1 - Titoli e shock'!$B$8),0)</f>
        <v>423.96807637271604</v>
      </c>
      <c r="K354" s="20">
        <f>IF(AND($B$37&lt;='1 - Titoli e shock'!$B$17,$C354&lt;='1 - Titoli e shock'!$B$17),$D$37*K$6/2*(1-'1 - Titoli e shock'!$B$8),0)</f>
        <v>446.06981832983558</v>
      </c>
      <c r="L354" s="20">
        <f>IF(AND($B$37&lt;='1 - Titoli e shock'!$B$17,$C354&lt;='1 - Titoli e shock'!$B$17),$D$37*L$6/2*(1-'1 - Titoli e shock'!$B$8),0)</f>
        <v>454.90314613860033</v>
      </c>
      <c r="M354" s="20">
        <f>IF(AND($B$37&lt;='1 - Titoli e shock'!$B$17,$C354&lt;='1 - Titoli e shock'!$B$17),$D$37*M$6/2*(1-'1 - Titoli e shock'!$B$8),0)</f>
        <v>463.73227212018151</v>
      </c>
      <c r="N354" s="20">
        <f>IF(AND($B$37&lt;='1 - Titoli e shock'!$B$17,$C354&lt;='1 - Titoli e shock'!$B$17),$D$37*N$6/2*(1-'1 - Titoli e shock'!$B$8),0)</f>
        <v>472.55720226504565</v>
      </c>
      <c r="O354" s="20">
        <f>IF(AND($B$37&lt;='1 - Titoli e shock'!$B$17,$C354&lt;='1 - Titoli e shock'!$B$17),$D$37*O$6/2*(1-'1 - Titoli e shock'!$B$8),0)</f>
        <v>481.37794254942742</v>
      </c>
      <c r="P354" s="20">
        <f>IF(AND($B$37&lt;='1 - Titoli e shock'!$B$17,$C354&lt;='1 - Titoli e shock'!$B$17),$D$37*P$6/2*(1-'1 - Titoli e shock'!$B$8),0)</f>
        <v>499.0068773709105</v>
      </c>
      <c r="Q354" s="20">
        <f>IF(AND($B$37&lt;='1 - Titoli e shock'!$B$17,$C354&lt;='1 - Titoli e shock'!$B$17),$D$37*Q$6/2*(1-'1 - Titoli e shock'!$B$8),0)</f>
        <v>507.81508378981869</v>
      </c>
      <c r="R354" s="20">
        <f>IF(AND($B$37&lt;='1 - Titoli e shock'!$B$17,$C354&lt;='1 - Titoli e shock'!$B$17),$D$37*R$6/2*(1-'1 - Titoli e shock'!$B$8),0)</f>
        <v>516.61912411194601</v>
      </c>
      <c r="S354" s="20">
        <f>IF(AND($B$37&lt;='1 - Titoli e shock'!$B$17,$C354&lt;='1 - Titoli e shock'!$B$17),$D$37*S$6/2*(1-'1 - Titoli e shock'!$B$8),0)</f>
        <v>525.41900424314247</v>
      </c>
      <c r="T354" s="20">
        <f>IF(AND($B$37&lt;='1 - Titoli e shock'!$B$17,$C354&lt;='1 - Titoli e shock'!$B$17),$D$37*T$6/2*(1-'1 - Titoli e shock'!$B$8),0)</f>
        <v>534.21473007531063</v>
      </c>
      <c r="U354" s="20">
        <f>IF(AND($B$37&lt;='1 - Titoli e shock'!$B$17,$C354&lt;='1 - Titoli e shock'!$B$17),$D$37*U$6/2*(1-'1 - Titoli e shock'!$B$8),0)</f>
        <v>665.65606604062839</v>
      </c>
    </row>
    <row r="355" spans="1:21">
      <c r="A355" s="15" t="s">
        <v>267</v>
      </c>
      <c r="B355" s="22" t="str">
        <f>A37</f>
        <v>BTP 2,70% ott 2030</v>
      </c>
      <c r="C355" s="13">
        <f>EDATE($B$37,6*7)</f>
        <v>49035</v>
      </c>
      <c r="D355" s="23">
        <f>MAX(1,(YEAR(C355)-YEAR('1 - Titoli e shock'!$B$6))+IF(MONTH(C355)*100+DAY(C355)&gt;MONTH('1 - Titoli e shock'!$B$6)*100+DAY('1 - Titoli e shock'!$B$6),1,0))</f>
        <v>8</v>
      </c>
      <c r="F355" s="20">
        <f>IF(AND($B$37&lt;='1 - Titoli e shock'!$B$17,$C355&lt;='1 - Titoli e shock'!$B$17),$D$37*F$6/2*(1-'1 - Titoli e shock'!$B$8),0)</f>
        <v>313.06156434992363</v>
      </c>
      <c r="G355" s="20">
        <f>IF(AND($B$37&lt;='1 - Titoli e shock'!$B$17,$C355&lt;='1 - Titoli e shock'!$B$17),$D$37*G$6/2*(1-'1 - Titoli e shock'!$B$8),0)</f>
        <v>401.8399412106603</v>
      </c>
      <c r="H355" s="20">
        <f>IF(AND($B$37&lt;='1 - Titoli e shock'!$B$17,$C355&lt;='1 - Titoli e shock'!$B$17),$D$37*H$6/2*(1-'1 - Titoli e shock'!$B$8),0)</f>
        <v>490.19449893540536</v>
      </c>
      <c r="I355" s="20">
        <f>IF(AND($B$37&lt;='1 - Titoli e shock'!$B$17,$C355&lt;='1 - Titoli e shock'!$B$17),$D$37*I$6/2*(1-'1 - Titoli e shock'!$B$8),0)</f>
        <v>578.13124999725869</v>
      </c>
      <c r="J355" s="20">
        <f>IF(AND($B$37&lt;='1 - Titoli e shock'!$B$17,$C355&lt;='1 - Titoli e shock'!$B$17),$D$37*J$6/2*(1-'1 - Titoli e shock'!$B$8),0)</f>
        <v>423.96807637271604</v>
      </c>
      <c r="K355" s="20">
        <f>IF(AND($B$37&lt;='1 - Titoli e shock'!$B$17,$C355&lt;='1 - Titoli e shock'!$B$17),$D$37*K$6/2*(1-'1 - Titoli e shock'!$B$8),0)</f>
        <v>446.06981832983558</v>
      </c>
      <c r="L355" s="20">
        <f>IF(AND($B$37&lt;='1 - Titoli e shock'!$B$17,$C355&lt;='1 - Titoli e shock'!$B$17),$D$37*L$6/2*(1-'1 - Titoli e shock'!$B$8),0)</f>
        <v>454.90314613860033</v>
      </c>
      <c r="M355" s="20">
        <f>IF(AND($B$37&lt;='1 - Titoli e shock'!$B$17,$C355&lt;='1 - Titoli e shock'!$B$17),$D$37*M$6/2*(1-'1 - Titoli e shock'!$B$8),0)</f>
        <v>463.73227212018151</v>
      </c>
      <c r="N355" s="20">
        <f>IF(AND($B$37&lt;='1 - Titoli e shock'!$B$17,$C355&lt;='1 - Titoli e shock'!$B$17),$D$37*N$6/2*(1-'1 - Titoli e shock'!$B$8),0)</f>
        <v>472.55720226504565</v>
      </c>
      <c r="O355" s="20">
        <f>IF(AND($B$37&lt;='1 - Titoli e shock'!$B$17,$C355&lt;='1 - Titoli e shock'!$B$17),$D$37*O$6/2*(1-'1 - Titoli e shock'!$B$8),0)</f>
        <v>481.37794254942742</v>
      </c>
      <c r="P355" s="20">
        <f>IF(AND($B$37&lt;='1 - Titoli e shock'!$B$17,$C355&lt;='1 - Titoli e shock'!$B$17),$D$37*P$6/2*(1-'1 - Titoli e shock'!$B$8),0)</f>
        <v>499.0068773709105</v>
      </c>
      <c r="Q355" s="20">
        <f>IF(AND($B$37&lt;='1 - Titoli e shock'!$B$17,$C355&lt;='1 - Titoli e shock'!$B$17),$D$37*Q$6/2*(1-'1 - Titoli e shock'!$B$8),0)</f>
        <v>507.81508378981869</v>
      </c>
      <c r="R355" s="20">
        <f>IF(AND($B$37&lt;='1 - Titoli e shock'!$B$17,$C355&lt;='1 - Titoli e shock'!$B$17),$D$37*R$6/2*(1-'1 - Titoli e shock'!$B$8),0)</f>
        <v>516.61912411194601</v>
      </c>
      <c r="S355" s="20">
        <f>IF(AND($B$37&lt;='1 - Titoli e shock'!$B$17,$C355&lt;='1 - Titoli e shock'!$B$17),$D$37*S$6/2*(1-'1 - Titoli e shock'!$B$8),0)</f>
        <v>525.41900424314247</v>
      </c>
      <c r="T355" s="20">
        <f>IF(AND($B$37&lt;='1 - Titoli e shock'!$B$17,$C355&lt;='1 - Titoli e shock'!$B$17),$D$37*T$6/2*(1-'1 - Titoli e shock'!$B$8),0)</f>
        <v>534.21473007531063</v>
      </c>
      <c r="U355" s="20">
        <f>IF(AND($B$37&lt;='1 - Titoli e shock'!$B$17,$C355&lt;='1 - Titoli e shock'!$B$17),$D$37*U$6/2*(1-'1 - Titoli e shock'!$B$8),0)</f>
        <v>665.65606604062839</v>
      </c>
    </row>
    <row r="356" spans="1:21">
      <c r="A356" s="15" t="s">
        <v>267</v>
      </c>
      <c r="B356" s="22" t="str">
        <f>A37</f>
        <v>BTP 2,70% ott 2030</v>
      </c>
      <c r="C356" s="13">
        <f>EDATE($B$37,6*8)</f>
        <v>49218</v>
      </c>
      <c r="D356" s="23">
        <f>MAX(1,(YEAR(C356)-YEAR('1 - Titoli e shock'!$B$6))+IF(MONTH(C356)*100+DAY(C356)&gt;MONTH('1 - Titoli e shock'!$B$6)*100+DAY('1 - Titoli e shock'!$B$6),1,0))</f>
        <v>8</v>
      </c>
      <c r="F356" s="20">
        <f>IF(AND($B$37&lt;='1 - Titoli e shock'!$B$17,$C356&lt;='1 - Titoli e shock'!$B$17),$D$37*F$6/2*(1-'1 - Titoli e shock'!$B$8),0)</f>
        <v>313.06156434992363</v>
      </c>
      <c r="G356" s="20">
        <f>IF(AND($B$37&lt;='1 - Titoli e shock'!$B$17,$C356&lt;='1 - Titoli e shock'!$B$17),$D$37*G$6/2*(1-'1 - Titoli e shock'!$B$8),0)</f>
        <v>401.8399412106603</v>
      </c>
      <c r="H356" s="20">
        <f>IF(AND($B$37&lt;='1 - Titoli e shock'!$B$17,$C356&lt;='1 - Titoli e shock'!$B$17),$D$37*H$6/2*(1-'1 - Titoli e shock'!$B$8),0)</f>
        <v>490.19449893540536</v>
      </c>
      <c r="I356" s="20">
        <f>IF(AND($B$37&lt;='1 - Titoli e shock'!$B$17,$C356&lt;='1 - Titoli e shock'!$B$17),$D$37*I$6/2*(1-'1 - Titoli e shock'!$B$8),0)</f>
        <v>578.13124999725869</v>
      </c>
      <c r="J356" s="20">
        <f>IF(AND($B$37&lt;='1 - Titoli e shock'!$B$17,$C356&lt;='1 - Titoli e shock'!$B$17),$D$37*J$6/2*(1-'1 - Titoli e shock'!$B$8),0)</f>
        <v>423.96807637271604</v>
      </c>
      <c r="K356" s="20">
        <f>IF(AND($B$37&lt;='1 - Titoli e shock'!$B$17,$C356&lt;='1 - Titoli e shock'!$B$17),$D$37*K$6/2*(1-'1 - Titoli e shock'!$B$8),0)</f>
        <v>446.06981832983558</v>
      </c>
      <c r="L356" s="20">
        <f>IF(AND($B$37&lt;='1 - Titoli e shock'!$B$17,$C356&lt;='1 - Titoli e shock'!$B$17),$D$37*L$6/2*(1-'1 - Titoli e shock'!$B$8),0)</f>
        <v>454.90314613860033</v>
      </c>
      <c r="M356" s="20">
        <f>IF(AND($B$37&lt;='1 - Titoli e shock'!$B$17,$C356&lt;='1 - Titoli e shock'!$B$17),$D$37*M$6/2*(1-'1 - Titoli e shock'!$B$8),0)</f>
        <v>463.73227212018151</v>
      </c>
      <c r="N356" s="20">
        <f>IF(AND($B$37&lt;='1 - Titoli e shock'!$B$17,$C356&lt;='1 - Titoli e shock'!$B$17),$D$37*N$6/2*(1-'1 - Titoli e shock'!$B$8),0)</f>
        <v>472.55720226504565</v>
      </c>
      <c r="O356" s="20">
        <f>IF(AND($B$37&lt;='1 - Titoli e shock'!$B$17,$C356&lt;='1 - Titoli e shock'!$B$17),$D$37*O$6/2*(1-'1 - Titoli e shock'!$B$8),0)</f>
        <v>481.37794254942742</v>
      </c>
      <c r="P356" s="20">
        <f>IF(AND($B$37&lt;='1 - Titoli e shock'!$B$17,$C356&lt;='1 - Titoli e shock'!$B$17),$D$37*P$6/2*(1-'1 - Titoli e shock'!$B$8),0)</f>
        <v>499.0068773709105</v>
      </c>
      <c r="Q356" s="20">
        <f>IF(AND($B$37&lt;='1 - Titoli e shock'!$B$17,$C356&lt;='1 - Titoli e shock'!$B$17),$D$37*Q$6/2*(1-'1 - Titoli e shock'!$B$8),0)</f>
        <v>507.81508378981869</v>
      </c>
      <c r="R356" s="20">
        <f>IF(AND($B$37&lt;='1 - Titoli e shock'!$B$17,$C356&lt;='1 - Titoli e shock'!$B$17),$D$37*R$6/2*(1-'1 - Titoli e shock'!$B$8),0)</f>
        <v>516.61912411194601</v>
      </c>
      <c r="S356" s="20">
        <f>IF(AND($B$37&lt;='1 - Titoli e shock'!$B$17,$C356&lt;='1 - Titoli e shock'!$B$17),$D$37*S$6/2*(1-'1 - Titoli e shock'!$B$8),0)</f>
        <v>525.41900424314247</v>
      </c>
      <c r="T356" s="20">
        <f>IF(AND($B$37&lt;='1 - Titoli e shock'!$B$17,$C356&lt;='1 - Titoli e shock'!$B$17),$D$37*T$6/2*(1-'1 - Titoli e shock'!$B$8),0)</f>
        <v>534.21473007531063</v>
      </c>
      <c r="U356" s="20">
        <f>IF(AND($B$37&lt;='1 - Titoli e shock'!$B$17,$C356&lt;='1 - Titoli e shock'!$B$17),$D$37*U$6/2*(1-'1 - Titoli e shock'!$B$8),0)</f>
        <v>665.65606604062839</v>
      </c>
    </row>
    <row r="357" spans="1:21">
      <c r="A357" s="15" t="s">
        <v>267</v>
      </c>
      <c r="B357" s="22" t="str">
        <f>A37</f>
        <v>BTP 2,70% ott 2030</v>
      </c>
      <c r="C357" s="13">
        <f>EDATE($B$37,6*9)</f>
        <v>49400</v>
      </c>
      <c r="D357" s="23">
        <f>MAX(1,(YEAR(C357)-YEAR('1 - Titoli e shock'!$B$6))+IF(MONTH(C357)*100+DAY(C357)&gt;MONTH('1 - Titoli e shock'!$B$6)*100+DAY('1 - Titoli e shock'!$B$6),1,0))</f>
        <v>9</v>
      </c>
      <c r="F357" s="20">
        <f>IF(AND($B$37&lt;='1 - Titoli e shock'!$B$17,$C357&lt;='1 - Titoli e shock'!$B$17),$D$37*F$6/2*(1-'1 - Titoli e shock'!$B$8),0)</f>
        <v>313.06156434992363</v>
      </c>
      <c r="G357" s="20">
        <f>IF(AND($B$37&lt;='1 - Titoli e shock'!$B$17,$C357&lt;='1 - Titoli e shock'!$B$17),$D$37*G$6/2*(1-'1 - Titoli e shock'!$B$8),0)</f>
        <v>401.8399412106603</v>
      </c>
      <c r="H357" s="20">
        <f>IF(AND($B$37&lt;='1 - Titoli e shock'!$B$17,$C357&lt;='1 - Titoli e shock'!$B$17),$D$37*H$6/2*(1-'1 - Titoli e shock'!$B$8),0)</f>
        <v>490.19449893540536</v>
      </c>
      <c r="I357" s="20">
        <f>IF(AND($B$37&lt;='1 - Titoli e shock'!$B$17,$C357&lt;='1 - Titoli e shock'!$B$17),$D$37*I$6/2*(1-'1 - Titoli e shock'!$B$8),0)</f>
        <v>578.13124999725869</v>
      </c>
      <c r="J357" s="20">
        <f>IF(AND($B$37&lt;='1 - Titoli e shock'!$B$17,$C357&lt;='1 - Titoli e shock'!$B$17),$D$37*J$6/2*(1-'1 - Titoli e shock'!$B$8),0)</f>
        <v>423.96807637271604</v>
      </c>
      <c r="K357" s="20">
        <f>IF(AND($B$37&lt;='1 - Titoli e shock'!$B$17,$C357&lt;='1 - Titoli e shock'!$B$17),$D$37*K$6/2*(1-'1 - Titoli e shock'!$B$8),0)</f>
        <v>446.06981832983558</v>
      </c>
      <c r="L357" s="20">
        <f>IF(AND($B$37&lt;='1 - Titoli e shock'!$B$17,$C357&lt;='1 - Titoli e shock'!$B$17),$D$37*L$6/2*(1-'1 - Titoli e shock'!$B$8),0)</f>
        <v>454.90314613860033</v>
      </c>
      <c r="M357" s="20">
        <f>IF(AND($B$37&lt;='1 - Titoli e shock'!$B$17,$C357&lt;='1 - Titoli e shock'!$B$17),$D$37*M$6/2*(1-'1 - Titoli e shock'!$B$8),0)</f>
        <v>463.73227212018151</v>
      </c>
      <c r="N357" s="20">
        <f>IF(AND($B$37&lt;='1 - Titoli e shock'!$B$17,$C357&lt;='1 - Titoli e shock'!$B$17),$D$37*N$6/2*(1-'1 - Titoli e shock'!$B$8),0)</f>
        <v>472.55720226504565</v>
      </c>
      <c r="O357" s="20">
        <f>IF(AND($B$37&lt;='1 - Titoli e shock'!$B$17,$C357&lt;='1 - Titoli e shock'!$B$17),$D$37*O$6/2*(1-'1 - Titoli e shock'!$B$8),0)</f>
        <v>481.37794254942742</v>
      </c>
      <c r="P357" s="20">
        <f>IF(AND($B$37&lt;='1 - Titoli e shock'!$B$17,$C357&lt;='1 - Titoli e shock'!$B$17),$D$37*P$6/2*(1-'1 - Titoli e shock'!$B$8),0)</f>
        <v>499.0068773709105</v>
      </c>
      <c r="Q357" s="20">
        <f>IF(AND($B$37&lt;='1 - Titoli e shock'!$B$17,$C357&lt;='1 - Titoli e shock'!$B$17),$D$37*Q$6/2*(1-'1 - Titoli e shock'!$B$8),0)</f>
        <v>507.81508378981869</v>
      </c>
      <c r="R357" s="20">
        <f>IF(AND($B$37&lt;='1 - Titoli e shock'!$B$17,$C357&lt;='1 - Titoli e shock'!$B$17),$D$37*R$6/2*(1-'1 - Titoli e shock'!$B$8),0)</f>
        <v>516.61912411194601</v>
      </c>
      <c r="S357" s="20">
        <f>IF(AND($B$37&lt;='1 - Titoli e shock'!$B$17,$C357&lt;='1 - Titoli e shock'!$B$17),$D$37*S$6/2*(1-'1 - Titoli e shock'!$B$8),0)</f>
        <v>525.41900424314247</v>
      </c>
      <c r="T357" s="20">
        <f>IF(AND($B$37&lt;='1 - Titoli e shock'!$B$17,$C357&lt;='1 - Titoli e shock'!$B$17),$D$37*T$6/2*(1-'1 - Titoli e shock'!$B$8),0)</f>
        <v>534.21473007531063</v>
      </c>
      <c r="U357" s="20">
        <f>IF(AND($B$37&lt;='1 - Titoli e shock'!$B$17,$C357&lt;='1 - Titoli e shock'!$B$17),$D$37*U$6/2*(1-'1 - Titoli e shock'!$B$8),0)</f>
        <v>665.65606604062839</v>
      </c>
    </row>
    <row r="358" spans="1:21">
      <c r="A358" s="15" t="s">
        <v>267</v>
      </c>
      <c r="B358" s="22" t="str">
        <f>A37</f>
        <v>BTP 2,70% ott 2030</v>
      </c>
      <c r="C358" s="13">
        <f>EDATE($B$37,6*10)</f>
        <v>49583</v>
      </c>
      <c r="D358" s="23">
        <f>MAX(1,(YEAR(C358)-YEAR('1 - Titoli e shock'!$B$6))+IF(MONTH(C358)*100+DAY(C358)&gt;MONTH('1 - Titoli e shock'!$B$6)*100+DAY('1 - Titoli e shock'!$B$6),1,0))</f>
        <v>9</v>
      </c>
      <c r="F358" s="20">
        <f>IF(AND($B$37&lt;='1 - Titoli e shock'!$B$17,$C358&lt;='1 - Titoli e shock'!$B$17),$D$37*F$6/2*(1-'1 - Titoli e shock'!$B$8),0)</f>
        <v>313.06156434992363</v>
      </c>
      <c r="G358" s="20">
        <f>IF(AND($B$37&lt;='1 - Titoli e shock'!$B$17,$C358&lt;='1 - Titoli e shock'!$B$17),$D$37*G$6/2*(1-'1 - Titoli e shock'!$B$8),0)</f>
        <v>401.8399412106603</v>
      </c>
      <c r="H358" s="20">
        <f>IF(AND($B$37&lt;='1 - Titoli e shock'!$B$17,$C358&lt;='1 - Titoli e shock'!$B$17),$D$37*H$6/2*(1-'1 - Titoli e shock'!$B$8),0)</f>
        <v>490.19449893540536</v>
      </c>
      <c r="I358" s="20">
        <f>IF(AND($B$37&lt;='1 - Titoli e shock'!$B$17,$C358&lt;='1 - Titoli e shock'!$B$17),$D$37*I$6/2*(1-'1 - Titoli e shock'!$B$8),0)</f>
        <v>578.13124999725869</v>
      </c>
      <c r="J358" s="20">
        <f>IF(AND($B$37&lt;='1 - Titoli e shock'!$B$17,$C358&lt;='1 - Titoli e shock'!$B$17),$D$37*J$6/2*(1-'1 - Titoli e shock'!$B$8),0)</f>
        <v>423.96807637271604</v>
      </c>
      <c r="K358" s="20">
        <f>IF(AND($B$37&lt;='1 - Titoli e shock'!$B$17,$C358&lt;='1 - Titoli e shock'!$B$17),$D$37*K$6/2*(1-'1 - Titoli e shock'!$B$8),0)</f>
        <v>446.06981832983558</v>
      </c>
      <c r="L358" s="20">
        <f>IF(AND($B$37&lt;='1 - Titoli e shock'!$B$17,$C358&lt;='1 - Titoli e shock'!$B$17),$D$37*L$6/2*(1-'1 - Titoli e shock'!$B$8),0)</f>
        <v>454.90314613860033</v>
      </c>
      <c r="M358" s="20">
        <f>IF(AND($B$37&lt;='1 - Titoli e shock'!$B$17,$C358&lt;='1 - Titoli e shock'!$B$17),$D$37*M$6/2*(1-'1 - Titoli e shock'!$B$8),0)</f>
        <v>463.73227212018151</v>
      </c>
      <c r="N358" s="20">
        <f>IF(AND($B$37&lt;='1 - Titoli e shock'!$B$17,$C358&lt;='1 - Titoli e shock'!$B$17),$D$37*N$6/2*(1-'1 - Titoli e shock'!$B$8),0)</f>
        <v>472.55720226504565</v>
      </c>
      <c r="O358" s="20">
        <f>IF(AND($B$37&lt;='1 - Titoli e shock'!$B$17,$C358&lt;='1 - Titoli e shock'!$B$17),$D$37*O$6/2*(1-'1 - Titoli e shock'!$B$8),0)</f>
        <v>481.37794254942742</v>
      </c>
      <c r="P358" s="20">
        <f>IF(AND($B$37&lt;='1 - Titoli e shock'!$B$17,$C358&lt;='1 - Titoli e shock'!$B$17),$D$37*P$6/2*(1-'1 - Titoli e shock'!$B$8),0)</f>
        <v>499.0068773709105</v>
      </c>
      <c r="Q358" s="20">
        <f>IF(AND($B$37&lt;='1 - Titoli e shock'!$B$17,$C358&lt;='1 - Titoli e shock'!$B$17),$D$37*Q$6/2*(1-'1 - Titoli e shock'!$B$8),0)</f>
        <v>507.81508378981869</v>
      </c>
      <c r="R358" s="20">
        <f>IF(AND($B$37&lt;='1 - Titoli e shock'!$B$17,$C358&lt;='1 - Titoli e shock'!$B$17),$D$37*R$6/2*(1-'1 - Titoli e shock'!$B$8),0)</f>
        <v>516.61912411194601</v>
      </c>
      <c r="S358" s="20">
        <f>IF(AND($B$37&lt;='1 - Titoli e shock'!$B$17,$C358&lt;='1 - Titoli e shock'!$B$17),$D$37*S$6/2*(1-'1 - Titoli e shock'!$B$8),0)</f>
        <v>525.41900424314247</v>
      </c>
      <c r="T358" s="20">
        <f>IF(AND($B$37&lt;='1 - Titoli e shock'!$B$17,$C358&lt;='1 - Titoli e shock'!$B$17),$D$37*T$6/2*(1-'1 - Titoli e shock'!$B$8),0)</f>
        <v>534.21473007531063</v>
      </c>
      <c r="U358" s="20">
        <f>IF(AND($B$37&lt;='1 - Titoli e shock'!$B$17,$C358&lt;='1 - Titoli e shock'!$B$17),$D$37*U$6/2*(1-'1 - Titoli e shock'!$B$8),0)</f>
        <v>665.65606604062839</v>
      </c>
    </row>
    <row r="359" spans="1:21">
      <c r="A359" s="15" t="s">
        <v>267</v>
      </c>
      <c r="B359" s="22" t="str">
        <f>A37</f>
        <v>BTP 2,70% ott 2030</v>
      </c>
      <c r="C359" s="13">
        <f>EDATE($B$37,6*11)</f>
        <v>49766</v>
      </c>
      <c r="D359" s="23">
        <f>MAX(1,(YEAR(C359)-YEAR('1 - Titoli e shock'!$B$6))+IF(MONTH(C359)*100+DAY(C359)&gt;MONTH('1 - Titoli e shock'!$B$6)*100+DAY('1 - Titoli e shock'!$B$6),1,0))</f>
        <v>10</v>
      </c>
      <c r="F359" s="20">
        <f>IF(AND($B$37&lt;='1 - Titoli e shock'!$B$17,$C359&lt;='1 - Titoli e shock'!$B$17),$D$37*F$6/2*(1-'1 - Titoli e shock'!$B$8),0)</f>
        <v>313.06156434992363</v>
      </c>
      <c r="G359" s="20">
        <f>IF(AND($B$37&lt;='1 - Titoli e shock'!$B$17,$C359&lt;='1 - Titoli e shock'!$B$17),$D$37*G$6/2*(1-'1 - Titoli e shock'!$B$8),0)</f>
        <v>401.8399412106603</v>
      </c>
      <c r="H359" s="20">
        <f>IF(AND($B$37&lt;='1 - Titoli e shock'!$B$17,$C359&lt;='1 - Titoli e shock'!$B$17),$D$37*H$6/2*(1-'1 - Titoli e shock'!$B$8),0)</f>
        <v>490.19449893540536</v>
      </c>
      <c r="I359" s="20">
        <f>IF(AND($B$37&lt;='1 - Titoli e shock'!$B$17,$C359&lt;='1 - Titoli e shock'!$B$17),$D$37*I$6/2*(1-'1 - Titoli e shock'!$B$8),0)</f>
        <v>578.13124999725869</v>
      </c>
      <c r="J359" s="20">
        <f>IF(AND($B$37&lt;='1 - Titoli e shock'!$B$17,$C359&lt;='1 - Titoli e shock'!$B$17),$D$37*J$6/2*(1-'1 - Titoli e shock'!$B$8),0)</f>
        <v>423.96807637271604</v>
      </c>
      <c r="K359" s="20">
        <f>IF(AND($B$37&lt;='1 - Titoli e shock'!$B$17,$C359&lt;='1 - Titoli e shock'!$B$17),$D$37*K$6/2*(1-'1 - Titoli e shock'!$B$8),0)</f>
        <v>446.06981832983558</v>
      </c>
      <c r="L359" s="20">
        <f>IF(AND($B$37&lt;='1 - Titoli e shock'!$B$17,$C359&lt;='1 - Titoli e shock'!$B$17),$D$37*L$6/2*(1-'1 - Titoli e shock'!$B$8),0)</f>
        <v>454.90314613860033</v>
      </c>
      <c r="M359" s="20">
        <f>IF(AND($B$37&lt;='1 - Titoli e shock'!$B$17,$C359&lt;='1 - Titoli e shock'!$B$17),$D$37*M$6/2*(1-'1 - Titoli e shock'!$B$8),0)</f>
        <v>463.73227212018151</v>
      </c>
      <c r="N359" s="20">
        <f>IF(AND($B$37&lt;='1 - Titoli e shock'!$B$17,$C359&lt;='1 - Titoli e shock'!$B$17),$D$37*N$6/2*(1-'1 - Titoli e shock'!$B$8),0)</f>
        <v>472.55720226504565</v>
      </c>
      <c r="O359" s="20">
        <f>IF(AND($B$37&lt;='1 - Titoli e shock'!$B$17,$C359&lt;='1 - Titoli e shock'!$B$17),$D$37*O$6/2*(1-'1 - Titoli e shock'!$B$8),0)</f>
        <v>481.37794254942742</v>
      </c>
      <c r="P359" s="20">
        <f>IF(AND($B$37&lt;='1 - Titoli e shock'!$B$17,$C359&lt;='1 - Titoli e shock'!$B$17),$D$37*P$6/2*(1-'1 - Titoli e shock'!$B$8),0)</f>
        <v>499.0068773709105</v>
      </c>
      <c r="Q359" s="20">
        <f>IF(AND($B$37&lt;='1 - Titoli e shock'!$B$17,$C359&lt;='1 - Titoli e shock'!$B$17),$D$37*Q$6/2*(1-'1 - Titoli e shock'!$B$8),0)</f>
        <v>507.81508378981869</v>
      </c>
      <c r="R359" s="20">
        <f>IF(AND($B$37&lt;='1 - Titoli e shock'!$B$17,$C359&lt;='1 - Titoli e shock'!$B$17),$D$37*R$6/2*(1-'1 - Titoli e shock'!$B$8),0)</f>
        <v>516.61912411194601</v>
      </c>
      <c r="S359" s="20">
        <f>IF(AND($B$37&lt;='1 - Titoli e shock'!$B$17,$C359&lt;='1 - Titoli e shock'!$B$17),$D$37*S$6/2*(1-'1 - Titoli e shock'!$B$8),0)</f>
        <v>525.41900424314247</v>
      </c>
      <c r="T359" s="20">
        <f>IF(AND($B$37&lt;='1 - Titoli e shock'!$B$17,$C359&lt;='1 - Titoli e shock'!$B$17),$D$37*T$6/2*(1-'1 - Titoli e shock'!$B$8),0)</f>
        <v>534.21473007531063</v>
      </c>
      <c r="U359" s="20">
        <f>IF(AND($B$37&lt;='1 - Titoli e shock'!$B$17,$C359&lt;='1 - Titoli e shock'!$B$17),$D$37*U$6/2*(1-'1 - Titoli e shock'!$B$8),0)</f>
        <v>665.65606604062839</v>
      </c>
    </row>
    <row r="360" spans="1:21">
      <c r="A360" s="15" t="s">
        <v>267</v>
      </c>
      <c r="B360" s="22" t="str">
        <f>A37</f>
        <v>BTP 2,70% ott 2030</v>
      </c>
      <c r="C360" s="13">
        <f>EDATE($B$37,6*12)</f>
        <v>49949</v>
      </c>
      <c r="D360" s="23">
        <f>MAX(1,(YEAR(C360)-YEAR('1 - Titoli e shock'!$B$6))+IF(MONTH(C360)*100+DAY(C360)&gt;MONTH('1 - Titoli e shock'!$B$6)*100+DAY('1 - Titoli e shock'!$B$6),1,0))</f>
        <v>10</v>
      </c>
      <c r="F360" s="20">
        <f>IF(AND($B$37&lt;='1 - Titoli e shock'!$B$17,$C360&lt;='1 - Titoli e shock'!$B$17),$D$37*F$6/2*(1-'1 - Titoli e shock'!$B$8),0)</f>
        <v>313.06156434992363</v>
      </c>
      <c r="G360" s="20">
        <f>IF(AND($B$37&lt;='1 - Titoli e shock'!$B$17,$C360&lt;='1 - Titoli e shock'!$B$17),$D$37*G$6/2*(1-'1 - Titoli e shock'!$B$8),0)</f>
        <v>401.8399412106603</v>
      </c>
      <c r="H360" s="20">
        <f>IF(AND($B$37&lt;='1 - Titoli e shock'!$B$17,$C360&lt;='1 - Titoli e shock'!$B$17),$D$37*H$6/2*(1-'1 - Titoli e shock'!$B$8),0)</f>
        <v>490.19449893540536</v>
      </c>
      <c r="I360" s="20">
        <f>IF(AND($B$37&lt;='1 - Titoli e shock'!$B$17,$C360&lt;='1 - Titoli e shock'!$B$17),$D$37*I$6/2*(1-'1 - Titoli e shock'!$B$8),0)</f>
        <v>578.13124999725869</v>
      </c>
      <c r="J360" s="20">
        <f>IF(AND($B$37&lt;='1 - Titoli e shock'!$B$17,$C360&lt;='1 - Titoli e shock'!$B$17),$D$37*J$6/2*(1-'1 - Titoli e shock'!$B$8),0)</f>
        <v>423.96807637271604</v>
      </c>
      <c r="K360" s="20">
        <f>IF(AND($B$37&lt;='1 - Titoli e shock'!$B$17,$C360&lt;='1 - Titoli e shock'!$B$17),$D$37*K$6/2*(1-'1 - Titoli e shock'!$B$8),0)</f>
        <v>446.06981832983558</v>
      </c>
      <c r="L360" s="20">
        <f>IF(AND($B$37&lt;='1 - Titoli e shock'!$B$17,$C360&lt;='1 - Titoli e shock'!$B$17),$D$37*L$6/2*(1-'1 - Titoli e shock'!$B$8),0)</f>
        <v>454.90314613860033</v>
      </c>
      <c r="M360" s="20">
        <f>IF(AND($B$37&lt;='1 - Titoli e shock'!$B$17,$C360&lt;='1 - Titoli e shock'!$B$17),$D$37*M$6/2*(1-'1 - Titoli e shock'!$B$8),0)</f>
        <v>463.73227212018151</v>
      </c>
      <c r="N360" s="20">
        <f>IF(AND($B$37&lt;='1 - Titoli e shock'!$B$17,$C360&lt;='1 - Titoli e shock'!$B$17),$D$37*N$6/2*(1-'1 - Titoli e shock'!$B$8),0)</f>
        <v>472.55720226504565</v>
      </c>
      <c r="O360" s="20">
        <f>IF(AND($B$37&lt;='1 - Titoli e shock'!$B$17,$C360&lt;='1 - Titoli e shock'!$B$17),$D$37*O$6/2*(1-'1 - Titoli e shock'!$B$8),0)</f>
        <v>481.37794254942742</v>
      </c>
      <c r="P360" s="20">
        <f>IF(AND($B$37&lt;='1 - Titoli e shock'!$B$17,$C360&lt;='1 - Titoli e shock'!$B$17),$D$37*P$6/2*(1-'1 - Titoli e shock'!$B$8),0)</f>
        <v>499.0068773709105</v>
      </c>
      <c r="Q360" s="20">
        <f>IF(AND($B$37&lt;='1 - Titoli e shock'!$B$17,$C360&lt;='1 - Titoli e shock'!$B$17),$D$37*Q$6/2*(1-'1 - Titoli e shock'!$B$8),0)</f>
        <v>507.81508378981869</v>
      </c>
      <c r="R360" s="20">
        <f>IF(AND($B$37&lt;='1 - Titoli e shock'!$B$17,$C360&lt;='1 - Titoli e shock'!$B$17),$D$37*R$6/2*(1-'1 - Titoli e shock'!$B$8),0)</f>
        <v>516.61912411194601</v>
      </c>
      <c r="S360" s="20">
        <f>IF(AND($B$37&lt;='1 - Titoli e shock'!$B$17,$C360&lt;='1 - Titoli e shock'!$B$17),$D$37*S$6/2*(1-'1 - Titoli e shock'!$B$8),0)</f>
        <v>525.41900424314247</v>
      </c>
      <c r="T360" s="20">
        <f>IF(AND($B$37&lt;='1 - Titoli e shock'!$B$17,$C360&lt;='1 - Titoli e shock'!$B$17),$D$37*T$6/2*(1-'1 - Titoli e shock'!$B$8),0)</f>
        <v>534.21473007531063</v>
      </c>
      <c r="U360" s="20">
        <f>IF(AND($B$37&lt;='1 - Titoli e shock'!$B$17,$C360&lt;='1 - Titoli e shock'!$B$17),$D$37*U$6/2*(1-'1 - Titoli e shock'!$B$8),0)</f>
        <v>665.65606604062839</v>
      </c>
    </row>
    <row r="361" spans="1:21">
      <c r="A361" s="15" t="s">
        <v>267</v>
      </c>
      <c r="B361" s="22" t="str">
        <f>A37</f>
        <v>BTP 2,70% ott 2030</v>
      </c>
      <c r="C361" s="13">
        <f>EDATE($B$37,6*13)</f>
        <v>50131</v>
      </c>
      <c r="D361" s="23">
        <f>MAX(1,(YEAR(C361)-YEAR('1 - Titoli e shock'!$B$6))+IF(MONTH(C361)*100+DAY(C361)&gt;MONTH('1 - Titoli e shock'!$B$6)*100+DAY('1 - Titoli e shock'!$B$6),1,0))</f>
        <v>11</v>
      </c>
      <c r="F361" s="20">
        <f>IF(AND($B$37&lt;='1 - Titoli e shock'!$B$17,$C361&lt;='1 - Titoli e shock'!$B$17),$D$37*F$6/2*(1-'1 - Titoli e shock'!$B$8),0)</f>
        <v>0</v>
      </c>
      <c r="G361" s="20">
        <f>IF(AND($B$37&lt;='1 - Titoli e shock'!$B$17,$C361&lt;='1 - Titoli e shock'!$B$17),$D$37*G$6/2*(1-'1 - Titoli e shock'!$B$8),0)</f>
        <v>0</v>
      </c>
      <c r="H361" s="20">
        <f>IF(AND($B$37&lt;='1 - Titoli e shock'!$B$17,$C361&lt;='1 - Titoli e shock'!$B$17),$D$37*H$6/2*(1-'1 - Titoli e shock'!$B$8),0)</f>
        <v>0</v>
      </c>
      <c r="I361" s="20">
        <f>IF(AND($B$37&lt;='1 - Titoli e shock'!$B$17,$C361&lt;='1 - Titoli e shock'!$B$17),$D$37*I$6/2*(1-'1 - Titoli e shock'!$B$8),0)</f>
        <v>0</v>
      </c>
      <c r="J361" s="20">
        <f>IF(AND($B$37&lt;='1 - Titoli e shock'!$B$17,$C361&lt;='1 - Titoli e shock'!$B$17),$D$37*J$6/2*(1-'1 - Titoli e shock'!$B$8),0)</f>
        <v>0</v>
      </c>
      <c r="K361" s="20">
        <f>IF(AND($B$37&lt;='1 - Titoli e shock'!$B$17,$C361&lt;='1 - Titoli e shock'!$B$17),$D$37*K$6/2*(1-'1 - Titoli e shock'!$B$8),0)</f>
        <v>0</v>
      </c>
      <c r="L361" s="20">
        <f>IF(AND($B$37&lt;='1 - Titoli e shock'!$B$17,$C361&lt;='1 - Titoli e shock'!$B$17),$D$37*L$6/2*(1-'1 - Titoli e shock'!$B$8),0)</f>
        <v>0</v>
      </c>
      <c r="M361" s="20">
        <f>IF(AND($B$37&lt;='1 - Titoli e shock'!$B$17,$C361&lt;='1 - Titoli e shock'!$B$17),$D$37*M$6/2*(1-'1 - Titoli e shock'!$B$8),0)</f>
        <v>0</v>
      </c>
      <c r="N361" s="20">
        <f>IF(AND($B$37&lt;='1 - Titoli e shock'!$B$17,$C361&lt;='1 - Titoli e shock'!$B$17),$D$37*N$6/2*(1-'1 - Titoli e shock'!$B$8),0)</f>
        <v>0</v>
      </c>
      <c r="O361" s="20">
        <f>IF(AND($B$37&lt;='1 - Titoli e shock'!$B$17,$C361&lt;='1 - Titoli e shock'!$B$17),$D$37*O$6/2*(1-'1 - Titoli e shock'!$B$8),0)</f>
        <v>0</v>
      </c>
      <c r="P361" s="20">
        <f>IF(AND($B$37&lt;='1 - Titoli e shock'!$B$17,$C361&lt;='1 - Titoli e shock'!$B$17),$D$37*P$6/2*(1-'1 - Titoli e shock'!$B$8),0)</f>
        <v>0</v>
      </c>
      <c r="Q361" s="20">
        <f>IF(AND($B$37&lt;='1 - Titoli e shock'!$B$17,$C361&lt;='1 - Titoli e shock'!$B$17),$D$37*Q$6/2*(1-'1 - Titoli e shock'!$B$8),0)</f>
        <v>0</v>
      </c>
      <c r="R361" s="20">
        <f>IF(AND($B$37&lt;='1 - Titoli e shock'!$B$17,$C361&lt;='1 - Titoli e shock'!$B$17),$D$37*R$6/2*(1-'1 - Titoli e shock'!$B$8),0)</f>
        <v>0</v>
      </c>
      <c r="S361" s="20">
        <f>IF(AND($B$37&lt;='1 - Titoli e shock'!$B$17,$C361&lt;='1 - Titoli e shock'!$B$17),$D$37*S$6/2*(1-'1 - Titoli e shock'!$B$8),0)</f>
        <v>0</v>
      </c>
      <c r="T361" s="20">
        <f>IF(AND($B$37&lt;='1 - Titoli e shock'!$B$17,$C361&lt;='1 - Titoli e shock'!$B$17),$D$37*T$6/2*(1-'1 - Titoli e shock'!$B$8),0)</f>
        <v>0</v>
      </c>
      <c r="U361" s="20">
        <f>IF(AND($B$37&lt;='1 - Titoli e shock'!$B$17,$C361&lt;='1 - Titoli e shock'!$B$17),$D$37*U$6/2*(1-'1 - Titoli e shock'!$B$8),0)</f>
        <v>0</v>
      </c>
    </row>
    <row r="362" spans="1:21">
      <c r="A362" s="15" t="s">
        <v>267</v>
      </c>
      <c r="B362" s="22" t="str">
        <f>A37</f>
        <v>BTP 2,70% ott 2030</v>
      </c>
      <c r="C362" s="13">
        <f>EDATE($B$37,6*14)</f>
        <v>50314</v>
      </c>
      <c r="D362" s="23">
        <f>MAX(1,(YEAR(C362)-YEAR('1 - Titoli e shock'!$B$6))+IF(MONTH(C362)*100+DAY(C362)&gt;MONTH('1 - Titoli e shock'!$B$6)*100+DAY('1 - Titoli e shock'!$B$6),1,0))</f>
        <v>11</v>
      </c>
      <c r="F362" s="20">
        <f>IF(AND($B$37&lt;='1 - Titoli e shock'!$B$17,$C362&lt;='1 - Titoli e shock'!$B$17),$D$37*F$6/2*(1-'1 - Titoli e shock'!$B$8),0)</f>
        <v>0</v>
      </c>
      <c r="G362" s="20">
        <f>IF(AND($B$37&lt;='1 - Titoli e shock'!$B$17,$C362&lt;='1 - Titoli e shock'!$B$17),$D$37*G$6/2*(1-'1 - Titoli e shock'!$B$8),0)</f>
        <v>0</v>
      </c>
      <c r="H362" s="20">
        <f>IF(AND($B$37&lt;='1 - Titoli e shock'!$B$17,$C362&lt;='1 - Titoli e shock'!$B$17),$D$37*H$6/2*(1-'1 - Titoli e shock'!$B$8),0)</f>
        <v>0</v>
      </c>
      <c r="I362" s="20">
        <f>IF(AND($B$37&lt;='1 - Titoli e shock'!$B$17,$C362&lt;='1 - Titoli e shock'!$B$17),$D$37*I$6/2*(1-'1 - Titoli e shock'!$B$8),0)</f>
        <v>0</v>
      </c>
      <c r="J362" s="20">
        <f>IF(AND($B$37&lt;='1 - Titoli e shock'!$B$17,$C362&lt;='1 - Titoli e shock'!$B$17),$D$37*J$6/2*(1-'1 - Titoli e shock'!$B$8),0)</f>
        <v>0</v>
      </c>
      <c r="K362" s="20">
        <f>IF(AND($B$37&lt;='1 - Titoli e shock'!$B$17,$C362&lt;='1 - Titoli e shock'!$B$17),$D$37*K$6/2*(1-'1 - Titoli e shock'!$B$8),0)</f>
        <v>0</v>
      </c>
      <c r="L362" s="20">
        <f>IF(AND($B$37&lt;='1 - Titoli e shock'!$B$17,$C362&lt;='1 - Titoli e shock'!$B$17),$D$37*L$6/2*(1-'1 - Titoli e shock'!$B$8),0)</f>
        <v>0</v>
      </c>
      <c r="M362" s="20">
        <f>IF(AND($B$37&lt;='1 - Titoli e shock'!$B$17,$C362&lt;='1 - Titoli e shock'!$B$17),$D$37*M$6/2*(1-'1 - Titoli e shock'!$B$8),0)</f>
        <v>0</v>
      </c>
      <c r="N362" s="20">
        <f>IF(AND($B$37&lt;='1 - Titoli e shock'!$B$17,$C362&lt;='1 - Titoli e shock'!$B$17),$D$37*N$6/2*(1-'1 - Titoli e shock'!$B$8),0)</f>
        <v>0</v>
      </c>
      <c r="O362" s="20">
        <f>IF(AND($B$37&lt;='1 - Titoli e shock'!$B$17,$C362&lt;='1 - Titoli e shock'!$B$17),$D$37*O$6/2*(1-'1 - Titoli e shock'!$B$8),0)</f>
        <v>0</v>
      </c>
      <c r="P362" s="20">
        <f>IF(AND($B$37&lt;='1 - Titoli e shock'!$B$17,$C362&lt;='1 - Titoli e shock'!$B$17),$D$37*P$6/2*(1-'1 - Titoli e shock'!$B$8),0)</f>
        <v>0</v>
      </c>
      <c r="Q362" s="20">
        <f>IF(AND($B$37&lt;='1 - Titoli e shock'!$B$17,$C362&lt;='1 - Titoli e shock'!$B$17),$D$37*Q$6/2*(1-'1 - Titoli e shock'!$B$8),0)</f>
        <v>0</v>
      </c>
      <c r="R362" s="20">
        <f>IF(AND($B$37&lt;='1 - Titoli e shock'!$B$17,$C362&lt;='1 - Titoli e shock'!$B$17),$D$37*R$6/2*(1-'1 - Titoli e shock'!$B$8),0)</f>
        <v>0</v>
      </c>
      <c r="S362" s="20">
        <f>IF(AND($B$37&lt;='1 - Titoli e shock'!$B$17,$C362&lt;='1 - Titoli e shock'!$B$17),$D$37*S$6/2*(1-'1 - Titoli e shock'!$B$8),0)</f>
        <v>0</v>
      </c>
      <c r="T362" s="20">
        <f>IF(AND($B$37&lt;='1 - Titoli e shock'!$B$17,$C362&lt;='1 - Titoli e shock'!$B$17),$D$37*T$6/2*(1-'1 - Titoli e shock'!$B$8),0)</f>
        <v>0</v>
      </c>
      <c r="U362" s="20">
        <f>IF(AND($B$37&lt;='1 - Titoli e shock'!$B$17,$C362&lt;='1 - Titoli e shock'!$B$17),$D$37*U$6/2*(1-'1 - Titoli e shock'!$B$8),0)</f>
        <v>0</v>
      </c>
    </row>
    <row r="363" spans="1:21">
      <c r="A363" s="15" t="s">
        <v>267</v>
      </c>
      <c r="B363" s="22" t="str">
        <f>A37</f>
        <v>BTP 2,70% ott 2030</v>
      </c>
      <c r="C363" s="13">
        <f>EDATE($B$37,6*15)</f>
        <v>50496</v>
      </c>
      <c r="D363" s="23">
        <f>MAX(1,(YEAR(C363)-YEAR('1 - Titoli e shock'!$B$6))+IF(MONTH(C363)*100+DAY(C363)&gt;MONTH('1 - Titoli e shock'!$B$6)*100+DAY('1 - Titoli e shock'!$B$6),1,0))</f>
        <v>12</v>
      </c>
      <c r="F363" s="20">
        <f>IF(AND($B$37&lt;='1 - Titoli e shock'!$B$17,$C363&lt;='1 - Titoli e shock'!$B$17),$D$37*F$6/2*(1-'1 - Titoli e shock'!$B$8),0)</f>
        <v>0</v>
      </c>
      <c r="G363" s="20">
        <f>IF(AND($B$37&lt;='1 - Titoli e shock'!$B$17,$C363&lt;='1 - Titoli e shock'!$B$17),$D$37*G$6/2*(1-'1 - Titoli e shock'!$B$8),0)</f>
        <v>0</v>
      </c>
      <c r="H363" s="20">
        <f>IF(AND($B$37&lt;='1 - Titoli e shock'!$B$17,$C363&lt;='1 - Titoli e shock'!$B$17),$D$37*H$6/2*(1-'1 - Titoli e shock'!$B$8),0)</f>
        <v>0</v>
      </c>
      <c r="I363" s="20">
        <f>IF(AND($B$37&lt;='1 - Titoli e shock'!$B$17,$C363&lt;='1 - Titoli e shock'!$B$17),$D$37*I$6/2*(1-'1 - Titoli e shock'!$B$8),0)</f>
        <v>0</v>
      </c>
      <c r="J363" s="20">
        <f>IF(AND($B$37&lt;='1 - Titoli e shock'!$B$17,$C363&lt;='1 - Titoli e shock'!$B$17),$D$37*J$6/2*(1-'1 - Titoli e shock'!$B$8),0)</f>
        <v>0</v>
      </c>
      <c r="K363" s="20">
        <f>IF(AND($B$37&lt;='1 - Titoli e shock'!$B$17,$C363&lt;='1 - Titoli e shock'!$B$17),$D$37*K$6/2*(1-'1 - Titoli e shock'!$B$8),0)</f>
        <v>0</v>
      </c>
      <c r="L363" s="20">
        <f>IF(AND($B$37&lt;='1 - Titoli e shock'!$B$17,$C363&lt;='1 - Titoli e shock'!$B$17),$D$37*L$6/2*(1-'1 - Titoli e shock'!$B$8),0)</f>
        <v>0</v>
      </c>
      <c r="M363" s="20">
        <f>IF(AND($B$37&lt;='1 - Titoli e shock'!$B$17,$C363&lt;='1 - Titoli e shock'!$B$17),$D$37*M$6/2*(1-'1 - Titoli e shock'!$B$8),0)</f>
        <v>0</v>
      </c>
      <c r="N363" s="20">
        <f>IF(AND($B$37&lt;='1 - Titoli e shock'!$B$17,$C363&lt;='1 - Titoli e shock'!$B$17),$D$37*N$6/2*(1-'1 - Titoli e shock'!$B$8),0)</f>
        <v>0</v>
      </c>
      <c r="O363" s="20">
        <f>IF(AND($B$37&lt;='1 - Titoli e shock'!$B$17,$C363&lt;='1 - Titoli e shock'!$B$17),$D$37*O$6/2*(1-'1 - Titoli e shock'!$B$8),0)</f>
        <v>0</v>
      </c>
      <c r="P363" s="20">
        <f>IF(AND($B$37&lt;='1 - Titoli e shock'!$B$17,$C363&lt;='1 - Titoli e shock'!$B$17),$D$37*P$6/2*(1-'1 - Titoli e shock'!$B$8),0)</f>
        <v>0</v>
      </c>
      <c r="Q363" s="20">
        <f>IF(AND($B$37&lt;='1 - Titoli e shock'!$B$17,$C363&lt;='1 - Titoli e shock'!$B$17),$D$37*Q$6/2*(1-'1 - Titoli e shock'!$B$8),0)</f>
        <v>0</v>
      </c>
      <c r="R363" s="20">
        <f>IF(AND($B$37&lt;='1 - Titoli e shock'!$B$17,$C363&lt;='1 - Titoli e shock'!$B$17),$D$37*R$6/2*(1-'1 - Titoli e shock'!$B$8),0)</f>
        <v>0</v>
      </c>
      <c r="S363" s="20">
        <f>IF(AND($B$37&lt;='1 - Titoli e shock'!$B$17,$C363&lt;='1 - Titoli e shock'!$B$17),$D$37*S$6/2*(1-'1 - Titoli e shock'!$B$8),0)</f>
        <v>0</v>
      </c>
      <c r="T363" s="20">
        <f>IF(AND($B$37&lt;='1 - Titoli e shock'!$B$17,$C363&lt;='1 - Titoli e shock'!$B$17),$D$37*T$6/2*(1-'1 - Titoli e shock'!$B$8),0)</f>
        <v>0</v>
      </c>
      <c r="U363" s="20">
        <f>IF(AND($B$37&lt;='1 - Titoli e shock'!$B$17,$C363&lt;='1 - Titoli e shock'!$B$17),$D$37*U$6/2*(1-'1 - Titoli e shock'!$B$8),0)</f>
        <v>0</v>
      </c>
    </row>
    <row r="364" spans="1:21">
      <c r="A364" s="15" t="s">
        <v>267</v>
      </c>
      <c r="B364" s="22" t="str">
        <f>A37</f>
        <v>BTP 2,70% ott 2030</v>
      </c>
      <c r="C364" s="13">
        <f>EDATE($B$37,6*16)</f>
        <v>50679</v>
      </c>
      <c r="D364" s="23">
        <f>MAX(1,(YEAR(C364)-YEAR('1 - Titoli e shock'!$B$6))+IF(MONTH(C364)*100+DAY(C364)&gt;MONTH('1 - Titoli e shock'!$B$6)*100+DAY('1 - Titoli e shock'!$B$6),1,0))</f>
        <v>12</v>
      </c>
      <c r="F364" s="20">
        <f>IF(AND($B$37&lt;='1 - Titoli e shock'!$B$17,$C364&lt;='1 - Titoli e shock'!$B$17),$D$37*F$6/2*(1-'1 - Titoli e shock'!$B$8),0)</f>
        <v>0</v>
      </c>
      <c r="G364" s="20">
        <f>IF(AND($B$37&lt;='1 - Titoli e shock'!$B$17,$C364&lt;='1 - Titoli e shock'!$B$17),$D$37*G$6/2*(1-'1 - Titoli e shock'!$B$8),0)</f>
        <v>0</v>
      </c>
      <c r="H364" s="20">
        <f>IF(AND($B$37&lt;='1 - Titoli e shock'!$B$17,$C364&lt;='1 - Titoli e shock'!$B$17),$D$37*H$6/2*(1-'1 - Titoli e shock'!$B$8),0)</f>
        <v>0</v>
      </c>
      <c r="I364" s="20">
        <f>IF(AND($B$37&lt;='1 - Titoli e shock'!$B$17,$C364&lt;='1 - Titoli e shock'!$B$17),$D$37*I$6/2*(1-'1 - Titoli e shock'!$B$8),0)</f>
        <v>0</v>
      </c>
      <c r="J364" s="20">
        <f>IF(AND($B$37&lt;='1 - Titoli e shock'!$B$17,$C364&lt;='1 - Titoli e shock'!$B$17),$D$37*J$6/2*(1-'1 - Titoli e shock'!$B$8),0)</f>
        <v>0</v>
      </c>
      <c r="K364" s="20">
        <f>IF(AND($B$37&lt;='1 - Titoli e shock'!$B$17,$C364&lt;='1 - Titoli e shock'!$B$17),$D$37*K$6/2*(1-'1 - Titoli e shock'!$B$8),0)</f>
        <v>0</v>
      </c>
      <c r="L364" s="20">
        <f>IF(AND($B$37&lt;='1 - Titoli e shock'!$B$17,$C364&lt;='1 - Titoli e shock'!$B$17),$D$37*L$6/2*(1-'1 - Titoli e shock'!$B$8),0)</f>
        <v>0</v>
      </c>
      <c r="M364" s="20">
        <f>IF(AND($B$37&lt;='1 - Titoli e shock'!$B$17,$C364&lt;='1 - Titoli e shock'!$B$17),$D$37*M$6/2*(1-'1 - Titoli e shock'!$B$8),0)</f>
        <v>0</v>
      </c>
      <c r="N364" s="20">
        <f>IF(AND($B$37&lt;='1 - Titoli e shock'!$B$17,$C364&lt;='1 - Titoli e shock'!$B$17),$D$37*N$6/2*(1-'1 - Titoli e shock'!$B$8),0)</f>
        <v>0</v>
      </c>
      <c r="O364" s="20">
        <f>IF(AND($B$37&lt;='1 - Titoli e shock'!$B$17,$C364&lt;='1 - Titoli e shock'!$B$17),$D$37*O$6/2*(1-'1 - Titoli e shock'!$B$8),0)</f>
        <v>0</v>
      </c>
      <c r="P364" s="20">
        <f>IF(AND($B$37&lt;='1 - Titoli e shock'!$B$17,$C364&lt;='1 - Titoli e shock'!$B$17),$D$37*P$6/2*(1-'1 - Titoli e shock'!$B$8),0)</f>
        <v>0</v>
      </c>
      <c r="Q364" s="20">
        <f>IF(AND($B$37&lt;='1 - Titoli e shock'!$B$17,$C364&lt;='1 - Titoli e shock'!$B$17),$D$37*Q$6/2*(1-'1 - Titoli e shock'!$B$8),0)</f>
        <v>0</v>
      </c>
      <c r="R364" s="20">
        <f>IF(AND($B$37&lt;='1 - Titoli e shock'!$B$17,$C364&lt;='1 - Titoli e shock'!$B$17),$D$37*R$6/2*(1-'1 - Titoli e shock'!$B$8),0)</f>
        <v>0</v>
      </c>
      <c r="S364" s="20">
        <f>IF(AND($B$37&lt;='1 - Titoli e shock'!$B$17,$C364&lt;='1 - Titoli e shock'!$B$17),$D$37*S$6/2*(1-'1 - Titoli e shock'!$B$8),0)</f>
        <v>0</v>
      </c>
      <c r="T364" s="20">
        <f>IF(AND($B$37&lt;='1 - Titoli e shock'!$B$17,$C364&lt;='1 - Titoli e shock'!$B$17),$D$37*T$6/2*(1-'1 - Titoli e shock'!$B$8),0)</f>
        <v>0</v>
      </c>
      <c r="U364" s="20">
        <f>IF(AND($B$37&lt;='1 - Titoli e shock'!$B$17,$C364&lt;='1 - Titoli e shock'!$B$17),$D$37*U$6/2*(1-'1 - Titoli e shock'!$B$8),0)</f>
        <v>0</v>
      </c>
    </row>
    <row r="365" spans="1:21">
      <c r="A365" s="15" t="s">
        <v>267</v>
      </c>
      <c r="B365" s="22" t="str">
        <f>A37</f>
        <v>BTP 2,70% ott 2030</v>
      </c>
      <c r="C365" s="13">
        <f>EDATE($B$37,6*17)</f>
        <v>50861</v>
      </c>
      <c r="D365" s="23">
        <f>MAX(1,(YEAR(C365)-YEAR('1 - Titoli e shock'!$B$6))+IF(MONTH(C365)*100+DAY(C365)&gt;MONTH('1 - Titoli e shock'!$B$6)*100+DAY('1 - Titoli e shock'!$B$6),1,0))</f>
        <v>13</v>
      </c>
      <c r="F365" s="20">
        <f>IF(AND($B$37&lt;='1 - Titoli e shock'!$B$17,$C365&lt;='1 - Titoli e shock'!$B$17),$D$37*F$6/2*(1-'1 - Titoli e shock'!$B$8),0)</f>
        <v>0</v>
      </c>
      <c r="G365" s="20">
        <f>IF(AND($B$37&lt;='1 - Titoli e shock'!$B$17,$C365&lt;='1 - Titoli e shock'!$B$17),$D$37*G$6/2*(1-'1 - Titoli e shock'!$B$8),0)</f>
        <v>0</v>
      </c>
      <c r="H365" s="20">
        <f>IF(AND($B$37&lt;='1 - Titoli e shock'!$B$17,$C365&lt;='1 - Titoli e shock'!$B$17),$D$37*H$6/2*(1-'1 - Titoli e shock'!$B$8),0)</f>
        <v>0</v>
      </c>
      <c r="I365" s="20">
        <f>IF(AND($B$37&lt;='1 - Titoli e shock'!$B$17,$C365&lt;='1 - Titoli e shock'!$B$17),$D$37*I$6/2*(1-'1 - Titoli e shock'!$B$8),0)</f>
        <v>0</v>
      </c>
      <c r="J365" s="20">
        <f>IF(AND($B$37&lt;='1 - Titoli e shock'!$B$17,$C365&lt;='1 - Titoli e shock'!$B$17),$D$37*J$6/2*(1-'1 - Titoli e shock'!$B$8),0)</f>
        <v>0</v>
      </c>
      <c r="K365" s="20">
        <f>IF(AND($B$37&lt;='1 - Titoli e shock'!$B$17,$C365&lt;='1 - Titoli e shock'!$B$17),$D$37*K$6/2*(1-'1 - Titoli e shock'!$B$8),0)</f>
        <v>0</v>
      </c>
      <c r="L365" s="20">
        <f>IF(AND($B$37&lt;='1 - Titoli e shock'!$B$17,$C365&lt;='1 - Titoli e shock'!$B$17),$D$37*L$6/2*(1-'1 - Titoli e shock'!$B$8),0)</f>
        <v>0</v>
      </c>
      <c r="M365" s="20">
        <f>IF(AND($B$37&lt;='1 - Titoli e shock'!$B$17,$C365&lt;='1 - Titoli e shock'!$B$17),$D$37*M$6/2*(1-'1 - Titoli e shock'!$B$8),0)</f>
        <v>0</v>
      </c>
      <c r="N365" s="20">
        <f>IF(AND($B$37&lt;='1 - Titoli e shock'!$B$17,$C365&lt;='1 - Titoli e shock'!$B$17),$D$37*N$6/2*(1-'1 - Titoli e shock'!$B$8),0)</f>
        <v>0</v>
      </c>
      <c r="O365" s="20">
        <f>IF(AND($B$37&lt;='1 - Titoli e shock'!$B$17,$C365&lt;='1 - Titoli e shock'!$B$17),$D$37*O$6/2*(1-'1 - Titoli e shock'!$B$8),0)</f>
        <v>0</v>
      </c>
      <c r="P365" s="20">
        <f>IF(AND($B$37&lt;='1 - Titoli e shock'!$B$17,$C365&lt;='1 - Titoli e shock'!$B$17),$D$37*P$6/2*(1-'1 - Titoli e shock'!$B$8),0)</f>
        <v>0</v>
      </c>
      <c r="Q365" s="20">
        <f>IF(AND($B$37&lt;='1 - Titoli e shock'!$B$17,$C365&lt;='1 - Titoli e shock'!$B$17),$D$37*Q$6/2*(1-'1 - Titoli e shock'!$B$8),0)</f>
        <v>0</v>
      </c>
      <c r="R365" s="20">
        <f>IF(AND($B$37&lt;='1 - Titoli e shock'!$B$17,$C365&lt;='1 - Titoli e shock'!$B$17),$D$37*R$6/2*(1-'1 - Titoli e shock'!$B$8),0)</f>
        <v>0</v>
      </c>
      <c r="S365" s="20">
        <f>IF(AND($B$37&lt;='1 - Titoli e shock'!$B$17,$C365&lt;='1 - Titoli e shock'!$B$17),$D$37*S$6/2*(1-'1 - Titoli e shock'!$B$8),0)</f>
        <v>0</v>
      </c>
      <c r="T365" s="20">
        <f>IF(AND($B$37&lt;='1 - Titoli e shock'!$B$17,$C365&lt;='1 - Titoli e shock'!$B$17),$D$37*T$6/2*(1-'1 - Titoli e shock'!$B$8),0)</f>
        <v>0</v>
      </c>
      <c r="U365" s="20">
        <f>IF(AND($B$37&lt;='1 - Titoli e shock'!$B$17,$C365&lt;='1 - Titoli e shock'!$B$17),$D$37*U$6/2*(1-'1 - Titoli e shock'!$B$8),0)</f>
        <v>0</v>
      </c>
    </row>
    <row r="366" spans="1:21">
      <c r="A366" s="15" t="s">
        <v>267</v>
      </c>
      <c r="B366" s="22" t="str">
        <f>A37</f>
        <v>BTP 2,70% ott 2030</v>
      </c>
      <c r="C366" s="13">
        <f>EDATE($B$37,6*18)</f>
        <v>51044</v>
      </c>
      <c r="D366" s="23">
        <f>MAX(1,(YEAR(C366)-YEAR('1 - Titoli e shock'!$B$6))+IF(MONTH(C366)*100+DAY(C366)&gt;MONTH('1 - Titoli e shock'!$B$6)*100+DAY('1 - Titoli e shock'!$B$6),1,0))</f>
        <v>13</v>
      </c>
      <c r="F366" s="20">
        <f>IF(AND($B$37&lt;='1 - Titoli e shock'!$B$17,$C366&lt;='1 - Titoli e shock'!$B$17),$D$37*F$6/2*(1-'1 - Titoli e shock'!$B$8),0)</f>
        <v>0</v>
      </c>
      <c r="G366" s="20">
        <f>IF(AND($B$37&lt;='1 - Titoli e shock'!$B$17,$C366&lt;='1 - Titoli e shock'!$B$17),$D$37*G$6/2*(1-'1 - Titoli e shock'!$B$8),0)</f>
        <v>0</v>
      </c>
      <c r="H366" s="20">
        <f>IF(AND($B$37&lt;='1 - Titoli e shock'!$B$17,$C366&lt;='1 - Titoli e shock'!$B$17),$D$37*H$6/2*(1-'1 - Titoli e shock'!$B$8),0)</f>
        <v>0</v>
      </c>
      <c r="I366" s="20">
        <f>IF(AND($B$37&lt;='1 - Titoli e shock'!$B$17,$C366&lt;='1 - Titoli e shock'!$B$17),$D$37*I$6/2*(1-'1 - Titoli e shock'!$B$8),0)</f>
        <v>0</v>
      </c>
      <c r="J366" s="20">
        <f>IF(AND($B$37&lt;='1 - Titoli e shock'!$B$17,$C366&lt;='1 - Titoli e shock'!$B$17),$D$37*J$6/2*(1-'1 - Titoli e shock'!$B$8),0)</f>
        <v>0</v>
      </c>
      <c r="K366" s="20">
        <f>IF(AND($B$37&lt;='1 - Titoli e shock'!$B$17,$C366&lt;='1 - Titoli e shock'!$B$17),$D$37*K$6/2*(1-'1 - Titoli e shock'!$B$8),0)</f>
        <v>0</v>
      </c>
      <c r="L366" s="20">
        <f>IF(AND($B$37&lt;='1 - Titoli e shock'!$B$17,$C366&lt;='1 - Titoli e shock'!$B$17),$D$37*L$6/2*(1-'1 - Titoli e shock'!$B$8),0)</f>
        <v>0</v>
      </c>
      <c r="M366" s="20">
        <f>IF(AND($B$37&lt;='1 - Titoli e shock'!$B$17,$C366&lt;='1 - Titoli e shock'!$B$17),$D$37*M$6/2*(1-'1 - Titoli e shock'!$B$8),0)</f>
        <v>0</v>
      </c>
      <c r="N366" s="20">
        <f>IF(AND($B$37&lt;='1 - Titoli e shock'!$B$17,$C366&lt;='1 - Titoli e shock'!$B$17),$D$37*N$6/2*(1-'1 - Titoli e shock'!$B$8),0)</f>
        <v>0</v>
      </c>
      <c r="O366" s="20">
        <f>IF(AND($B$37&lt;='1 - Titoli e shock'!$B$17,$C366&lt;='1 - Titoli e shock'!$B$17),$D$37*O$6/2*(1-'1 - Titoli e shock'!$B$8),0)</f>
        <v>0</v>
      </c>
      <c r="P366" s="20">
        <f>IF(AND($B$37&lt;='1 - Titoli e shock'!$B$17,$C366&lt;='1 - Titoli e shock'!$B$17),$D$37*P$6/2*(1-'1 - Titoli e shock'!$B$8),0)</f>
        <v>0</v>
      </c>
      <c r="Q366" s="20">
        <f>IF(AND($B$37&lt;='1 - Titoli e shock'!$B$17,$C366&lt;='1 - Titoli e shock'!$B$17),$D$37*Q$6/2*(1-'1 - Titoli e shock'!$B$8),0)</f>
        <v>0</v>
      </c>
      <c r="R366" s="20">
        <f>IF(AND($B$37&lt;='1 - Titoli e shock'!$B$17,$C366&lt;='1 - Titoli e shock'!$B$17),$D$37*R$6/2*(1-'1 - Titoli e shock'!$B$8),0)</f>
        <v>0</v>
      </c>
      <c r="S366" s="20">
        <f>IF(AND($B$37&lt;='1 - Titoli e shock'!$B$17,$C366&lt;='1 - Titoli e shock'!$B$17),$D$37*S$6/2*(1-'1 - Titoli e shock'!$B$8),0)</f>
        <v>0</v>
      </c>
      <c r="T366" s="20">
        <f>IF(AND($B$37&lt;='1 - Titoli e shock'!$B$17,$C366&lt;='1 - Titoli e shock'!$B$17),$D$37*T$6/2*(1-'1 - Titoli e shock'!$B$8),0)</f>
        <v>0</v>
      </c>
      <c r="U366" s="20">
        <f>IF(AND($B$37&lt;='1 - Titoli e shock'!$B$17,$C366&lt;='1 - Titoli e shock'!$B$17),$D$37*U$6/2*(1-'1 - Titoli e shock'!$B$8),0)</f>
        <v>0</v>
      </c>
    </row>
    <row r="367" spans="1:21">
      <c r="A367" s="15" t="s">
        <v>267</v>
      </c>
      <c r="B367" s="22" t="str">
        <f>A37</f>
        <v>BTP 2,70% ott 2030</v>
      </c>
      <c r="C367" s="13">
        <f>EDATE($B$37,6*19)</f>
        <v>51227</v>
      </c>
      <c r="D367" s="23">
        <f>MAX(1,(YEAR(C367)-YEAR('1 - Titoli e shock'!$B$6))+IF(MONTH(C367)*100+DAY(C367)&gt;MONTH('1 - Titoli e shock'!$B$6)*100+DAY('1 - Titoli e shock'!$B$6),1,0))</f>
        <v>14</v>
      </c>
      <c r="F367" s="20">
        <f>IF(AND($B$37&lt;='1 - Titoli e shock'!$B$17,$C367&lt;='1 - Titoli e shock'!$B$17),$D$37*F$6/2*(1-'1 - Titoli e shock'!$B$8),0)</f>
        <v>0</v>
      </c>
      <c r="G367" s="20">
        <f>IF(AND($B$37&lt;='1 - Titoli e shock'!$B$17,$C367&lt;='1 - Titoli e shock'!$B$17),$D$37*G$6/2*(1-'1 - Titoli e shock'!$B$8),0)</f>
        <v>0</v>
      </c>
      <c r="H367" s="20">
        <f>IF(AND($B$37&lt;='1 - Titoli e shock'!$B$17,$C367&lt;='1 - Titoli e shock'!$B$17),$D$37*H$6/2*(1-'1 - Titoli e shock'!$B$8),0)</f>
        <v>0</v>
      </c>
      <c r="I367" s="20">
        <f>IF(AND($B$37&lt;='1 - Titoli e shock'!$B$17,$C367&lt;='1 - Titoli e shock'!$B$17),$D$37*I$6/2*(1-'1 - Titoli e shock'!$B$8),0)</f>
        <v>0</v>
      </c>
      <c r="J367" s="20">
        <f>IF(AND($B$37&lt;='1 - Titoli e shock'!$B$17,$C367&lt;='1 - Titoli e shock'!$B$17),$D$37*J$6/2*(1-'1 - Titoli e shock'!$B$8),0)</f>
        <v>0</v>
      </c>
      <c r="K367" s="20">
        <f>IF(AND($B$37&lt;='1 - Titoli e shock'!$B$17,$C367&lt;='1 - Titoli e shock'!$B$17),$D$37*K$6/2*(1-'1 - Titoli e shock'!$B$8),0)</f>
        <v>0</v>
      </c>
      <c r="L367" s="20">
        <f>IF(AND($B$37&lt;='1 - Titoli e shock'!$B$17,$C367&lt;='1 - Titoli e shock'!$B$17),$D$37*L$6/2*(1-'1 - Titoli e shock'!$B$8),0)</f>
        <v>0</v>
      </c>
      <c r="M367" s="20">
        <f>IF(AND($B$37&lt;='1 - Titoli e shock'!$B$17,$C367&lt;='1 - Titoli e shock'!$B$17),$D$37*M$6/2*(1-'1 - Titoli e shock'!$B$8),0)</f>
        <v>0</v>
      </c>
      <c r="N367" s="20">
        <f>IF(AND($B$37&lt;='1 - Titoli e shock'!$B$17,$C367&lt;='1 - Titoli e shock'!$B$17),$D$37*N$6/2*(1-'1 - Titoli e shock'!$B$8),0)</f>
        <v>0</v>
      </c>
      <c r="O367" s="20">
        <f>IF(AND($B$37&lt;='1 - Titoli e shock'!$B$17,$C367&lt;='1 - Titoli e shock'!$B$17),$D$37*O$6/2*(1-'1 - Titoli e shock'!$B$8),0)</f>
        <v>0</v>
      </c>
      <c r="P367" s="20">
        <f>IF(AND($B$37&lt;='1 - Titoli e shock'!$B$17,$C367&lt;='1 - Titoli e shock'!$B$17),$D$37*P$6/2*(1-'1 - Titoli e shock'!$B$8),0)</f>
        <v>0</v>
      </c>
      <c r="Q367" s="20">
        <f>IF(AND($B$37&lt;='1 - Titoli e shock'!$B$17,$C367&lt;='1 - Titoli e shock'!$B$17),$D$37*Q$6/2*(1-'1 - Titoli e shock'!$B$8),0)</f>
        <v>0</v>
      </c>
      <c r="R367" s="20">
        <f>IF(AND($B$37&lt;='1 - Titoli e shock'!$B$17,$C367&lt;='1 - Titoli e shock'!$B$17),$D$37*R$6/2*(1-'1 - Titoli e shock'!$B$8),0)</f>
        <v>0</v>
      </c>
      <c r="S367" s="20">
        <f>IF(AND($B$37&lt;='1 - Titoli e shock'!$B$17,$C367&lt;='1 - Titoli e shock'!$B$17),$D$37*S$6/2*(1-'1 - Titoli e shock'!$B$8),0)</f>
        <v>0</v>
      </c>
      <c r="T367" s="20">
        <f>IF(AND($B$37&lt;='1 - Titoli e shock'!$B$17,$C367&lt;='1 - Titoli e shock'!$B$17),$D$37*T$6/2*(1-'1 - Titoli e shock'!$B$8),0)</f>
        <v>0</v>
      </c>
      <c r="U367" s="20">
        <f>IF(AND($B$37&lt;='1 - Titoli e shock'!$B$17,$C367&lt;='1 - Titoli e shock'!$B$17),$D$37*U$6/2*(1-'1 - Titoli e shock'!$B$8),0)</f>
        <v>0</v>
      </c>
    </row>
    <row r="368" spans="1:21">
      <c r="A368" s="15" t="s">
        <v>267</v>
      </c>
      <c r="B368" s="22" t="str">
        <f>A37</f>
        <v>BTP 2,70% ott 2030</v>
      </c>
      <c r="C368" s="13">
        <f>EDATE($B$37,6*20)</f>
        <v>51410</v>
      </c>
      <c r="D368" s="23">
        <f>MAX(1,(YEAR(C368)-YEAR('1 - Titoli e shock'!$B$6))+IF(MONTH(C368)*100+DAY(C368)&gt;MONTH('1 - Titoli e shock'!$B$6)*100+DAY('1 - Titoli e shock'!$B$6),1,0))</f>
        <v>14</v>
      </c>
      <c r="F368" s="20">
        <f>IF(AND($B$37&lt;='1 - Titoli e shock'!$B$17,$C368&lt;='1 - Titoli e shock'!$B$17),$D$37*F$6/2*(1-'1 - Titoli e shock'!$B$8),0)</f>
        <v>0</v>
      </c>
      <c r="G368" s="20">
        <f>IF(AND($B$37&lt;='1 - Titoli e shock'!$B$17,$C368&lt;='1 - Titoli e shock'!$B$17),$D$37*G$6/2*(1-'1 - Titoli e shock'!$B$8),0)</f>
        <v>0</v>
      </c>
      <c r="H368" s="20">
        <f>IF(AND($B$37&lt;='1 - Titoli e shock'!$B$17,$C368&lt;='1 - Titoli e shock'!$B$17),$D$37*H$6/2*(1-'1 - Titoli e shock'!$B$8),0)</f>
        <v>0</v>
      </c>
      <c r="I368" s="20">
        <f>IF(AND($B$37&lt;='1 - Titoli e shock'!$B$17,$C368&lt;='1 - Titoli e shock'!$B$17),$D$37*I$6/2*(1-'1 - Titoli e shock'!$B$8),0)</f>
        <v>0</v>
      </c>
      <c r="J368" s="20">
        <f>IF(AND($B$37&lt;='1 - Titoli e shock'!$B$17,$C368&lt;='1 - Titoli e shock'!$B$17),$D$37*J$6/2*(1-'1 - Titoli e shock'!$B$8),0)</f>
        <v>0</v>
      </c>
      <c r="K368" s="20">
        <f>IF(AND($B$37&lt;='1 - Titoli e shock'!$B$17,$C368&lt;='1 - Titoli e shock'!$B$17),$D$37*K$6/2*(1-'1 - Titoli e shock'!$B$8),0)</f>
        <v>0</v>
      </c>
      <c r="L368" s="20">
        <f>IF(AND($B$37&lt;='1 - Titoli e shock'!$B$17,$C368&lt;='1 - Titoli e shock'!$B$17),$D$37*L$6/2*(1-'1 - Titoli e shock'!$B$8),0)</f>
        <v>0</v>
      </c>
      <c r="M368" s="20">
        <f>IF(AND($B$37&lt;='1 - Titoli e shock'!$B$17,$C368&lt;='1 - Titoli e shock'!$B$17),$D$37*M$6/2*(1-'1 - Titoli e shock'!$B$8),0)</f>
        <v>0</v>
      </c>
      <c r="N368" s="20">
        <f>IF(AND($B$37&lt;='1 - Titoli e shock'!$B$17,$C368&lt;='1 - Titoli e shock'!$B$17),$D$37*N$6/2*(1-'1 - Titoli e shock'!$B$8),0)</f>
        <v>0</v>
      </c>
      <c r="O368" s="20">
        <f>IF(AND($B$37&lt;='1 - Titoli e shock'!$B$17,$C368&lt;='1 - Titoli e shock'!$B$17),$D$37*O$6/2*(1-'1 - Titoli e shock'!$B$8),0)</f>
        <v>0</v>
      </c>
      <c r="P368" s="20">
        <f>IF(AND($B$37&lt;='1 - Titoli e shock'!$B$17,$C368&lt;='1 - Titoli e shock'!$B$17),$D$37*P$6/2*(1-'1 - Titoli e shock'!$B$8),0)</f>
        <v>0</v>
      </c>
      <c r="Q368" s="20">
        <f>IF(AND($B$37&lt;='1 - Titoli e shock'!$B$17,$C368&lt;='1 - Titoli e shock'!$B$17),$D$37*Q$6/2*(1-'1 - Titoli e shock'!$B$8),0)</f>
        <v>0</v>
      </c>
      <c r="R368" s="20">
        <f>IF(AND($B$37&lt;='1 - Titoli e shock'!$B$17,$C368&lt;='1 - Titoli e shock'!$B$17),$D$37*R$6/2*(1-'1 - Titoli e shock'!$B$8),0)</f>
        <v>0</v>
      </c>
      <c r="S368" s="20">
        <f>IF(AND($B$37&lt;='1 - Titoli e shock'!$B$17,$C368&lt;='1 - Titoli e shock'!$B$17),$D$37*S$6/2*(1-'1 - Titoli e shock'!$B$8),0)</f>
        <v>0</v>
      </c>
      <c r="T368" s="20">
        <f>IF(AND($B$37&lt;='1 - Titoli e shock'!$B$17,$C368&lt;='1 - Titoli e shock'!$B$17),$D$37*T$6/2*(1-'1 - Titoli e shock'!$B$8),0)</f>
        <v>0</v>
      </c>
      <c r="U368" s="20">
        <f>IF(AND($B$37&lt;='1 - Titoli e shock'!$B$17,$C368&lt;='1 - Titoli e shock'!$B$17),$D$37*U$6/2*(1-'1 - Titoli e shock'!$B$8),0)</f>
        <v>0</v>
      </c>
    </row>
    <row r="369" spans="1:21">
      <c r="A369" s="15" t="s">
        <v>268</v>
      </c>
      <c r="B369" s="22" t="str">
        <f>A37</f>
        <v>BTP 2,70% ott 2030</v>
      </c>
      <c r="C369" s="13">
        <f>EDATE($B$37,120)</f>
        <v>51410</v>
      </c>
      <c r="D369" s="23">
        <f>MAX(1,(YEAR(C369)-YEAR('1 - Titoli e shock'!$B$6))+IF(MONTH(C369)*100+DAY(C369)&gt;MONTH('1 - Titoli e shock'!$B$6)*100+DAY('1 - Titoli e shock'!$B$6),1,0))</f>
        <v>14</v>
      </c>
      <c r="F369" s="20">
        <f>IF(AND($B$37&lt;='1 - Titoli e shock'!$B$17,$C369&lt;='1 - Titoli e shock'!$B$17),$D$37,0)</f>
        <v>0</v>
      </c>
      <c r="G369" s="20">
        <f>IF(AND($B$37&lt;='1 - Titoli e shock'!$B$17,$C369&lt;='1 - Titoli e shock'!$B$17),$D$37,0)</f>
        <v>0</v>
      </c>
      <c r="H369" s="20">
        <f>IF(AND($B$37&lt;='1 - Titoli e shock'!$B$17,$C369&lt;='1 - Titoli e shock'!$B$17),$D$37,0)</f>
        <v>0</v>
      </c>
      <c r="I369" s="20">
        <f>IF(AND($B$37&lt;='1 - Titoli e shock'!$B$17,$C369&lt;='1 - Titoli e shock'!$B$17),$D$37,0)</f>
        <v>0</v>
      </c>
      <c r="J369" s="20">
        <f>IF(AND($B$37&lt;='1 - Titoli e shock'!$B$17,$C369&lt;='1 - Titoli e shock'!$B$17),$D$37,0)</f>
        <v>0</v>
      </c>
      <c r="K369" s="20">
        <f>IF(AND($B$37&lt;='1 - Titoli e shock'!$B$17,$C369&lt;='1 - Titoli e shock'!$B$17),$D$37,0)</f>
        <v>0</v>
      </c>
      <c r="L369" s="20">
        <f>IF(AND($B$37&lt;='1 - Titoli e shock'!$B$17,$C369&lt;='1 - Titoli e shock'!$B$17),$D$37,0)</f>
        <v>0</v>
      </c>
      <c r="M369" s="20">
        <f>IF(AND($B$37&lt;='1 - Titoli e shock'!$B$17,$C369&lt;='1 - Titoli e shock'!$B$17),$D$37,0)</f>
        <v>0</v>
      </c>
      <c r="N369" s="20">
        <f>IF(AND($B$37&lt;='1 - Titoli e shock'!$B$17,$C369&lt;='1 - Titoli e shock'!$B$17),$D$37,0)</f>
        <v>0</v>
      </c>
      <c r="O369" s="20">
        <f>IF(AND($B$37&lt;='1 - Titoli e shock'!$B$17,$C369&lt;='1 - Titoli e shock'!$B$17),$D$37,0)</f>
        <v>0</v>
      </c>
      <c r="P369" s="20">
        <f>IF(AND($B$37&lt;='1 - Titoli e shock'!$B$17,$C369&lt;='1 - Titoli e shock'!$B$17),$D$37,0)</f>
        <v>0</v>
      </c>
      <c r="Q369" s="20">
        <f>IF(AND($B$37&lt;='1 - Titoli e shock'!$B$17,$C369&lt;='1 - Titoli e shock'!$B$17),$D$37,0)</f>
        <v>0</v>
      </c>
      <c r="R369" s="20">
        <f>IF(AND($B$37&lt;='1 - Titoli e shock'!$B$17,$C369&lt;='1 - Titoli e shock'!$B$17),$D$37,0)</f>
        <v>0</v>
      </c>
      <c r="S369" s="20">
        <f>IF(AND($B$37&lt;='1 - Titoli e shock'!$B$17,$C369&lt;='1 - Titoli e shock'!$B$17),$D$37,0)</f>
        <v>0</v>
      </c>
      <c r="T369" s="20">
        <f>IF(AND($B$37&lt;='1 - Titoli e shock'!$B$17,$C369&lt;='1 - Titoli e shock'!$B$17),$D$37,0)</f>
        <v>0</v>
      </c>
      <c r="U369" s="20">
        <f>IF(AND($B$37&lt;='1 - Titoli e shock'!$B$17,$C369&lt;='1 - Titoli e shock'!$B$17),$D$37,0)</f>
        <v>0</v>
      </c>
    </row>
    <row r="370" spans="1:21">
      <c r="A370" s="15" t="s">
        <v>267</v>
      </c>
      <c r="B370" s="22" t="str">
        <f>A38</f>
        <v>BTP 3,15% nov 2031</v>
      </c>
      <c r="C370" s="13">
        <f>EDATE($B$38,6*1)</f>
        <v>48349</v>
      </c>
      <c r="D370" s="23">
        <f>MAX(1,(YEAR(C370)-YEAR('1 - Titoli e shock'!$B$6))+IF(MONTH(C370)*100+DAY(C370)&gt;MONTH('1 - Titoli e shock'!$B$6)*100+DAY('1 - Titoli e shock'!$B$6),1,0))</f>
        <v>6</v>
      </c>
      <c r="F370" s="20">
        <f>IF(AND($B$38&lt;='1 - Titoli e shock'!$B$17,$C370&lt;='1 - Titoli e shock'!$B$17),$D$38*F$6/2*(1-'1 - Titoli e shock'!$B$8),0)</f>
        <v>307.72935065245423</v>
      </c>
      <c r="G370" s="20">
        <f>IF(AND($B$38&lt;='1 - Titoli e shock'!$B$17,$C370&lt;='1 - Titoli e shock'!$B$17),$D$38*G$6/2*(1-'1 - Titoli e shock'!$B$8),0)</f>
        <v>394.99561190705157</v>
      </c>
      <c r="H370" s="20">
        <f>IF(AND($B$38&lt;='1 - Titoli e shock'!$B$17,$C370&lt;='1 - Titoli e shock'!$B$17),$D$38*H$6/2*(1-'1 - Titoli e shock'!$B$8),0)</f>
        <v>481.8452727150767</v>
      </c>
      <c r="I370" s="20">
        <f>IF(AND($B$38&lt;='1 - Titoli e shock'!$B$17,$C370&lt;='1 - Titoli e shock'!$B$17),$D$38*I$6/2*(1-'1 - Titoli e shock'!$B$8),0)</f>
        <v>568.28424314232336</v>
      </c>
      <c r="J370" s="20">
        <f>IF(AND($B$38&lt;='1 - Titoli e shock'!$B$17,$C370&lt;='1 - Titoli e shock'!$B$17),$D$38*J$6/2*(1-'1 - Titoli e shock'!$B$8),0)</f>
        <v>416.74685012982451</v>
      </c>
      <c r="K370" s="20">
        <f>IF(AND($B$38&lt;='1 - Titoli e shock'!$B$17,$C370&lt;='1 - Titoli e shock'!$B$17),$D$38*K$6/2*(1-'1 - Titoli e shock'!$B$8),0)</f>
        <v>438.47214468930071</v>
      </c>
      <c r="L370" s="20">
        <f>IF(AND($B$38&lt;='1 - Titoli e shock'!$B$17,$C370&lt;='1 - Titoli e shock'!$B$17),$D$38*L$6/2*(1-'1 - Titoli e shock'!$B$8),0)</f>
        <v>447.15501905088502</v>
      </c>
      <c r="M370" s="20">
        <f>IF(AND($B$38&lt;='1 - Titoli e shock'!$B$17,$C370&lt;='1 - Titoli e shock'!$B$17),$D$38*M$6/2*(1-'1 - Titoli e shock'!$B$8),0)</f>
        <v>455.83376315280799</v>
      </c>
      <c r="N370" s="20">
        <f>IF(AND($B$38&lt;='1 - Titoli e shock'!$B$17,$C370&lt;='1 - Titoli e shock'!$B$17),$D$38*N$6/2*(1-'1 - Titoli e shock'!$B$8),0)</f>
        <v>464.50838288350371</v>
      </c>
      <c r="O370" s="20">
        <f>IF(AND($B$38&lt;='1 - Titoli e shock'!$B$17,$C370&lt;='1 - Titoli e shock'!$B$17),$D$38*O$6/2*(1-'1 - Titoli e shock'!$B$8),0)</f>
        <v>473.17888411741671</v>
      </c>
      <c r="P370" s="20">
        <f>IF(AND($B$38&lt;='1 - Titoli e shock'!$B$17,$C370&lt;='1 - Titoli e shock'!$B$17),$D$38*P$6/2*(1-'1 - Titoli e shock'!$B$8),0)</f>
        <v>490.50755452310642</v>
      </c>
      <c r="Q370" s="20">
        <f>IF(AND($B$38&lt;='1 - Titoli e shock'!$B$17,$C370&lt;='1 - Titoli e shock'!$B$17),$D$38*Q$6/2*(1-'1 - Titoli e shock'!$B$8),0)</f>
        <v>499.16573537431327</v>
      </c>
      <c r="R370" s="20">
        <f>IF(AND($B$38&lt;='1 - Titoli e shock'!$B$17,$C370&lt;='1 - Titoli e shock'!$B$17),$D$38*R$6/2*(1-'1 - Titoli e shock'!$B$8),0)</f>
        <v>507.81982108768443</v>
      </c>
      <c r="S370" s="20">
        <f>IF(AND($B$38&lt;='1 - Titoli e shock'!$B$17,$C370&lt;='1 - Titoli e shock'!$B$17),$D$38*S$6/2*(1-'1 - Titoli e shock'!$B$8),0)</f>
        <v>516.46981746847825</v>
      </c>
      <c r="T370" s="20">
        <f>IF(AND($B$38&lt;='1 - Titoli e shock'!$B$17,$C370&lt;='1 - Titoli e shock'!$B$17),$D$38*T$6/2*(1-'1 - Titoli e shock'!$B$8),0)</f>
        <v>525.11573030824388</v>
      </c>
      <c r="U370" s="20">
        <f>IF(AND($B$38&lt;='1 - Titoli e shock'!$B$17,$C370&lt;='1 - Titoli e shock'!$B$17),$D$38*U$6/2*(1-'1 - Titoli e shock'!$B$8),0)</f>
        <v>654.3182948245551</v>
      </c>
    </row>
    <row r="371" spans="1:21">
      <c r="A371" s="15" t="s">
        <v>267</v>
      </c>
      <c r="B371" s="22" t="str">
        <f>A38</f>
        <v>BTP 3,15% nov 2031</v>
      </c>
      <c r="C371" s="13">
        <f>EDATE($B$38,6*2)</f>
        <v>48533</v>
      </c>
      <c r="D371" s="23">
        <f>MAX(1,(YEAR(C371)-YEAR('1 - Titoli e shock'!$B$6))+IF(MONTH(C371)*100+DAY(C371)&gt;MONTH('1 - Titoli e shock'!$B$6)*100+DAY('1 - Titoli e shock'!$B$6),1,0))</f>
        <v>7</v>
      </c>
      <c r="F371" s="20">
        <f>IF(AND($B$38&lt;='1 - Titoli e shock'!$B$17,$C371&lt;='1 - Titoli e shock'!$B$17),$D$38*F$6/2*(1-'1 - Titoli e shock'!$B$8),0)</f>
        <v>307.72935065245423</v>
      </c>
      <c r="G371" s="20">
        <f>IF(AND($B$38&lt;='1 - Titoli e shock'!$B$17,$C371&lt;='1 - Titoli e shock'!$B$17),$D$38*G$6/2*(1-'1 - Titoli e shock'!$B$8),0)</f>
        <v>394.99561190705157</v>
      </c>
      <c r="H371" s="20">
        <f>IF(AND($B$38&lt;='1 - Titoli e shock'!$B$17,$C371&lt;='1 - Titoli e shock'!$B$17),$D$38*H$6/2*(1-'1 - Titoli e shock'!$B$8),0)</f>
        <v>481.8452727150767</v>
      </c>
      <c r="I371" s="20">
        <f>IF(AND($B$38&lt;='1 - Titoli e shock'!$B$17,$C371&lt;='1 - Titoli e shock'!$B$17),$D$38*I$6/2*(1-'1 - Titoli e shock'!$B$8),0)</f>
        <v>568.28424314232336</v>
      </c>
      <c r="J371" s="20">
        <f>IF(AND($B$38&lt;='1 - Titoli e shock'!$B$17,$C371&lt;='1 - Titoli e shock'!$B$17),$D$38*J$6/2*(1-'1 - Titoli e shock'!$B$8),0)</f>
        <v>416.74685012982451</v>
      </c>
      <c r="K371" s="20">
        <f>IF(AND($B$38&lt;='1 - Titoli e shock'!$B$17,$C371&lt;='1 - Titoli e shock'!$B$17),$D$38*K$6/2*(1-'1 - Titoli e shock'!$B$8),0)</f>
        <v>438.47214468930071</v>
      </c>
      <c r="L371" s="20">
        <f>IF(AND($B$38&lt;='1 - Titoli e shock'!$B$17,$C371&lt;='1 - Titoli e shock'!$B$17),$D$38*L$6/2*(1-'1 - Titoli e shock'!$B$8),0)</f>
        <v>447.15501905088502</v>
      </c>
      <c r="M371" s="20">
        <f>IF(AND($B$38&lt;='1 - Titoli e shock'!$B$17,$C371&lt;='1 - Titoli e shock'!$B$17),$D$38*M$6/2*(1-'1 - Titoli e shock'!$B$8),0)</f>
        <v>455.83376315280799</v>
      </c>
      <c r="N371" s="20">
        <f>IF(AND($B$38&lt;='1 - Titoli e shock'!$B$17,$C371&lt;='1 - Titoli e shock'!$B$17),$D$38*N$6/2*(1-'1 - Titoli e shock'!$B$8),0)</f>
        <v>464.50838288350371</v>
      </c>
      <c r="O371" s="20">
        <f>IF(AND($B$38&lt;='1 - Titoli e shock'!$B$17,$C371&lt;='1 - Titoli e shock'!$B$17),$D$38*O$6/2*(1-'1 - Titoli e shock'!$B$8),0)</f>
        <v>473.17888411741671</v>
      </c>
      <c r="P371" s="20">
        <f>IF(AND($B$38&lt;='1 - Titoli e shock'!$B$17,$C371&lt;='1 - Titoli e shock'!$B$17),$D$38*P$6/2*(1-'1 - Titoli e shock'!$B$8),0)</f>
        <v>490.50755452310642</v>
      </c>
      <c r="Q371" s="20">
        <f>IF(AND($B$38&lt;='1 - Titoli e shock'!$B$17,$C371&lt;='1 - Titoli e shock'!$B$17),$D$38*Q$6/2*(1-'1 - Titoli e shock'!$B$8),0)</f>
        <v>499.16573537431327</v>
      </c>
      <c r="R371" s="20">
        <f>IF(AND($B$38&lt;='1 - Titoli e shock'!$B$17,$C371&lt;='1 - Titoli e shock'!$B$17),$D$38*R$6/2*(1-'1 - Titoli e shock'!$B$8),0)</f>
        <v>507.81982108768443</v>
      </c>
      <c r="S371" s="20">
        <f>IF(AND($B$38&lt;='1 - Titoli e shock'!$B$17,$C371&lt;='1 - Titoli e shock'!$B$17),$D$38*S$6/2*(1-'1 - Titoli e shock'!$B$8),0)</f>
        <v>516.46981746847825</v>
      </c>
      <c r="T371" s="20">
        <f>IF(AND($B$38&lt;='1 - Titoli e shock'!$B$17,$C371&lt;='1 - Titoli e shock'!$B$17),$D$38*T$6/2*(1-'1 - Titoli e shock'!$B$8),0)</f>
        <v>525.11573030824388</v>
      </c>
      <c r="U371" s="20">
        <f>IF(AND($B$38&lt;='1 - Titoli e shock'!$B$17,$C371&lt;='1 - Titoli e shock'!$B$17),$D$38*U$6/2*(1-'1 - Titoli e shock'!$B$8),0)</f>
        <v>654.3182948245551</v>
      </c>
    </row>
    <row r="372" spans="1:21">
      <c r="A372" s="15" t="s">
        <v>267</v>
      </c>
      <c r="B372" s="22" t="str">
        <f>A38</f>
        <v>BTP 3,15% nov 2031</v>
      </c>
      <c r="C372" s="13">
        <f>EDATE($B$38,6*3)</f>
        <v>48714</v>
      </c>
      <c r="D372" s="23">
        <f>MAX(1,(YEAR(C372)-YEAR('1 - Titoli e shock'!$B$6))+IF(MONTH(C372)*100+DAY(C372)&gt;MONTH('1 - Titoli e shock'!$B$6)*100+DAY('1 - Titoli e shock'!$B$6),1,0))</f>
        <v>7</v>
      </c>
      <c r="F372" s="20">
        <f>IF(AND($B$38&lt;='1 - Titoli e shock'!$B$17,$C372&lt;='1 - Titoli e shock'!$B$17),$D$38*F$6/2*(1-'1 - Titoli e shock'!$B$8),0)</f>
        <v>307.72935065245423</v>
      </c>
      <c r="G372" s="20">
        <f>IF(AND($B$38&lt;='1 - Titoli e shock'!$B$17,$C372&lt;='1 - Titoli e shock'!$B$17),$D$38*G$6/2*(1-'1 - Titoli e shock'!$B$8),0)</f>
        <v>394.99561190705157</v>
      </c>
      <c r="H372" s="20">
        <f>IF(AND($B$38&lt;='1 - Titoli e shock'!$B$17,$C372&lt;='1 - Titoli e shock'!$B$17),$D$38*H$6/2*(1-'1 - Titoli e shock'!$B$8),0)</f>
        <v>481.8452727150767</v>
      </c>
      <c r="I372" s="20">
        <f>IF(AND($B$38&lt;='1 - Titoli e shock'!$B$17,$C372&lt;='1 - Titoli e shock'!$B$17),$D$38*I$6/2*(1-'1 - Titoli e shock'!$B$8),0)</f>
        <v>568.28424314232336</v>
      </c>
      <c r="J372" s="20">
        <f>IF(AND($B$38&lt;='1 - Titoli e shock'!$B$17,$C372&lt;='1 - Titoli e shock'!$B$17),$D$38*J$6/2*(1-'1 - Titoli e shock'!$B$8),0)</f>
        <v>416.74685012982451</v>
      </c>
      <c r="K372" s="20">
        <f>IF(AND($B$38&lt;='1 - Titoli e shock'!$B$17,$C372&lt;='1 - Titoli e shock'!$B$17),$D$38*K$6/2*(1-'1 - Titoli e shock'!$B$8),0)</f>
        <v>438.47214468930071</v>
      </c>
      <c r="L372" s="20">
        <f>IF(AND($B$38&lt;='1 - Titoli e shock'!$B$17,$C372&lt;='1 - Titoli e shock'!$B$17),$D$38*L$6/2*(1-'1 - Titoli e shock'!$B$8),0)</f>
        <v>447.15501905088502</v>
      </c>
      <c r="M372" s="20">
        <f>IF(AND($B$38&lt;='1 - Titoli e shock'!$B$17,$C372&lt;='1 - Titoli e shock'!$B$17),$D$38*M$6/2*(1-'1 - Titoli e shock'!$B$8),0)</f>
        <v>455.83376315280799</v>
      </c>
      <c r="N372" s="20">
        <f>IF(AND($B$38&lt;='1 - Titoli e shock'!$B$17,$C372&lt;='1 - Titoli e shock'!$B$17),$D$38*N$6/2*(1-'1 - Titoli e shock'!$B$8),0)</f>
        <v>464.50838288350371</v>
      </c>
      <c r="O372" s="20">
        <f>IF(AND($B$38&lt;='1 - Titoli e shock'!$B$17,$C372&lt;='1 - Titoli e shock'!$B$17),$D$38*O$6/2*(1-'1 - Titoli e shock'!$B$8),0)</f>
        <v>473.17888411741671</v>
      </c>
      <c r="P372" s="20">
        <f>IF(AND($B$38&lt;='1 - Titoli e shock'!$B$17,$C372&lt;='1 - Titoli e shock'!$B$17),$D$38*P$6/2*(1-'1 - Titoli e shock'!$B$8),0)</f>
        <v>490.50755452310642</v>
      </c>
      <c r="Q372" s="20">
        <f>IF(AND($B$38&lt;='1 - Titoli e shock'!$B$17,$C372&lt;='1 - Titoli e shock'!$B$17),$D$38*Q$6/2*(1-'1 - Titoli e shock'!$B$8),0)</f>
        <v>499.16573537431327</v>
      </c>
      <c r="R372" s="20">
        <f>IF(AND($B$38&lt;='1 - Titoli e shock'!$B$17,$C372&lt;='1 - Titoli e shock'!$B$17),$D$38*R$6/2*(1-'1 - Titoli e shock'!$B$8),0)</f>
        <v>507.81982108768443</v>
      </c>
      <c r="S372" s="20">
        <f>IF(AND($B$38&lt;='1 - Titoli e shock'!$B$17,$C372&lt;='1 - Titoli e shock'!$B$17),$D$38*S$6/2*(1-'1 - Titoli e shock'!$B$8),0)</f>
        <v>516.46981746847825</v>
      </c>
      <c r="T372" s="20">
        <f>IF(AND($B$38&lt;='1 - Titoli e shock'!$B$17,$C372&lt;='1 - Titoli e shock'!$B$17),$D$38*T$6/2*(1-'1 - Titoli e shock'!$B$8),0)</f>
        <v>525.11573030824388</v>
      </c>
      <c r="U372" s="20">
        <f>IF(AND($B$38&lt;='1 - Titoli e shock'!$B$17,$C372&lt;='1 - Titoli e shock'!$B$17),$D$38*U$6/2*(1-'1 - Titoli e shock'!$B$8),0)</f>
        <v>654.3182948245551</v>
      </c>
    </row>
    <row r="373" spans="1:21">
      <c r="A373" s="15" t="s">
        <v>267</v>
      </c>
      <c r="B373" s="22" t="str">
        <f>A38</f>
        <v>BTP 3,15% nov 2031</v>
      </c>
      <c r="C373" s="13">
        <f>EDATE($B$38,6*4)</f>
        <v>48898</v>
      </c>
      <c r="D373" s="23">
        <f>MAX(1,(YEAR(C373)-YEAR('1 - Titoli e shock'!$B$6))+IF(MONTH(C373)*100+DAY(C373)&gt;MONTH('1 - Titoli e shock'!$B$6)*100+DAY('1 - Titoli e shock'!$B$6),1,0))</f>
        <v>8</v>
      </c>
      <c r="F373" s="20">
        <f>IF(AND($B$38&lt;='1 - Titoli e shock'!$B$17,$C373&lt;='1 - Titoli e shock'!$B$17),$D$38*F$6/2*(1-'1 - Titoli e shock'!$B$8),0)</f>
        <v>307.72935065245423</v>
      </c>
      <c r="G373" s="20">
        <f>IF(AND($B$38&lt;='1 - Titoli e shock'!$B$17,$C373&lt;='1 - Titoli e shock'!$B$17),$D$38*G$6/2*(1-'1 - Titoli e shock'!$B$8),0)</f>
        <v>394.99561190705157</v>
      </c>
      <c r="H373" s="20">
        <f>IF(AND($B$38&lt;='1 - Titoli e shock'!$B$17,$C373&lt;='1 - Titoli e shock'!$B$17),$D$38*H$6/2*(1-'1 - Titoli e shock'!$B$8),0)</f>
        <v>481.8452727150767</v>
      </c>
      <c r="I373" s="20">
        <f>IF(AND($B$38&lt;='1 - Titoli e shock'!$B$17,$C373&lt;='1 - Titoli e shock'!$B$17),$D$38*I$6/2*(1-'1 - Titoli e shock'!$B$8),0)</f>
        <v>568.28424314232336</v>
      </c>
      <c r="J373" s="20">
        <f>IF(AND($B$38&lt;='1 - Titoli e shock'!$B$17,$C373&lt;='1 - Titoli e shock'!$B$17),$D$38*J$6/2*(1-'1 - Titoli e shock'!$B$8),0)</f>
        <v>416.74685012982451</v>
      </c>
      <c r="K373" s="20">
        <f>IF(AND($B$38&lt;='1 - Titoli e shock'!$B$17,$C373&lt;='1 - Titoli e shock'!$B$17),$D$38*K$6/2*(1-'1 - Titoli e shock'!$B$8),0)</f>
        <v>438.47214468930071</v>
      </c>
      <c r="L373" s="20">
        <f>IF(AND($B$38&lt;='1 - Titoli e shock'!$B$17,$C373&lt;='1 - Titoli e shock'!$B$17),$D$38*L$6/2*(1-'1 - Titoli e shock'!$B$8),0)</f>
        <v>447.15501905088502</v>
      </c>
      <c r="M373" s="20">
        <f>IF(AND($B$38&lt;='1 - Titoli e shock'!$B$17,$C373&lt;='1 - Titoli e shock'!$B$17),$D$38*M$6/2*(1-'1 - Titoli e shock'!$B$8),0)</f>
        <v>455.83376315280799</v>
      </c>
      <c r="N373" s="20">
        <f>IF(AND($B$38&lt;='1 - Titoli e shock'!$B$17,$C373&lt;='1 - Titoli e shock'!$B$17),$D$38*N$6/2*(1-'1 - Titoli e shock'!$B$8),0)</f>
        <v>464.50838288350371</v>
      </c>
      <c r="O373" s="20">
        <f>IF(AND($B$38&lt;='1 - Titoli e shock'!$B$17,$C373&lt;='1 - Titoli e shock'!$B$17),$D$38*O$6/2*(1-'1 - Titoli e shock'!$B$8),0)</f>
        <v>473.17888411741671</v>
      </c>
      <c r="P373" s="20">
        <f>IF(AND($B$38&lt;='1 - Titoli e shock'!$B$17,$C373&lt;='1 - Titoli e shock'!$B$17),$D$38*P$6/2*(1-'1 - Titoli e shock'!$B$8),0)</f>
        <v>490.50755452310642</v>
      </c>
      <c r="Q373" s="20">
        <f>IF(AND($B$38&lt;='1 - Titoli e shock'!$B$17,$C373&lt;='1 - Titoli e shock'!$B$17),$D$38*Q$6/2*(1-'1 - Titoli e shock'!$B$8),0)</f>
        <v>499.16573537431327</v>
      </c>
      <c r="R373" s="20">
        <f>IF(AND($B$38&lt;='1 - Titoli e shock'!$B$17,$C373&lt;='1 - Titoli e shock'!$B$17),$D$38*R$6/2*(1-'1 - Titoli e shock'!$B$8),0)</f>
        <v>507.81982108768443</v>
      </c>
      <c r="S373" s="20">
        <f>IF(AND($B$38&lt;='1 - Titoli e shock'!$B$17,$C373&lt;='1 - Titoli e shock'!$B$17),$D$38*S$6/2*(1-'1 - Titoli e shock'!$B$8),0)</f>
        <v>516.46981746847825</v>
      </c>
      <c r="T373" s="20">
        <f>IF(AND($B$38&lt;='1 - Titoli e shock'!$B$17,$C373&lt;='1 - Titoli e shock'!$B$17),$D$38*T$6/2*(1-'1 - Titoli e shock'!$B$8),0)</f>
        <v>525.11573030824388</v>
      </c>
      <c r="U373" s="20">
        <f>IF(AND($B$38&lt;='1 - Titoli e shock'!$B$17,$C373&lt;='1 - Titoli e shock'!$B$17),$D$38*U$6/2*(1-'1 - Titoli e shock'!$B$8),0)</f>
        <v>654.3182948245551</v>
      </c>
    </row>
    <row r="374" spans="1:21">
      <c r="A374" s="15" t="s">
        <v>267</v>
      </c>
      <c r="B374" s="22" t="str">
        <f>A38</f>
        <v>BTP 3,15% nov 2031</v>
      </c>
      <c r="C374" s="13">
        <f>EDATE($B$38,6*5)</f>
        <v>49079</v>
      </c>
      <c r="D374" s="23">
        <f>MAX(1,(YEAR(C374)-YEAR('1 - Titoli e shock'!$B$6))+IF(MONTH(C374)*100+DAY(C374)&gt;MONTH('1 - Titoli e shock'!$B$6)*100+DAY('1 - Titoli e shock'!$B$6),1,0))</f>
        <v>8</v>
      </c>
      <c r="F374" s="20">
        <f>IF(AND($B$38&lt;='1 - Titoli e shock'!$B$17,$C374&lt;='1 - Titoli e shock'!$B$17),$D$38*F$6/2*(1-'1 - Titoli e shock'!$B$8),0)</f>
        <v>307.72935065245423</v>
      </c>
      <c r="G374" s="20">
        <f>IF(AND($B$38&lt;='1 - Titoli e shock'!$B$17,$C374&lt;='1 - Titoli e shock'!$B$17),$D$38*G$6/2*(1-'1 - Titoli e shock'!$B$8),0)</f>
        <v>394.99561190705157</v>
      </c>
      <c r="H374" s="20">
        <f>IF(AND($B$38&lt;='1 - Titoli e shock'!$B$17,$C374&lt;='1 - Titoli e shock'!$B$17),$D$38*H$6/2*(1-'1 - Titoli e shock'!$B$8),0)</f>
        <v>481.8452727150767</v>
      </c>
      <c r="I374" s="20">
        <f>IF(AND($B$38&lt;='1 - Titoli e shock'!$B$17,$C374&lt;='1 - Titoli e shock'!$B$17),$D$38*I$6/2*(1-'1 - Titoli e shock'!$B$8),0)</f>
        <v>568.28424314232336</v>
      </c>
      <c r="J374" s="20">
        <f>IF(AND($B$38&lt;='1 - Titoli e shock'!$B$17,$C374&lt;='1 - Titoli e shock'!$B$17),$D$38*J$6/2*(1-'1 - Titoli e shock'!$B$8),0)</f>
        <v>416.74685012982451</v>
      </c>
      <c r="K374" s="20">
        <f>IF(AND($B$38&lt;='1 - Titoli e shock'!$B$17,$C374&lt;='1 - Titoli e shock'!$B$17),$D$38*K$6/2*(1-'1 - Titoli e shock'!$B$8),0)</f>
        <v>438.47214468930071</v>
      </c>
      <c r="L374" s="20">
        <f>IF(AND($B$38&lt;='1 - Titoli e shock'!$B$17,$C374&lt;='1 - Titoli e shock'!$B$17),$D$38*L$6/2*(1-'1 - Titoli e shock'!$B$8),0)</f>
        <v>447.15501905088502</v>
      </c>
      <c r="M374" s="20">
        <f>IF(AND($B$38&lt;='1 - Titoli e shock'!$B$17,$C374&lt;='1 - Titoli e shock'!$B$17),$D$38*M$6/2*(1-'1 - Titoli e shock'!$B$8),0)</f>
        <v>455.83376315280799</v>
      </c>
      <c r="N374" s="20">
        <f>IF(AND($B$38&lt;='1 - Titoli e shock'!$B$17,$C374&lt;='1 - Titoli e shock'!$B$17),$D$38*N$6/2*(1-'1 - Titoli e shock'!$B$8),0)</f>
        <v>464.50838288350371</v>
      </c>
      <c r="O374" s="20">
        <f>IF(AND($B$38&lt;='1 - Titoli e shock'!$B$17,$C374&lt;='1 - Titoli e shock'!$B$17),$D$38*O$6/2*(1-'1 - Titoli e shock'!$B$8),0)</f>
        <v>473.17888411741671</v>
      </c>
      <c r="P374" s="20">
        <f>IF(AND($B$38&lt;='1 - Titoli e shock'!$B$17,$C374&lt;='1 - Titoli e shock'!$B$17),$D$38*P$6/2*(1-'1 - Titoli e shock'!$B$8),0)</f>
        <v>490.50755452310642</v>
      </c>
      <c r="Q374" s="20">
        <f>IF(AND($B$38&lt;='1 - Titoli e shock'!$B$17,$C374&lt;='1 - Titoli e shock'!$B$17),$D$38*Q$6/2*(1-'1 - Titoli e shock'!$B$8),0)</f>
        <v>499.16573537431327</v>
      </c>
      <c r="R374" s="20">
        <f>IF(AND($B$38&lt;='1 - Titoli e shock'!$B$17,$C374&lt;='1 - Titoli e shock'!$B$17),$D$38*R$6/2*(1-'1 - Titoli e shock'!$B$8),0)</f>
        <v>507.81982108768443</v>
      </c>
      <c r="S374" s="20">
        <f>IF(AND($B$38&lt;='1 - Titoli e shock'!$B$17,$C374&lt;='1 - Titoli e shock'!$B$17),$D$38*S$6/2*(1-'1 - Titoli e shock'!$B$8),0)</f>
        <v>516.46981746847825</v>
      </c>
      <c r="T374" s="20">
        <f>IF(AND($B$38&lt;='1 - Titoli e shock'!$B$17,$C374&lt;='1 - Titoli e shock'!$B$17),$D$38*T$6/2*(1-'1 - Titoli e shock'!$B$8),0)</f>
        <v>525.11573030824388</v>
      </c>
      <c r="U374" s="20">
        <f>IF(AND($B$38&lt;='1 - Titoli e shock'!$B$17,$C374&lt;='1 - Titoli e shock'!$B$17),$D$38*U$6/2*(1-'1 - Titoli e shock'!$B$8),0)</f>
        <v>654.3182948245551</v>
      </c>
    </row>
    <row r="375" spans="1:21">
      <c r="A375" s="15" t="s">
        <v>267</v>
      </c>
      <c r="B375" s="22" t="str">
        <f>A38</f>
        <v>BTP 3,15% nov 2031</v>
      </c>
      <c r="C375" s="13">
        <f>EDATE($B$38,6*6)</f>
        <v>49263</v>
      </c>
      <c r="D375" s="23">
        <f>MAX(1,(YEAR(C375)-YEAR('1 - Titoli e shock'!$B$6))+IF(MONTH(C375)*100+DAY(C375)&gt;MONTH('1 - Titoli e shock'!$B$6)*100+DAY('1 - Titoli e shock'!$B$6),1,0))</f>
        <v>9</v>
      </c>
      <c r="F375" s="20">
        <f>IF(AND($B$38&lt;='1 - Titoli e shock'!$B$17,$C375&lt;='1 - Titoli e shock'!$B$17),$D$38*F$6/2*(1-'1 - Titoli e shock'!$B$8),0)</f>
        <v>307.72935065245423</v>
      </c>
      <c r="G375" s="20">
        <f>IF(AND($B$38&lt;='1 - Titoli e shock'!$B$17,$C375&lt;='1 - Titoli e shock'!$B$17),$D$38*G$6/2*(1-'1 - Titoli e shock'!$B$8),0)</f>
        <v>394.99561190705157</v>
      </c>
      <c r="H375" s="20">
        <f>IF(AND($B$38&lt;='1 - Titoli e shock'!$B$17,$C375&lt;='1 - Titoli e shock'!$B$17),$D$38*H$6/2*(1-'1 - Titoli e shock'!$B$8),0)</f>
        <v>481.8452727150767</v>
      </c>
      <c r="I375" s="20">
        <f>IF(AND($B$38&lt;='1 - Titoli e shock'!$B$17,$C375&lt;='1 - Titoli e shock'!$B$17),$D$38*I$6/2*(1-'1 - Titoli e shock'!$B$8),0)</f>
        <v>568.28424314232336</v>
      </c>
      <c r="J375" s="20">
        <f>IF(AND($B$38&lt;='1 - Titoli e shock'!$B$17,$C375&lt;='1 - Titoli e shock'!$B$17),$D$38*J$6/2*(1-'1 - Titoli e shock'!$B$8),0)</f>
        <v>416.74685012982451</v>
      </c>
      <c r="K375" s="20">
        <f>IF(AND($B$38&lt;='1 - Titoli e shock'!$B$17,$C375&lt;='1 - Titoli e shock'!$B$17),$D$38*K$6/2*(1-'1 - Titoli e shock'!$B$8),0)</f>
        <v>438.47214468930071</v>
      </c>
      <c r="L375" s="20">
        <f>IF(AND($B$38&lt;='1 - Titoli e shock'!$B$17,$C375&lt;='1 - Titoli e shock'!$B$17),$D$38*L$6/2*(1-'1 - Titoli e shock'!$B$8),0)</f>
        <v>447.15501905088502</v>
      </c>
      <c r="M375" s="20">
        <f>IF(AND($B$38&lt;='1 - Titoli e shock'!$B$17,$C375&lt;='1 - Titoli e shock'!$B$17),$D$38*M$6/2*(1-'1 - Titoli e shock'!$B$8),0)</f>
        <v>455.83376315280799</v>
      </c>
      <c r="N375" s="20">
        <f>IF(AND($B$38&lt;='1 - Titoli e shock'!$B$17,$C375&lt;='1 - Titoli e shock'!$B$17),$D$38*N$6/2*(1-'1 - Titoli e shock'!$B$8),0)</f>
        <v>464.50838288350371</v>
      </c>
      <c r="O375" s="20">
        <f>IF(AND($B$38&lt;='1 - Titoli e shock'!$B$17,$C375&lt;='1 - Titoli e shock'!$B$17),$D$38*O$6/2*(1-'1 - Titoli e shock'!$B$8),0)</f>
        <v>473.17888411741671</v>
      </c>
      <c r="P375" s="20">
        <f>IF(AND($B$38&lt;='1 - Titoli e shock'!$B$17,$C375&lt;='1 - Titoli e shock'!$B$17),$D$38*P$6/2*(1-'1 - Titoli e shock'!$B$8),0)</f>
        <v>490.50755452310642</v>
      </c>
      <c r="Q375" s="20">
        <f>IF(AND($B$38&lt;='1 - Titoli e shock'!$B$17,$C375&lt;='1 - Titoli e shock'!$B$17),$D$38*Q$6/2*(1-'1 - Titoli e shock'!$B$8),0)</f>
        <v>499.16573537431327</v>
      </c>
      <c r="R375" s="20">
        <f>IF(AND($B$38&lt;='1 - Titoli e shock'!$B$17,$C375&lt;='1 - Titoli e shock'!$B$17),$D$38*R$6/2*(1-'1 - Titoli e shock'!$B$8),0)</f>
        <v>507.81982108768443</v>
      </c>
      <c r="S375" s="20">
        <f>IF(AND($B$38&lt;='1 - Titoli e shock'!$B$17,$C375&lt;='1 - Titoli e shock'!$B$17),$D$38*S$6/2*(1-'1 - Titoli e shock'!$B$8),0)</f>
        <v>516.46981746847825</v>
      </c>
      <c r="T375" s="20">
        <f>IF(AND($B$38&lt;='1 - Titoli e shock'!$B$17,$C375&lt;='1 - Titoli e shock'!$B$17),$D$38*T$6/2*(1-'1 - Titoli e shock'!$B$8),0)</f>
        <v>525.11573030824388</v>
      </c>
      <c r="U375" s="20">
        <f>IF(AND($B$38&lt;='1 - Titoli e shock'!$B$17,$C375&lt;='1 - Titoli e shock'!$B$17),$D$38*U$6/2*(1-'1 - Titoli e shock'!$B$8),0)</f>
        <v>654.3182948245551</v>
      </c>
    </row>
    <row r="376" spans="1:21">
      <c r="A376" s="15" t="s">
        <v>267</v>
      </c>
      <c r="B376" s="22" t="str">
        <f>A38</f>
        <v>BTP 3,15% nov 2031</v>
      </c>
      <c r="C376" s="13">
        <f>EDATE($B$38,6*7)</f>
        <v>49444</v>
      </c>
      <c r="D376" s="23">
        <f>MAX(1,(YEAR(C376)-YEAR('1 - Titoli e shock'!$B$6))+IF(MONTH(C376)*100+DAY(C376)&gt;MONTH('1 - Titoli e shock'!$B$6)*100+DAY('1 - Titoli e shock'!$B$6),1,0))</f>
        <v>9</v>
      </c>
      <c r="F376" s="20">
        <f>IF(AND($B$38&lt;='1 - Titoli e shock'!$B$17,$C376&lt;='1 - Titoli e shock'!$B$17),$D$38*F$6/2*(1-'1 - Titoli e shock'!$B$8),0)</f>
        <v>307.72935065245423</v>
      </c>
      <c r="G376" s="20">
        <f>IF(AND($B$38&lt;='1 - Titoli e shock'!$B$17,$C376&lt;='1 - Titoli e shock'!$B$17),$D$38*G$6/2*(1-'1 - Titoli e shock'!$B$8),0)</f>
        <v>394.99561190705157</v>
      </c>
      <c r="H376" s="20">
        <f>IF(AND($B$38&lt;='1 - Titoli e shock'!$B$17,$C376&lt;='1 - Titoli e shock'!$B$17),$D$38*H$6/2*(1-'1 - Titoli e shock'!$B$8),0)</f>
        <v>481.8452727150767</v>
      </c>
      <c r="I376" s="20">
        <f>IF(AND($B$38&lt;='1 - Titoli e shock'!$B$17,$C376&lt;='1 - Titoli e shock'!$B$17),$D$38*I$6/2*(1-'1 - Titoli e shock'!$B$8),0)</f>
        <v>568.28424314232336</v>
      </c>
      <c r="J376" s="20">
        <f>IF(AND($B$38&lt;='1 - Titoli e shock'!$B$17,$C376&lt;='1 - Titoli e shock'!$B$17),$D$38*J$6/2*(1-'1 - Titoli e shock'!$B$8),0)</f>
        <v>416.74685012982451</v>
      </c>
      <c r="K376" s="20">
        <f>IF(AND($B$38&lt;='1 - Titoli e shock'!$B$17,$C376&lt;='1 - Titoli e shock'!$B$17),$D$38*K$6/2*(1-'1 - Titoli e shock'!$B$8),0)</f>
        <v>438.47214468930071</v>
      </c>
      <c r="L376" s="20">
        <f>IF(AND($B$38&lt;='1 - Titoli e shock'!$B$17,$C376&lt;='1 - Titoli e shock'!$B$17),$D$38*L$6/2*(1-'1 - Titoli e shock'!$B$8),0)</f>
        <v>447.15501905088502</v>
      </c>
      <c r="M376" s="20">
        <f>IF(AND($B$38&lt;='1 - Titoli e shock'!$B$17,$C376&lt;='1 - Titoli e shock'!$B$17),$D$38*M$6/2*(1-'1 - Titoli e shock'!$B$8),0)</f>
        <v>455.83376315280799</v>
      </c>
      <c r="N376" s="20">
        <f>IF(AND($B$38&lt;='1 - Titoli e shock'!$B$17,$C376&lt;='1 - Titoli e shock'!$B$17),$D$38*N$6/2*(1-'1 - Titoli e shock'!$B$8),0)</f>
        <v>464.50838288350371</v>
      </c>
      <c r="O376" s="20">
        <f>IF(AND($B$38&lt;='1 - Titoli e shock'!$B$17,$C376&lt;='1 - Titoli e shock'!$B$17),$D$38*O$6/2*(1-'1 - Titoli e shock'!$B$8),0)</f>
        <v>473.17888411741671</v>
      </c>
      <c r="P376" s="20">
        <f>IF(AND($B$38&lt;='1 - Titoli e shock'!$B$17,$C376&lt;='1 - Titoli e shock'!$B$17),$D$38*P$6/2*(1-'1 - Titoli e shock'!$B$8),0)</f>
        <v>490.50755452310642</v>
      </c>
      <c r="Q376" s="20">
        <f>IF(AND($B$38&lt;='1 - Titoli e shock'!$B$17,$C376&lt;='1 - Titoli e shock'!$B$17),$D$38*Q$6/2*(1-'1 - Titoli e shock'!$B$8),0)</f>
        <v>499.16573537431327</v>
      </c>
      <c r="R376" s="20">
        <f>IF(AND($B$38&lt;='1 - Titoli e shock'!$B$17,$C376&lt;='1 - Titoli e shock'!$B$17),$D$38*R$6/2*(1-'1 - Titoli e shock'!$B$8),0)</f>
        <v>507.81982108768443</v>
      </c>
      <c r="S376" s="20">
        <f>IF(AND($B$38&lt;='1 - Titoli e shock'!$B$17,$C376&lt;='1 - Titoli e shock'!$B$17),$D$38*S$6/2*(1-'1 - Titoli e shock'!$B$8),0)</f>
        <v>516.46981746847825</v>
      </c>
      <c r="T376" s="20">
        <f>IF(AND($B$38&lt;='1 - Titoli e shock'!$B$17,$C376&lt;='1 - Titoli e shock'!$B$17),$D$38*T$6/2*(1-'1 - Titoli e shock'!$B$8),0)</f>
        <v>525.11573030824388</v>
      </c>
      <c r="U376" s="20">
        <f>IF(AND($B$38&lt;='1 - Titoli e shock'!$B$17,$C376&lt;='1 - Titoli e shock'!$B$17),$D$38*U$6/2*(1-'1 - Titoli e shock'!$B$8),0)</f>
        <v>654.3182948245551</v>
      </c>
    </row>
    <row r="377" spans="1:21">
      <c r="A377" s="15" t="s">
        <v>267</v>
      </c>
      <c r="B377" s="22" t="str">
        <f>A38</f>
        <v>BTP 3,15% nov 2031</v>
      </c>
      <c r="C377" s="13">
        <f>EDATE($B$38,6*8)</f>
        <v>49628</v>
      </c>
      <c r="D377" s="23">
        <f>MAX(1,(YEAR(C377)-YEAR('1 - Titoli e shock'!$B$6))+IF(MONTH(C377)*100+DAY(C377)&gt;MONTH('1 - Titoli e shock'!$B$6)*100+DAY('1 - Titoli e shock'!$B$6),1,0))</f>
        <v>10</v>
      </c>
      <c r="F377" s="20">
        <f>IF(AND($B$38&lt;='1 - Titoli e shock'!$B$17,$C377&lt;='1 - Titoli e shock'!$B$17),$D$38*F$6/2*(1-'1 - Titoli e shock'!$B$8),0)</f>
        <v>307.72935065245423</v>
      </c>
      <c r="G377" s="20">
        <f>IF(AND($B$38&lt;='1 - Titoli e shock'!$B$17,$C377&lt;='1 - Titoli e shock'!$B$17),$D$38*G$6/2*(1-'1 - Titoli e shock'!$B$8),0)</f>
        <v>394.99561190705157</v>
      </c>
      <c r="H377" s="20">
        <f>IF(AND($B$38&lt;='1 - Titoli e shock'!$B$17,$C377&lt;='1 - Titoli e shock'!$B$17),$D$38*H$6/2*(1-'1 - Titoli e shock'!$B$8),0)</f>
        <v>481.8452727150767</v>
      </c>
      <c r="I377" s="20">
        <f>IF(AND($B$38&lt;='1 - Titoli e shock'!$B$17,$C377&lt;='1 - Titoli e shock'!$B$17),$D$38*I$6/2*(1-'1 - Titoli e shock'!$B$8),0)</f>
        <v>568.28424314232336</v>
      </c>
      <c r="J377" s="20">
        <f>IF(AND($B$38&lt;='1 - Titoli e shock'!$B$17,$C377&lt;='1 - Titoli e shock'!$B$17),$D$38*J$6/2*(1-'1 - Titoli e shock'!$B$8),0)</f>
        <v>416.74685012982451</v>
      </c>
      <c r="K377" s="20">
        <f>IF(AND($B$38&lt;='1 - Titoli e shock'!$B$17,$C377&lt;='1 - Titoli e shock'!$B$17),$D$38*K$6/2*(1-'1 - Titoli e shock'!$B$8),0)</f>
        <v>438.47214468930071</v>
      </c>
      <c r="L377" s="20">
        <f>IF(AND($B$38&lt;='1 - Titoli e shock'!$B$17,$C377&lt;='1 - Titoli e shock'!$B$17),$D$38*L$6/2*(1-'1 - Titoli e shock'!$B$8),0)</f>
        <v>447.15501905088502</v>
      </c>
      <c r="M377" s="20">
        <f>IF(AND($B$38&lt;='1 - Titoli e shock'!$B$17,$C377&lt;='1 - Titoli e shock'!$B$17),$D$38*M$6/2*(1-'1 - Titoli e shock'!$B$8),0)</f>
        <v>455.83376315280799</v>
      </c>
      <c r="N377" s="20">
        <f>IF(AND($B$38&lt;='1 - Titoli e shock'!$B$17,$C377&lt;='1 - Titoli e shock'!$B$17),$D$38*N$6/2*(1-'1 - Titoli e shock'!$B$8),0)</f>
        <v>464.50838288350371</v>
      </c>
      <c r="O377" s="20">
        <f>IF(AND($B$38&lt;='1 - Titoli e shock'!$B$17,$C377&lt;='1 - Titoli e shock'!$B$17),$D$38*O$6/2*(1-'1 - Titoli e shock'!$B$8),0)</f>
        <v>473.17888411741671</v>
      </c>
      <c r="P377" s="20">
        <f>IF(AND($B$38&lt;='1 - Titoli e shock'!$B$17,$C377&lt;='1 - Titoli e shock'!$B$17),$D$38*P$6/2*(1-'1 - Titoli e shock'!$B$8),0)</f>
        <v>490.50755452310642</v>
      </c>
      <c r="Q377" s="20">
        <f>IF(AND($B$38&lt;='1 - Titoli e shock'!$B$17,$C377&lt;='1 - Titoli e shock'!$B$17),$D$38*Q$6/2*(1-'1 - Titoli e shock'!$B$8),0)</f>
        <v>499.16573537431327</v>
      </c>
      <c r="R377" s="20">
        <f>IF(AND($B$38&lt;='1 - Titoli e shock'!$B$17,$C377&lt;='1 - Titoli e shock'!$B$17),$D$38*R$6/2*(1-'1 - Titoli e shock'!$B$8),0)</f>
        <v>507.81982108768443</v>
      </c>
      <c r="S377" s="20">
        <f>IF(AND($B$38&lt;='1 - Titoli e shock'!$B$17,$C377&lt;='1 - Titoli e shock'!$B$17),$D$38*S$6/2*(1-'1 - Titoli e shock'!$B$8),0)</f>
        <v>516.46981746847825</v>
      </c>
      <c r="T377" s="20">
        <f>IF(AND($B$38&lt;='1 - Titoli e shock'!$B$17,$C377&lt;='1 - Titoli e shock'!$B$17),$D$38*T$6/2*(1-'1 - Titoli e shock'!$B$8),0)</f>
        <v>525.11573030824388</v>
      </c>
      <c r="U377" s="20">
        <f>IF(AND($B$38&lt;='1 - Titoli e shock'!$B$17,$C377&lt;='1 - Titoli e shock'!$B$17),$D$38*U$6/2*(1-'1 - Titoli e shock'!$B$8),0)</f>
        <v>654.3182948245551</v>
      </c>
    </row>
    <row r="378" spans="1:21">
      <c r="A378" s="15" t="s">
        <v>267</v>
      </c>
      <c r="B378" s="22" t="str">
        <f>A38</f>
        <v>BTP 3,15% nov 2031</v>
      </c>
      <c r="C378" s="13">
        <f>EDATE($B$38,6*9)</f>
        <v>49810</v>
      </c>
      <c r="D378" s="23">
        <f>MAX(1,(YEAR(C378)-YEAR('1 - Titoli e shock'!$B$6))+IF(MONTH(C378)*100+DAY(C378)&gt;MONTH('1 - Titoli e shock'!$B$6)*100+DAY('1 - Titoli e shock'!$B$6),1,0))</f>
        <v>10</v>
      </c>
      <c r="F378" s="20">
        <f>IF(AND($B$38&lt;='1 - Titoli e shock'!$B$17,$C378&lt;='1 - Titoli e shock'!$B$17),$D$38*F$6/2*(1-'1 - Titoli e shock'!$B$8),0)</f>
        <v>307.72935065245423</v>
      </c>
      <c r="G378" s="20">
        <f>IF(AND($B$38&lt;='1 - Titoli e shock'!$B$17,$C378&lt;='1 - Titoli e shock'!$B$17),$D$38*G$6/2*(1-'1 - Titoli e shock'!$B$8),0)</f>
        <v>394.99561190705157</v>
      </c>
      <c r="H378" s="20">
        <f>IF(AND($B$38&lt;='1 - Titoli e shock'!$B$17,$C378&lt;='1 - Titoli e shock'!$B$17),$D$38*H$6/2*(1-'1 - Titoli e shock'!$B$8),0)</f>
        <v>481.8452727150767</v>
      </c>
      <c r="I378" s="20">
        <f>IF(AND($B$38&lt;='1 - Titoli e shock'!$B$17,$C378&lt;='1 - Titoli e shock'!$B$17),$D$38*I$6/2*(1-'1 - Titoli e shock'!$B$8),0)</f>
        <v>568.28424314232336</v>
      </c>
      <c r="J378" s="20">
        <f>IF(AND($B$38&lt;='1 - Titoli e shock'!$B$17,$C378&lt;='1 - Titoli e shock'!$B$17),$D$38*J$6/2*(1-'1 - Titoli e shock'!$B$8),0)</f>
        <v>416.74685012982451</v>
      </c>
      <c r="K378" s="20">
        <f>IF(AND($B$38&lt;='1 - Titoli e shock'!$B$17,$C378&lt;='1 - Titoli e shock'!$B$17),$D$38*K$6/2*(1-'1 - Titoli e shock'!$B$8),0)</f>
        <v>438.47214468930071</v>
      </c>
      <c r="L378" s="20">
        <f>IF(AND($B$38&lt;='1 - Titoli e shock'!$B$17,$C378&lt;='1 - Titoli e shock'!$B$17),$D$38*L$6/2*(1-'1 - Titoli e shock'!$B$8),0)</f>
        <v>447.15501905088502</v>
      </c>
      <c r="M378" s="20">
        <f>IF(AND($B$38&lt;='1 - Titoli e shock'!$B$17,$C378&lt;='1 - Titoli e shock'!$B$17),$D$38*M$6/2*(1-'1 - Titoli e shock'!$B$8),0)</f>
        <v>455.83376315280799</v>
      </c>
      <c r="N378" s="20">
        <f>IF(AND($B$38&lt;='1 - Titoli e shock'!$B$17,$C378&lt;='1 - Titoli e shock'!$B$17),$D$38*N$6/2*(1-'1 - Titoli e shock'!$B$8),0)</f>
        <v>464.50838288350371</v>
      </c>
      <c r="O378" s="20">
        <f>IF(AND($B$38&lt;='1 - Titoli e shock'!$B$17,$C378&lt;='1 - Titoli e shock'!$B$17),$D$38*O$6/2*(1-'1 - Titoli e shock'!$B$8),0)</f>
        <v>473.17888411741671</v>
      </c>
      <c r="P378" s="20">
        <f>IF(AND($B$38&lt;='1 - Titoli e shock'!$B$17,$C378&lt;='1 - Titoli e shock'!$B$17),$D$38*P$6/2*(1-'1 - Titoli e shock'!$B$8),0)</f>
        <v>490.50755452310642</v>
      </c>
      <c r="Q378" s="20">
        <f>IF(AND($B$38&lt;='1 - Titoli e shock'!$B$17,$C378&lt;='1 - Titoli e shock'!$B$17),$D$38*Q$6/2*(1-'1 - Titoli e shock'!$B$8),0)</f>
        <v>499.16573537431327</v>
      </c>
      <c r="R378" s="20">
        <f>IF(AND($B$38&lt;='1 - Titoli e shock'!$B$17,$C378&lt;='1 - Titoli e shock'!$B$17),$D$38*R$6/2*(1-'1 - Titoli e shock'!$B$8),0)</f>
        <v>507.81982108768443</v>
      </c>
      <c r="S378" s="20">
        <f>IF(AND($B$38&lt;='1 - Titoli e shock'!$B$17,$C378&lt;='1 - Titoli e shock'!$B$17),$D$38*S$6/2*(1-'1 - Titoli e shock'!$B$8),0)</f>
        <v>516.46981746847825</v>
      </c>
      <c r="T378" s="20">
        <f>IF(AND($B$38&lt;='1 - Titoli e shock'!$B$17,$C378&lt;='1 - Titoli e shock'!$B$17),$D$38*T$6/2*(1-'1 - Titoli e shock'!$B$8),0)</f>
        <v>525.11573030824388</v>
      </c>
      <c r="U378" s="20">
        <f>IF(AND($B$38&lt;='1 - Titoli e shock'!$B$17,$C378&lt;='1 - Titoli e shock'!$B$17),$D$38*U$6/2*(1-'1 - Titoli e shock'!$B$8),0)</f>
        <v>654.3182948245551</v>
      </c>
    </row>
    <row r="379" spans="1:21">
      <c r="A379" s="15" t="s">
        <v>267</v>
      </c>
      <c r="B379" s="22" t="str">
        <f>A38</f>
        <v>BTP 3,15% nov 2031</v>
      </c>
      <c r="C379" s="13">
        <f>EDATE($B$38,6*10)</f>
        <v>49994</v>
      </c>
      <c r="D379" s="23">
        <f>MAX(1,(YEAR(C379)-YEAR('1 - Titoli e shock'!$B$6))+IF(MONTH(C379)*100+DAY(C379)&gt;MONTH('1 - Titoli e shock'!$B$6)*100+DAY('1 - Titoli e shock'!$B$6),1,0))</f>
        <v>11</v>
      </c>
      <c r="F379" s="20">
        <f>IF(AND($B$38&lt;='1 - Titoli e shock'!$B$17,$C379&lt;='1 - Titoli e shock'!$B$17),$D$38*F$6/2*(1-'1 - Titoli e shock'!$B$8),0)</f>
        <v>0</v>
      </c>
      <c r="G379" s="20">
        <f>IF(AND($B$38&lt;='1 - Titoli e shock'!$B$17,$C379&lt;='1 - Titoli e shock'!$B$17),$D$38*G$6/2*(1-'1 - Titoli e shock'!$B$8),0)</f>
        <v>0</v>
      </c>
      <c r="H379" s="20">
        <f>IF(AND($B$38&lt;='1 - Titoli e shock'!$B$17,$C379&lt;='1 - Titoli e shock'!$B$17),$D$38*H$6/2*(1-'1 - Titoli e shock'!$B$8),0)</f>
        <v>0</v>
      </c>
      <c r="I379" s="20">
        <f>IF(AND($B$38&lt;='1 - Titoli e shock'!$B$17,$C379&lt;='1 - Titoli e shock'!$B$17),$D$38*I$6/2*(1-'1 - Titoli e shock'!$B$8),0)</f>
        <v>0</v>
      </c>
      <c r="J379" s="20">
        <f>IF(AND($B$38&lt;='1 - Titoli e shock'!$B$17,$C379&lt;='1 - Titoli e shock'!$B$17),$D$38*J$6/2*(1-'1 - Titoli e shock'!$B$8),0)</f>
        <v>0</v>
      </c>
      <c r="K379" s="20">
        <f>IF(AND($B$38&lt;='1 - Titoli e shock'!$B$17,$C379&lt;='1 - Titoli e shock'!$B$17),$D$38*K$6/2*(1-'1 - Titoli e shock'!$B$8),0)</f>
        <v>0</v>
      </c>
      <c r="L379" s="20">
        <f>IF(AND($B$38&lt;='1 - Titoli e shock'!$B$17,$C379&lt;='1 - Titoli e shock'!$B$17),$D$38*L$6/2*(1-'1 - Titoli e shock'!$B$8),0)</f>
        <v>0</v>
      </c>
      <c r="M379" s="20">
        <f>IF(AND($B$38&lt;='1 - Titoli e shock'!$B$17,$C379&lt;='1 - Titoli e shock'!$B$17),$D$38*M$6/2*(1-'1 - Titoli e shock'!$B$8),0)</f>
        <v>0</v>
      </c>
      <c r="N379" s="20">
        <f>IF(AND($B$38&lt;='1 - Titoli e shock'!$B$17,$C379&lt;='1 - Titoli e shock'!$B$17),$D$38*N$6/2*(1-'1 - Titoli e shock'!$B$8),0)</f>
        <v>0</v>
      </c>
      <c r="O379" s="20">
        <f>IF(AND($B$38&lt;='1 - Titoli e shock'!$B$17,$C379&lt;='1 - Titoli e shock'!$B$17),$D$38*O$6/2*(1-'1 - Titoli e shock'!$B$8),0)</f>
        <v>0</v>
      </c>
      <c r="P379" s="20">
        <f>IF(AND($B$38&lt;='1 - Titoli e shock'!$B$17,$C379&lt;='1 - Titoli e shock'!$B$17),$D$38*P$6/2*(1-'1 - Titoli e shock'!$B$8),0)</f>
        <v>0</v>
      </c>
      <c r="Q379" s="20">
        <f>IF(AND($B$38&lt;='1 - Titoli e shock'!$B$17,$C379&lt;='1 - Titoli e shock'!$B$17),$D$38*Q$6/2*(1-'1 - Titoli e shock'!$B$8),0)</f>
        <v>0</v>
      </c>
      <c r="R379" s="20">
        <f>IF(AND($B$38&lt;='1 - Titoli e shock'!$B$17,$C379&lt;='1 - Titoli e shock'!$B$17),$D$38*R$6/2*(1-'1 - Titoli e shock'!$B$8),0)</f>
        <v>0</v>
      </c>
      <c r="S379" s="20">
        <f>IF(AND($B$38&lt;='1 - Titoli e shock'!$B$17,$C379&lt;='1 - Titoli e shock'!$B$17),$D$38*S$6/2*(1-'1 - Titoli e shock'!$B$8),0)</f>
        <v>0</v>
      </c>
      <c r="T379" s="20">
        <f>IF(AND($B$38&lt;='1 - Titoli e shock'!$B$17,$C379&lt;='1 - Titoli e shock'!$B$17),$D$38*T$6/2*(1-'1 - Titoli e shock'!$B$8),0)</f>
        <v>0</v>
      </c>
      <c r="U379" s="20">
        <f>IF(AND($B$38&lt;='1 - Titoli e shock'!$B$17,$C379&lt;='1 - Titoli e shock'!$B$17),$D$38*U$6/2*(1-'1 - Titoli e shock'!$B$8),0)</f>
        <v>0</v>
      </c>
    </row>
    <row r="380" spans="1:21">
      <c r="A380" s="15" t="s">
        <v>267</v>
      </c>
      <c r="B380" s="22" t="str">
        <f>A38</f>
        <v>BTP 3,15% nov 2031</v>
      </c>
      <c r="C380" s="13">
        <f>EDATE($B$38,6*11)</f>
        <v>50175</v>
      </c>
      <c r="D380" s="23">
        <f>MAX(1,(YEAR(C380)-YEAR('1 - Titoli e shock'!$B$6))+IF(MONTH(C380)*100+DAY(C380)&gt;MONTH('1 - Titoli e shock'!$B$6)*100+DAY('1 - Titoli e shock'!$B$6),1,0))</f>
        <v>11</v>
      </c>
      <c r="F380" s="20">
        <f>IF(AND($B$38&lt;='1 - Titoli e shock'!$B$17,$C380&lt;='1 - Titoli e shock'!$B$17),$D$38*F$6/2*(1-'1 - Titoli e shock'!$B$8),0)</f>
        <v>0</v>
      </c>
      <c r="G380" s="20">
        <f>IF(AND($B$38&lt;='1 - Titoli e shock'!$B$17,$C380&lt;='1 - Titoli e shock'!$B$17),$D$38*G$6/2*(1-'1 - Titoli e shock'!$B$8),0)</f>
        <v>0</v>
      </c>
      <c r="H380" s="20">
        <f>IF(AND($B$38&lt;='1 - Titoli e shock'!$B$17,$C380&lt;='1 - Titoli e shock'!$B$17),$D$38*H$6/2*(1-'1 - Titoli e shock'!$B$8),0)</f>
        <v>0</v>
      </c>
      <c r="I380" s="20">
        <f>IF(AND($B$38&lt;='1 - Titoli e shock'!$B$17,$C380&lt;='1 - Titoli e shock'!$B$17),$D$38*I$6/2*(1-'1 - Titoli e shock'!$B$8),0)</f>
        <v>0</v>
      </c>
      <c r="J380" s="20">
        <f>IF(AND($B$38&lt;='1 - Titoli e shock'!$B$17,$C380&lt;='1 - Titoli e shock'!$B$17),$D$38*J$6/2*(1-'1 - Titoli e shock'!$B$8),0)</f>
        <v>0</v>
      </c>
      <c r="K380" s="20">
        <f>IF(AND($B$38&lt;='1 - Titoli e shock'!$B$17,$C380&lt;='1 - Titoli e shock'!$B$17),$D$38*K$6/2*(1-'1 - Titoli e shock'!$B$8),0)</f>
        <v>0</v>
      </c>
      <c r="L380" s="20">
        <f>IF(AND($B$38&lt;='1 - Titoli e shock'!$B$17,$C380&lt;='1 - Titoli e shock'!$B$17),$D$38*L$6/2*(1-'1 - Titoli e shock'!$B$8),0)</f>
        <v>0</v>
      </c>
      <c r="M380" s="20">
        <f>IF(AND($B$38&lt;='1 - Titoli e shock'!$B$17,$C380&lt;='1 - Titoli e shock'!$B$17),$D$38*M$6/2*(1-'1 - Titoli e shock'!$B$8),0)</f>
        <v>0</v>
      </c>
      <c r="N380" s="20">
        <f>IF(AND($B$38&lt;='1 - Titoli e shock'!$B$17,$C380&lt;='1 - Titoli e shock'!$B$17),$D$38*N$6/2*(1-'1 - Titoli e shock'!$B$8),0)</f>
        <v>0</v>
      </c>
      <c r="O380" s="20">
        <f>IF(AND($B$38&lt;='1 - Titoli e shock'!$B$17,$C380&lt;='1 - Titoli e shock'!$B$17),$D$38*O$6/2*(1-'1 - Titoli e shock'!$B$8),0)</f>
        <v>0</v>
      </c>
      <c r="P380" s="20">
        <f>IF(AND($B$38&lt;='1 - Titoli e shock'!$B$17,$C380&lt;='1 - Titoli e shock'!$B$17),$D$38*P$6/2*(1-'1 - Titoli e shock'!$B$8),0)</f>
        <v>0</v>
      </c>
      <c r="Q380" s="20">
        <f>IF(AND($B$38&lt;='1 - Titoli e shock'!$B$17,$C380&lt;='1 - Titoli e shock'!$B$17),$D$38*Q$6/2*(1-'1 - Titoli e shock'!$B$8),0)</f>
        <v>0</v>
      </c>
      <c r="R380" s="20">
        <f>IF(AND($B$38&lt;='1 - Titoli e shock'!$B$17,$C380&lt;='1 - Titoli e shock'!$B$17),$D$38*R$6/2*(1-'1 - Titoli e shock'!$B$8),0)</f>
        <v>0</v>
      </c>
      <c r="S380" s="20">
        <f>IF(AND($B$38&lt;='1 - Titoli e shock'!$B$17,$C380&lt;='1 - Titoli e shock'!$B$17),$D$38*S$6/2*(1-'1 - Titoli e shock'!$B$8),0)</f>
        <v>0</v>
      </c>
      <c r="T380" s="20">
        <f>IF(AND($B$38&lt;='1 - Titoli e shock'!$B$17,$C380&lt;='1 - Titoli e shock'!$B$17),$D$38*T$6/2*(1-'1 - Titoli e shock'!$B$8),0)</f>
        <v>0</v>
      </c>
      <c r="U380" s="20">
        <f>IF(AND($B$38&lt;='1 - Titoli e shock'!$B$17,$C380&lt;='1 - Titoli e shock'!$B$17),$D$38*U$6/2*(1-'1 - Titoli e shock'!$B$8),0)</f>
        <v>0</v>
      </c>
    </row>
    <row r="381" spans="1:21">
      <c r="A381" s="15" t="s">
        <v>267</v>
      </c>
      <c r="B381" s="22" t="str">
        <f>A38</f>
        <v>BTP 3,15% nov 2031</v>
      </c>
      <c r="C381" s="13">
        <f>EDATE($B$38,6*12)</f>
        <v>50359</v>
      </c>
      <c r="D381" s="23">
        <f>MAX(1,(YEAR(C381)-YEAR('1 - Titoli e shock'!$B$6))+IF(MONTH(C381)*100+DAY(C381)&gt;MONTH('1 - Titoli e shock'!$B$6)*100+DAY('1 - Titoli e shock'!$B$6),1,0))</f>
        <v>12</v>
      </c>
      <c r="F381" s="20">
        <f>IF(AND($B$38&lt;='1 - Titoli e shock'!$B$17,$C381&lt;='1 - Titoli e shock'!$B$17),$D$38*F$6/2*(1-'1 - Titoli e shock'!$B$8),0)</f>
        <v>0</v>
      </c>
      <c r="G381" s="20">
        <f>IF(AND($B$38&lt;='1 - Titoli e shock'!$B$17,$C381&lt;='1 - Titoli e shock'!$B$17),$D$38*G$6/2*(1-'1 - Titoli e shock'!$B$8),0)</f>
        <v>0</v>
      </c>
      <c r="H381" s="20">
        <f>IF(AND($B$38&lt;='1 - Titoli e shock'!$B$17,$C381&lt;='1 - Titoli e shock'!$B$17),$D$38*H$6/2*(1-'1 - Titoli e shock'!$B$8),0)</f>
        <v>0</v>
      </c>
      <c r="I381" s="20">
        <f>IF(AND($B$38&lt;='1 - Titoli e shock'!$B$17,$C381&lt;='1 - Titoli e shock'!$B$17),$D$38*I$6/2*(1-'1 - Titoli e shock'!$B$8),0)</f>
        <v>0</v>
      </c>
      <c r="J381" s="20">
        <f>IF(AND($B$38&lt;='1 - Titoli e shock'!$B$17,$C381&lt;='1 - Titoli e shock'!$B$17),$D$38*J$6/2*(1-'1 - Titoli e shock'!$B$8),0)</f>
        <v>0</v>
      </c>
      <c r="K381" s="20">
        <f>IF(AND($B$38&lt;='1 - Titoli e shock'!$B$17,$C381&lt;='1 - Titoli e shock'!$B$17),$D$38*K$6/2*(1-'1 - Titoli e shock'!$B$8),0)</f>
        <v>0</v>
      </c>
      <c r="L381" s="20">
        <f>IF(AND($B$38&lt;='1 - Titoli e shock'!$B$17,$C381&lt;='1 - Titoli e shock'!$B$17),$D$38*L$6/2*(1-'1 - Titoli e shock'!$B$8),0)</f>
        <v>0</v>
      </c>
      <c r="M381" s="20">
        <f>IF(AND($B$38&lt;='1 - Titoli e shock'!$B$17,$C381&lt;='1 - Titoli e shock'!$B$17),$D$38*M$6/2*(1-'1 - Titoli e shock'!$B$8),0)</f>
        <v>0</v>
      </c>
      <c r="N381" s="20">
        <f>IF(AND($B$38&lt;='1 - Titoli e shock'!$B$17,$C381&lt;='1 - Titoli e shock'!$B$17),$D$38*N$6/2*(1-'1 - Titoli e shock'!$B$8),0)</f>
        <v>0</v>
      </c>
      <c r="O381" s="20">
        <f>IF(AND($B$38&lt;='1 - Titoli e shock'!$B$17,$C381&lt;='1 - Titoli e shock'!$B$17),$D$38*O$6/2*(1-'1 - Titoli e shock'!$B$8),0)</f>
        <v>0</v>
      </c>
      <c r="P381" s="20">
        <f>IF(AND($B$38&lt;='1 - Titoli e shock'!$B$17,$C381&lt;='1 - Titoli e shock'!$B$17),$D$38*P$6/2*(1-'1 - Titoli e shock'!$B$8),0)</f>
        <v>0</v>
      </c>
      <c r="Q381" s="20">
        <f>IF(AND($B$38&lt;='1 - Titoli e shock'!$B$17,$C381&lt;='1 - Titoli e shock'!$B$17),$D$38*Q$6/2*(1-'1 - Titoli e shock'!$B$8),0)</f>
        <v>0</v>
      </c>
      <c r="R381" s="20">
        <f>IF(AND($B$38&lt;='1 - Titoli e shock'!$B$17,$C381&lt;='1 - Titoli e shock'!$B$17),$D$38*R$6/2*(1-'1 - Titoli e shock'!$B$8),0)</f>
        <v>0</v>
      </c>
      <c r="S381" s="20">
        <f>IF(AND($B$38&lt;='1 - Titoli e shock'!$B$17,$C381&lt;='1 - Titoli e shock'!$B$17),$D$38*S$6/2*(1-'1 - Titoli e shock'!$B$8),0)</f>
        <v>0</v>
      </c>
      <c r="T381" s="20">
        <f>IF(AND($B$38&lt;='1 - Titoli e shock'!$B$17,$C381&lt;='1 - Titoli e shock'!$B$17),$D$38*T$6/2*(1-'1 - Titoli e shock'!$B$8),0)</f>
        <v>0</v>
      </c>
      <c r="U381" s="20">
        <f>IF(AND($B$38&lt;='1 - Titoli e shock'!$B$17,$C381&lt;='1 - Titoli e shock'!$B$17),$D$38*U$6/2*(1-'1 - Titoli e shock'!$B$8),0)</f>
        <v>0</v>
      </c>
    </row>
    <row r="382" spans="1:21">
      <c r="A382" s="15" t="s">
        <v>267</v>
      </c>
      <c r="B382" s="22" t="str">
        <f>A38</f>
        <v>BTP 3,15% nov 2031</v>
      </c>
      <c r="C382" s="13">
        <f>EDATE($B$38,6*13)</f>
        <v>50540</v>
      </c>
      <c r="D382" s="23">
        <f>MAX(1,(YEAR(C382)-YEAR('1 - Titoli e shock'!$B$6))+IF(MONTH(C382)*100+DAY(C382)&gt;MONTH('1 - Titoli e shock'!$B$6)*100+DAY('1 - Titoli e shock'!$B$6),1,0))</f>
        <v>12</v>
      </c>
      <c r="F382" s="20">
        <f>IF(AND($B$38&lt;='1 - Titoli e shock'!$B$17,$C382&lt;='1 - Titoli e shock'!$B$17),$D$38*F$6/2*(1-'1 - Titoli e shock'!$B$8),0)</f>
        <v>0</v>
      </c>
      <c r="G382" s="20">
        <f>IF(AND($B$38&lt;='1 - Titoli e shock'!$B$17,$C382&lt;='1 - Titoli e shock'!$B$17),$D$38*G$6/2*(1-'1 - Titoli e shock'!$B$8),0)</f>
        <v>0</v>
      </c>
      <c r="H382" s="20">
        <f>IF(AND($B$38&lt;='1 - Titoli e shock'!$B$17,$C382&lt;='1 - Titoli e shock'!$B$17),$D$38*H$6/2*(1-'1 - Titoli e shock'!$B$8),0)</f>
        <v>0</v>
      </c>
      <c r="I382" s="20">
        <f>IF(AND($B$38&lt;='1 - Titoli e shock'!$B$17,$C382&lt;='1 - Titoli e shock'!$B$17),$D$38*I$6/2*(1-'1 - Titoli e shock'!$B$8),0)</f>
        <v>0</v>
      </c>
      <c r="J382" s="20">
        <f>IF(AND($B$38&lt;='1 - Titoli e shock'!$B$17,$C382&lt;='1 - Titoli e shock'!$B$17),$D$38*J$6/2*(1-'1 - Titoli e shock'!$B$8),0)</f>
        <v>0</v>
      </c>
      <c r="K382" s="20">
        <f>IF(AND($B$38&lt;='1 - Titoli e shock'!$B$17,$C382&lt;='1 - Titoli e shock'!$B$17),$D$38*K$6/2*(1-'1 - Titoli e shock'!$B$8),0)</f>
        <v>0</v>
      </c>
      <c r="L382" s="20">
        <f>IF(AND($B$38&lt;='1 - Titoli e shock'!$B$17,$C382&lt;='1 - Titoli e shock'!$B$17),$D$38*L$6/2*(1-'1 - Titoli e shock'!$B$8),0)</f>
        <v>0</v>
      </c>
      <c r="M382" s="20">
        <f>IF(AND($B$38&lt;='1 - Titoli e shock'!$B$17,$C382&lt;='1 - Titoli e shock'!$B$17),$D$38*M$6/2*(1-'1 - Titoli e shock'!$B$8),0)</f>
        <v>0</v>
      </c>
      <c r="N382" s="20">
        <f>IF(AND($B$38&lt;='1 - Titoli e shock'!$B$17,$C382&lt;='1 - Titoli e shock'!$B$17),$D$38*N$6/2*(1-'1 - Titoli e shock'!$B$8),0)</f>
        <v>0</v>
      </c>
      <c r="O382" s="20">
        <f>IF(AND($B$38&lt;='1 - Titoli e shock'!$B$17,$C382&lt;='1 - Titoli e shock'!$B$17),$D$38*O$6/2*(1-'1 - Titoli e shock'!$B$8),0)</f>
        <v>0</v>
      </c>
      <c r="P382" s="20">
        <f>IF(AND($B$38&lt;='1 - Titoli e shock'!$B$17,$C382&lt;='1 - Titoli e shock'!$B$17),$D$38*P$6/2*(1-'1 - Titoli e shock'!$B$8),0)</f>
        <v>0</v>
      </c>
      <c r="Q382" s="20">
        <f>IF(AND($B$38&lt;='1 - Titoli e shock'!$B$17,$C382&lt;='1 - Titoli e shock'!$B$17),$D$38*Q$6/2*(1-'1 - Titoli e shock'!$B$8),0)</f>
        <v>0</v>
      </c>
      <c r="R382" s="20">
        <f>IF(AND($B$38&lt;='1 - Titoli e shock'!$B$17,$C382&lt;='1 - Titoli e shock'!$B$17),$D$38*R$6/2*(1-'1 - Titoli e shock'!$B$8),0)</f>
        <v>0</v>
      </c>
      <c r="S382" s="20">
        <f>IF(AND($B$38&lt;='1 - Titoli e shock'!$B$17,$C382&lt;='1 - Titoli e shock'!$B$17),$D$38*S$6/2*(1-'1 - Titoli e shock'!$B$8),0)</f>
        <v>0</v>
      </c>
      <c r="T382" s="20">
        <f>IF(AND($B$38&lt;='1 - Titoli e shock'!$B$17,$C382&lt;='1 - Titoli e shock'!$B$17),$D$38*T$6/2*(1-'1 - Titoli e shock'!$B$8),0)</f>
        <v>0</v>
      </c>
      <c r="U382" s="20">
        <f>IF(AND($B$38&lt;='1 - Titoli e shock'!$B$17,$C382&lt;='1 - Titoli e shock'!$B$17),$D$38*U$6/2*(1-'1 - Titoli e shock'!$B$8),0)</f>
        <v>0</v>
      </c>
    </row>
    <row r="383" spans="1:21">
      <c r="A383" s="15" t="s">
        <v>267</v>
      </c>
      <c r="B383" s="22" t="str">
        <f>A38</f>
        <v>BTP 3,15% nov 2031</v>
      </c>
      <c r="C383" s="13">
        <f>EDATE($B$38,6*14)</f>
        <v>50724</v>
      </c>
      <c r="D383" s="23">
        <f>MAX(1,(YEAR(C383)-YEAR('1 - Titoli e shock'!$B$6))+IF(MONTH(C383)*100+DAY(C383)&gt;MONTH('1 - Titoli e shock'!$B$6)*100+DAY('1 - Titoli e shock'!$B$6),1,0))</f>
        <v>13</v>
      </c>
      <c r="F383" s="20">
        <f>IF(AND($B$38&lt;='1 - Titoli e shock'!$B$17,$C383&lt;='1 - Titoli e shock'!$B$17),$D$38*F$6/2*(1-'1 - Titoli e shock'!$B$8),0)</f>
        <v>0</v>
      </c>
      <c r="G383" s="20">
        <f>IF(AND($B$38&lt;='1 - Titoli e shock'!$B$17,$C383&lt;='1 - Titoli e shock'!$B$17),$D$38*G$6/2*(1-'1 - Titoli e shock'!$B$8),0)</f>
        <v>0</v>
      </c>
      <c r="H383" s="20">
        <f>IF(AND($B$38&lt;='1 - Titoli e shock'!$B$17,$C383&lt;='1 - Titoli e shock'!$B$17),$D$38*H$6/2*(1-'1 - Titoli e shock'!$B$8),0)</f>
        <v>0</v>
      </c>
      <c r="I383" s="20">
        <f>IF(AND($B$38&lt;='1 - Titoli e shock'!$B$17,$C383&lt;='1 - Titoli e shock'!$B$17),$D$38*I$6/2*(1-'1 - Titoli e shock'!$B$8),0)</f>
        <v>0</v>
      </c>
      <c r="J383" s="20">
        <f>IF(AND($B$38&lt;='1 - Titoli e shock'!$B$17,$C383&lt;='1 - Titoli e shock'!$B$17),$D$38*J$6/2*(1-'1 - Titoli e shock'!$B$8),0)</f>
        <v>0</v>
      </c>
      <c r="K383" s="20">
        <f>IF(AND($B$38&lt;='1 - Titoli e shock'!$B$17,$C383&lt;='1 - Titoli e shock'!$B$17),$D$38*K$6/2*(1-'1 - Titoli e shock'!$B$8),0)</f>
        <v>0</v>
      </c>
      <c r="L383" s="20">
        <f>IF(AND($B$38&lt;='1 - Titoli e shock'!$B$17,$C383&lt;='1 - Titoli e shock'!$B$17),$D$38*L$6/2*(1-'1 - Titoli e shock'!$B$8),0)</f>
        <v>0</v>
      </c>
      <c r="M383" s="20">
        <f>IF(AND($B$38&lt;='1 - Titoli e shock'!$B$17,$C383&lt;='1 - Titoli e shock'!$B$17),$D$38*M$6/2*(1-'1 - Titoli e shock'!$B$8),0)</f>
        <v>0</v>
      </c>
      <c r="N383" s="20">
        <f>IF(AND($B$38&lt;='1 - Titoli e shock'!$B$17,$C383&lt;='1 - Titoli e shock'!$B$17),$D$38*N$6/2*(1-'1 - Titoli e shock'!$B$8),0)</f>
        <v>0</v>
      </c>
      <c r="O383" s="20">
        <f>IF(AND($B$38&lt;='1 - Titoli e shock'!$B$17,$C383&lt;='1 - Titoli e shock'!$B$17),$D$38*O$6/2*(1-'1 - Titoli e shock'!$B$8),0)</f>
        <v>0</v>
      </c>
      <c r="P383" s="20">
        <f>IF(AND($B$38&lt;='1 - Titoli e shock'!$B$17,$C383&lt;='1 - Titoli e shock'!$B$17),$D$38*P$6/2*(1-'1 - Titoli e shock'!$B$8),0)</f>
        <v>0</v>
      </c>
      <c r="Q383" s="20">
        <f>IF(AND($B$38&lt;='1 - Titoli e shock'!$B$17,$C383&lt;='1 - Titoli e shock'!$B$17),$D$38*Q$6/2*(1-'1 - Titoli e shock'!$B$8),0)</f>
        <v>0</v>
      </c>
      <c r="R383" s="20">
        <f>IF(AND($B$38&lt;='1 - Titoli e shock'!$B$17,$C383&lt;='1 - Titoli e shock'!$B$17),$D$38*R$6/2*(1-'1 - Titoli e shock'!$B$8),0)</f>
        <v>0</v>
      </c>
      <c r="S383" s="20">
        <f>IF(AND($B$38&lt;='1 - Titoli e shock'!$B$17,$C383&lt;='1 - Titoli e shock'!$B$17),$D$38*S$6/2*(1-'1 - Titoli e shock'!$B$8),0)</f>
        <v>0</v>
      </c>
      <c r="T383" s="20">
        <f>IF(AND($B$38&lt;='1 - Titoli e shock'!$B$17,$C383&lt;='1 - Titoli e shock'!$B$17),$D$38*T$6/2*(1-'1 - Titoli e shock'!$B$8),0)</f>
        <v>0</v>
      </c>
      <c r="U383" s="20">
        <f>IF(AND($B$38&lt;='1 - Titoli e shock'!$B$17,$C383&lt;='1 - Titoli e shock'!$B$17),$D$38*U$6/2*(1-'1 - Titoli e shock'!$B$8),0)</f>
        <v>0</v>
      </c>
    </row>
    <row r="384" spans="1:21">
      <c r="A384" s="15" t="s">
        <v>267</v>
      </c>
      <c r="B384" s="22" t="str">
        <f>A38</f>
        <v>BTP 3,15% nov 2031</v>
      </c>
      <c r="C384" s="13">
        <f>EDATE($B$38,6*15)</f>
        <v>50905</v>
      </c>
      <c r="D384" s="23">
        <f>MAX(1,(YEAR(C384)-YEAR('1 - Titoli e shock'!$B$6))+IF(MONTH(C384)*100+DAY(C384)&gt;MONTH('1 - Titoli e shock'!$B$6)*100+DAY('1 - Titoli e shock'!$B$6),1,0))</f>
        <v>13</v>
      </c>
      <c r="F384" s="20">
        <f>IF(AND($B$38&lt;='1 - Titoli e shock'!$B$17,$C384&lt;='1 - Titoli e shock'!$B$17),$D$38*F$6/2*(1-'1 - Titoli e shock'!$B$8),0)</f>
        <v>0</v>
      </c>
      <c r="G384" s="20">
        <f>IF(AND($B$38&lt;='1 - Titoli e shock'!$B$17,$C384&lt;='1 - Titoli e shock'!$B$17),$D$38*G$6/2*(1-'1 - Titoli e shock'!$B$8),0)</f>
        <v>0</v>
      </c>
      <c r="H384" s="20">
        <f>IF(AND($B$38&lt;='1 - Titoli e shock'!$B$17,$C384&lt;='1 - Titoli e shock'!$B$17),$D$38*H$6/2*(1-'1 - Titoli e shock'!$B$8),0)</f>
        <v>0</v>
      </c>
      <c r="I384" s="20">
        <f>IF(AND($B$38&lt;='1 - Titoli e shock'!$B$17,$C384&lt;='1 - Titoli e shock'!$B$17),$D$38*I$6/2*(1-'1 - Titoli e shock'!$B$8),0)</f>
        <v>0</v>
      </c>
      <c r="J384" s="20">
        <f>IF(AND($B$38&lt;='1 - Titoli e shock'!$B$17,$C384&lt;='1 - Titoli e shock'!$B$17),$D$38*J$6/2*(1-'1 - Titoli e shock'!$B$8),0)</f>
        <v>0</v>
      </c>
      <c r="K384" s="20">
        <f>IF(AND($B$38&lt;='1 - Titoli e shock'!$B$17,$C384&lt;='1 - Titoli e shock'!$B$17),$D$38*K$6/2*(1-'1 - Titoli e shock'!$B$8),0)</f>
        <v>0</v>
      </c>
      <c r="L384" s="20">
        <f>IF(AND($B$38&lt;='1 - Titoli e shock'!$B$17,$C384&lt;='1 - Titoli e shock'!$B$17),$D$38*L$6/2*(1-'1 - Titoli e shock'!$B$8),0)</f>
        <v>0</v>
      </c>
      <c r="M384" s="20">
        <f>IF(AND($B$38&lt;='1 - Titoli e shock'!$B$17,$C384&lt;='1 - Titoli e shock'!$B$17),$D$38*M$6/2*(1-'1 - Titoli e shock'!$B$8),0)</f>
        <v>0</v>
      </c>
      <c r="N384" s="20">
        <f>IF(AND($B$38&lt;='1 - Titoli e shock'!$B$17,$C384&lt;='1 - Titoli e shock'!$B$17),$D$38*N$6/2*(1-'1 - Titoli e shock'!$B$8),0)</f>
        <v>0</v>
      </c>
      <c r="O384" s="20">
        <f>IF(AND($B$38&lt;='1 - Titoli e shock'!$B$17,$C384&lt;='1 - Titoli e shock'!$B$17),$D$38*O$6/2*(1-'1 - Titoli e shock'!$B$8),0)</f>
        <v>0</v>
      </c>
      <c r="P384" s="20">
        <f>IF(AND($B$38&lt;='1 - Titoli e shock'!$B$17,$C384&lt;='1 - Titoli e shock'!$B$17),$D$38*P$6/2*(1-'1 - Titoli e shock'!$B$8),0)</f>
        <v>0</v>
      </c>
      <c r="Q384" s="20">
        <f>IF(AND($B$38&lt;='1 - Titoli e shock'!$B$17,$C384&lt;='1 - Titoli e shock'!$B$17),$D$38*Q$6/2*(1-'1 - Titoli e shock'!$B$8),0)</f>
        <v>0</v>
      </c>
      <c r="R384" s="20">
        <f>IF(AND($B$38&lt;='1 - Titoli e shock'!$B$17,$C384&lt;='1 - Titoli e shock'!$B$17),$D$38*R$6/2*(1-'1 - Titoli e shock'!$B$8),0)</f>
        <v>0</v>
      </c>
      <c r="S384" s="20">
        <f>IF(AND($B$38&lt;='1 - Titoli e shock'!$B$17,$C384&lt;='1 - Titoli e shock'!$B$17),$D$38*S$6/2*(1-'1 - Titoli e shock'!$B$8),0)</f>
        <v>0</v>
      </c>
      <c r="T384" s="20">
        <f>IF(AND($B$38&lt;='1 - Titoli e shock'!$B$17,$C384&lt;='1 - Titoli e shock'!$B$17),$D$38*T$6/2*(1-'1 - Titoli e shock'!$B$8),0)</f>
        <v>0</v>
      </c>
      <c r="U384" s="20">
        <f>IF(AND($B$38&lt;='1 - Titoli e shock'!$B$17,$C384&lt;='1 - Titoli e shock'!$B$17),$D$38*U$6/2*(1-'1 - Titoli e shock'!$B$8),0)</f>
        <v>0</v>
      </c>
    </row>
    <row r="385" spans="1:21">
      <c r="A385" s="15" t="s">
        <v>267</v>
      </c>
      <c r="B385" s="22" t="str">
        <f>A38</f>
        <v>BTP 3,15% nov 2031</v>
      </c>
      <c r="C385" s="13">
        <f>EDATE($B$38,6*16)</f>
        <v>51089</v>
      </c>
      <c r="D385" s="23">
        <f>MAX(1,(YEAR(C385)-YEAR('1 - Titoli e shock'!$B$6))+IF(MONTH(C385)*100+DAY(C385)&gt;MONTH('1 - Titoli e shock'!$B$6)*100+DAY('1 - Titoli e shock'!$B$6),1,0))</f>
        <v>14</v>
      </c>
      <c r="F385" s="20">
        <f>IF(AND($B$38&lt;='1 - Titoli e shock'!$B$17,$C385&lt;='1 - Titoli e shock'!$B$17),$D$38*F$6/2*(1-'1 - Titoli e shock'!$B$8),0)</f>
        <v>0</v>
      </c>
      <c r="G385" s="20">
        <f>IF(AND($B$38&lt;='1 - Titoli e shock'!$B$17,$C385&lt;='1 - Titoli e shock'!$B$17),$D$38*G$6/2*(1-'1 - Titoli e shock'!$B$8),0)</f>
        <v>0</v>
      </c>
      <c r="H385" s="20">
        <f>IF(AND($B$38&lt;='1 - Titoli e shock'!$B$17,$C385&lt;='1 - Titoli e shock'!$B$17),$D$38*H$6/2*(1-'1 - Titoli e shock'!$B$8),0)</f>
        <v>0</v>
      </c>
      <c r="I385" s="20">
        <f>IF(AND($B$38&lt;='1 - Titoli e shock'!$B$17,$C385&lt;='1 - Titoli e shock'!$B$17),$D$38*I$6/2*(1-'1 - Titoli e shock'!$B$8),0)</f>
        <v>0</v>
      </c>
      <c r="J385" s="20">
        <f>IF(AND($B$38&lt;='1 - Titoli e shock'!$B$17,$C385&lt;='1 - Titoli e shock'!$B$17),$D$38*J$6/2*(1-'1 - Titoli e shock'!$B$8),0)</f>
        <v>0</v>
      </c>
      <c r="K385" s="20">
        <f>IF(AND($B$38&lt;='1 - Titoli e shock'!$B$17,$C385&lt;='1 - Titoli e shock'!$B$17),$D$38*K$6/2*(1-'1 - Titoli e shock'!$B$8),0)</f>
        <v>0</v>
      </c>
      <c r="L385" s="20">
        <f>IF(AND($B$38&lt;='1 - Titoli e shock'!$B$17,$C385&lt;='1 - Titoli e shock'!$B$17),$D$38*L$6/2*(1-'1 - Titoli e shock'!$B$8),0)</f>
        <v>0</v>
      </c>
      <c r="M385" s="20">
        <f>IF(AND($B$38&lt;='1 - Titoli e shock'!$B$17,$C385&lt;='1 - Titoli e shock'!$B$17),$D$38*M$6/2*(1-'1 - Titoli e shock'!$B$8),0)</f>
        <v>0</v>
      </c>
      <c r="N385" s="20">
        <f>IF(AND($B$38&lt;='1 - Titoli e shock'!$B$17,$C385&lt;='1 - Titoli e shock'!$B$17),$D$38*N$6/2*(1-'1 - Titoli e shock'!$B$8),0)</f>
        <v>0</v>
      </c>
      <c r="O385" s="20">
        <f>IF(AND($B$38&lt;='1 - Titoli e shock'!$B$17,$C385&lt;='1 - Titoli e shock'!$B$17),$D$38*O$6/2*(1-'1 - Titoli e shock'!$B$8),0)</f>
        <v>0</v>
      </c>
      <c r="P385" s="20">
        <f>IF(AND($B$38&lt;='1 - Titoli e shock'!$B$17,$C385&lt;='1 - Titoli e shock'!$B$17),$D$38*P$6/2*(1-'1 - Titoli e shock'!$B$8),0)</f>
        <v>0</v>
      </c>
      <c r="Q385" s="20">
        <f>IF(AND($B$38&lt;='1 - Titoli e shock'!$B$17,$C385&lt;='1 - Titoli e shock'!$B$17),$D$38*Q$6/2*(1-'1 - Titoli e shock'!$B$8),0)</f>
        <v>0</v>
      </c>
      <c r="R385" s="20">
        <f>IF(AND($B$38&lt;='1 - Titoli e shock'!$B$17,$C385&lt;='1 - Titoli e shock'!$B$17),$D$38*R$6/2*(1-'1 - Titoli e shock'!$B$8),0)</f>
        <v>0</v>
      </c>
      <c r="S385" s="20">
        <f>IF(AND($B$38&lt;='1 - Titoli e shock'!$B$17,$C385&lt;='1 - Titoli e shock'!$B$17),$D$38*S$6/2*(1-'1 - Titoli e shock'!$B$8),0)</f>
        <v>0</v>
      </c>
      <c r="T385" s="20">
        <f>IF(AND($B$38&lt;='1 - Titoli e shock'!$B$17,$C385&lt;='1 - Titoli e shock'!$B$17),$D$38*T$6/2*(1-'1 - Titoli e shock'!$B$8),0)</f>
        <v>0</v>
      </c>
      <c r="U385" s="20">
        <f>IF(AND($B$38&lt;='1 - Titoli e shock'!$B$17,$C385&lt;='1 - Titoli e shock'!$B$17),$D$38*U$6/2*(1-'1 - Titoli e shock'!$B$8),0)</f>
        <v>0</v>
      </c>
    </row>
    <row r="386" spans="1:21">
      <c r="A386" s="15" t="s">
        <v>267</v>
      </c>
      <c r="B386" s="22" t="str">
        <f>A38</f>
        <v>BTP 3,15% nov 2031</v>
      </c>
      <c r="C386" s="13">
        <f>EDATE($B$38,6*17)</f>
        <v>51271</v>
      </c>
      <c r="D386" s="23">
        <f>MAX(1,(YEAR(C386)-YEAR('1 - Titoli e shock'!$B$6))+IF(MONTH(C386)*100+DAY(C386)&gt;MONTH('1 - Titoli e shock'!$B$6)*100+DAY('1 - Titoli e shock'!$B$6),1,0))</f>
        <v>14</v>
      </c>
      <c r="F386" s="20">
        <f>IF(AND($B$38&lt;='1 - Titoli e shock'!$B$17,$C386&lt;='1 - Titoli e shock'!$B$17),$D$38*F$6/2*(1-'1 - Titoli e shock'!$B$8),0)</f>
        <v>0</v>
      </c>
      <c r="G386" s="20">
        <f>IF(AND($B$38&lt;='1 - Titoli e shock'!$B$17,$C386&lt;='1 - Titoli e shock'!$B$17),$D$38*G$6/2*(1-'1 - Titoli e shock'!$B$8),0)</f>
        <v>0</v>
      </c>
      <c r="H386" s="20">
        <f>IF(AND($B$38&lt;='1 - Titoli e shock'!$B$17,$C386&lt;='1 - Titoli e shock'!$B$17),$D$38*H$6/2*(1-'1 - Titoli e shock'!$B$8),0)</f>
        <v>0</v>
      </c>
      <c r="I386" s="20">
        <f>IF(AND($B$38&lt;='1 - Titoli e shock'!$B$17,$C386&lt;='1 - Titoli e shock'!$B$17),$D$38*I$6/2*(1-'1 - Titoli e shock'!$B$8),0)</f>
        <v>0</v>
      </c>
      <c r="J386" s="20">
        <f>IF(AND($B$38&lt;='1 - Titoli e shock'!$B$17,$C386&lt;='1 - Titoli e shock'!$B$17),$D$38*J$6/2*(1-'1 - Titoli e shock'!$B$8),0)</f>
        <v>0</v>
      </c>
      <c r="K386" s="20">
        <f>IF(AND($B$38&lt;='1 - Titoli e shock'!$B$17,$C386&lt;='1 - Titoli e shock'!$B$17),$D$38*K$6/2*(1-'1 - Titoli e shock'!$B$8),0)</f>
        <v>0</v>
      </c>
      <c r="L386" s="20">
        <f>IF(AND($B$38&lt;='1 - Titoli e shock'!$B$17,$C386&lt;='1 - Titoli e shock'!$B$17),$D$38*L$6/2*(1-'1 - Titoli e shock'!$B$8),0)</f>
        <v>0</v>
      </c>
      <c r="M386" s="20">
        <f>IF(AND($B$38&lt;='1 - Titoli e shock'!$B$17,$C386&lt;='1 - Titoli e shock'!$B$17),$D$38*M$6/2*(1-'1 - Titoli e shock'!$B$8),0)</f>
        <v>0</v>
      </c>
      <c r="N386" s="20">
        <f>IF(AND($B$38&lt;='1 - Titoli e shock'!$B$17,$C386&lt;='1 - Titoli e shock'!$B$17),$D$38*N$6/2*(1-'1 - Titoli e shock'!$B$8),0)</f>
        <v>0</v>
      </c>
      <c r="O386" s="20">
        <f>IF(AND($B$38&lt;='1 - Titoli e shock'!$B$17,$C386&lt;='1 - Titoli e shock'!$B$17),$D$38*O$6/2*(1-'1 - Titoli e shock'!$B$8),0)</f>
        <v>0</v>
      </c>
      <c r="P386" s="20">
        <f>IF(AND($B$38&lt;='1 - Titoli e shock'!$B$17,$C386&lt;='1 - Titoli e shock'!$B$17),$D$38*P$6/2*(1-'1 - Titoli e shock'!$B$8),0)</f>
        <v>0</v>
      </c>
      <c r="Q386" s="20">
        <f>IF(AND($B$38&lt;='1 - Titoli e shock'!$B$17,$C386&lt;='1 - Titoli e shock'!$B$17),$D$38*Q$6/2*(1-'1 - Titoli e shock'!$B$8),0)</f>
        <v>0</v>
      </c>
      <c r="R386" s="20">
        <f>IF(AND($B$38&lt;='1 - Titoli e shock'!$B$17,$C386&lt;='1 - Titoli e shock'!$B$17),$D$38*R$6/2*(1-'1 - Titoli e shock'!$B$8),0)</f>
        <v>0</v>
      </c>
      <c r="S386" s="20">
        <f>IF(AND($B$38&lt;='1 - Titoli e shock'!$B$17,$C386&lt;='1 - Titoli e shock'!$B$17),$D$38*S$6/2*(1-'1 - Titoli e shock'!$B$8),0)</f>
        <v>0</v>
      </c>
      <c r="T386" s="20">
        <f>IF(AND($B$38&lt;='1 - Titoli e shock'!$B$17,$C386&lt;='1 - Titoli e shock'!$B$17),$D$38*T$6/2*(1-'1 - Titoli e shock'!$B$8),0)</f>
        <v>0</v>
      </c>
      <c r="U386" s="20">
        <f>IF(AND($B$38&lt;='1 - Titoli e shock'!$B$17,$C386&lt;='1 - Titoli e shock'!$B$17),$D$38*U$6/2*(1-'1 - Titoli e shock'!$B$8),0)</f>
        <v>0</v>
      </c>
    </row>
    <row r="387" spans="1:21">
      <c r="A387" s="15" t="s">
        <v>267</v>
      </c>
      <c r="B387" s="22" t="str">
        <f>A38</f>
        <v>BTP 3,15% nov 2031</v>
      </c>
      <c r="C387" s="13">
        <f>EDATE($B$38,6*18)</f>
        <v>51455</v>
      </c>
      <c r="D387" s="23">
        <f>MAX(1,(YEAR(C387)-YEAR('1 - Titoli e shock'!$B$6))+IF(MONTH(C387)*100+DAY(C387)&gt;MONTH('1 - Titoli e shock'!$B$6)*100+DAY('1 - Titoli e shock'!$B$6),1,0))</f>
        <v>15</v>
      </c>
      <c r="F387" s="20">
        <f>IF(AND($B$38&lt;='1 - Titoli e shock'!$B$17,$C387&lt;='1 - Titoli e shock'!$B$17),$D$38*F$6/2*(1-'1 - Titoli e shock'!$B$8),0)</f>
        <v>0</v>
      </c>
      <c r="G387" s="20">
        <f>IF(AND($B$38&lt;='1 - Titoli e shock'!$B$17,$C387&lt;='1 - Titoli e shock'!$B$17),$D$38*G$6/2*(1-'1 - Titoli e shock'!$B$8),0)</f>
        <v>0</v>
      </c>
      <c r="H387" s="20">
        <f>IF(AND($B$38&lt;='1 - Titoli e shock'!$B$17,$C387&lt;='1 - Titoli e shock'!$B$17),$D$38*H$6/2*(1-'1 - Titoli e shock'!$B$8),0)</f>
        <v>0</v>
      </c>
      <c r="I387" s="20">
        <f>IF(AND($B$38&lt;='1 - Titoli e shock'!$B$17,$C387&lt;='1 - Titoli e shock'!$B$17),$D$38*I$6/2*(1-'1 - Titoli e shock'!$B$8),0)</f>
        <v>0</v>
      </c>
      <c r="J387" s="20">
        <f>IF(AND($B$38&lt;='1 - Titoli e shock'!$B$17,$C387&lt;='1 - Titoli e shock'!$B$17),$D$38*J$6/2*(1-'1 - Titoli e shock'!$B$8),0)</f>
        <v>0</v>
      </c>
      <c r="K387" s="20">
        <f>IF(AND($B$38&lt;='1 - Titoli e shock'!$B$17,$C387&lt;='1 - Titoli e shock'!$B$17),$D$38*K$6/2*(1-'1 - Titoli e shock'!$B$8),0)</f>
        <v>0</v>
      </c>
      <c r="L387" s="20">
        <f>IF(AND($B$38&lt;='1 - Titoli e shock'!$B$17,$C387&lt;='1 - Titoli e shock'!$B$17),$D$38*L$6/2*(1-'1 - Titoli e shock'!$B$8),0)</f>
        <v>0</v>
      </c>
      <c r="M387" s="20">
        <f>IF(AND($B$38&lt;='1 - Titoli e shock'!$B$17,$C387&lt;='1 - Titoli e shock'!$B$17),$D$38*M$6/2*(1-'1 - Titoli e shock'!$B$8),0)</f>
        <v>0</v>
      </c>
      <c r="N387" s="20">
        <f>IF(AND($B$38&lt;='1 - Titoli e shock'!$B$17,$C387&lt;='1 - Titoli e shock'!$B$17),$D$38*N$6/2*(1-'1 - Titoli e shock'!$B$8),0)</f>
        <v>0</v>
      </c>
      <c r="O387" s="20">
        <f>IF(AND($B$38&lt;='1 - Titoli e shock'!$B$17,$C387&lt;='1 - Titoli e shock'!$B$17),$D$38*O$6/2*(1-'1 - Titoli e shock'!$B$8),0)</f>
        <v>0</v>
      </c>
      <c r="P387" s="20">
        <f>IF(AND($B$38&lt;='1 - Titoli e shock'!$B$17,$C387&lt;='1 - Titoli e shock'!$B$17),$D$38*P$6/2*(1-'1 - Titoli e shock'!$B$8),0)</f>
        <v>0</v>
      </c>
      <c r="Q387" s="20">
        <f>IF(AND($B$38&lt;='1 - Titoli e shock'!$B$17,$C387&lt;='1 - Titoli e shock'!$B$17),$D$38*Q$6/2*(1-'1 - Titoli e shock'!$B$8),0)</f>
        <v>0</v>
      </c>
      <c r="R387" s="20">
        <f>IF(AND($B$38&lt;='1 - Titoli e shock'!$B$17,$C387&lt;='1 - Titoli e shock'!$B$17),$D$38*R$6/2*(1-'1 - Titoli e shock'!$B$8),0)</f>
        <v>0</v>
      </c>
      <c r="S387" s="20">
        <f>IF(AND($B$38&lt;='1 - Titoli e shock'!$B$17,$C387&lt;='1 - Titoli e shock'!$B$17),$D$38*S$6/2*(1-'1 - Titoli e shock'!$B$8),0)</f>
        <v>0</v>
      </c>
      <c r="T387" s="20">
        <f>IF(AND($B$38&lt;='1 - Titoli e shock'!$B$17,$C387&lt;='1 - Titoli e shock'!$B$17),$D$38*T$6/2*(1-'1 - Titoli e shock'!$B$8),0)</f>
        <v>0</v>
      </c>
      <c r="U387" s="20">
        <f>IF(AND($B$38&lt;='1 - Titoli e shock'!$B$17,$C387&lt;='1 - Titoli e shock'!$B$17),$D$38*U$6/2*(1-'1 - Titoli e shock'!$B$8),0)</f>
        <v>0</v>
      </c>
    </row>
    <row r="388" spans="1:21">
      <c r="A388" s="15" t="s">
        <v>267</v>
      </c>
      <c r="B388" s="22" t="str">
        <f>A38</f>
        <v>BTP 3,15% nov 2031</v>
      </c>
      <c r="C388" s="13">
        <f>EDATE($B$38,6*19)</f>
        <v>51636</v>
      </c>
      <c r="D388" s="23">
        <f>MAX(1,(YEAR(C388)-YEAR('1 - Titoli e shock'!$B$6))+IF(MONTH(C388)*100+DAY(C388)&gt;MONTH('1 - Titoli e shock'!$B$6)*100+DAY('1 - Titoli e shock'!$B$6),1,0))</f>
        <v>15</v>
      </c>
      <c r="F388" s="20">
        <f>IF(AND($B$38&lt;='1 - Titoli e shock'!$B$17,$C388&lt;='1 - Titoli e shock'!$B$17),$D$38*F$6/2*(1-'1 - Titoli e shock'!$B$8),0)</f>
        <v>0</v>
      </c>
      <c r="G388" s="20">
        <f>IF(AND($B$38&lt;='1 - Titoli e shock'!$B$17,$C388&lt;='1 - Titoli e shock'!$B$17),$D$38*G$6/2*(1-'1 - Titoli e shock'!$B$8),0)</f>
        <v>0</v>
      </c>
      <c r="H388" s="20">
        <f>IF(AND($B$38&lt;='1 - Titoli e shock'!$B$17,$C388&lt;='1 - Titoli e shock'!$B$17),$D$38*H$6/2*(1-'1 - Titoli e shock'!$B$8),0)</f>
        <v>0</v>
      </c>
      <c r="I388" s="20">
        <f>IF(AND($B$38&lt;='1 - Titoli e shock'!$B$17,$C388&lt;='1 - Titoli e shock'!$B$17),$D$38*I$6/2*(1-'1 - Titoli e shock'!$B$8),0)</f>
        <v>0</v>
      </c>
      <c r="J388" s="20">
        <f>IF(AND($B$38&lt;='1 - Titoli e shock'!$B$17,$C388&lt;='1 - Titoli e shock'!$B$17),$D$38*J$6/2*(1-'1 - Titoli e shock'!$B$8),0)</f>
        <v>0</v>
      </c>
      <c r="K388" s="20">
        <f>IF(AND($B$38&lt;='1 - Titoli e shock'!$B$17,$C388&lt;='1 - Titoli e shock'!$B$17),$D$38*K$6/2*(1-'1 - Titoli e shock'!$B$8),0)</f>
        <v>0</v>
      </c>
      <c r="L388" s="20">
        <f>IF(AND($B$38&lt;='1 - Titoli e shock'!$B$17,$C388&lt;='1 - Titoli e shock'!$B$17),$D$38*L$6/2*(1-'1 - Titoli e shock'!$B$8),0)</f>
        <v>0</v>
      </c>
      <c r="M388" s="20">
        <f>IF(AND($B$38&lt;='1 - Titoli e shock'!$B$17,$C388&lt;='1 - Titoli e shock'!$B$17),$D$38*M$6/2*(1-'1 - Titoli e shock'!$B$8),0)</f>
        <v>0</v>
      </c>
      <c r="N388" s="20">
        <f>IF(AND($B$38&lt;='1 - Titoli e shock'!$B$17,$C388&lt;='1 - Titoli e shock'!$B$17),$D$38*N$6/2*(1-'1 - Titoli e shock'!$B$8),0)</f>
        <v>0</v>
      </c>
      <c r="O388" s="20">
        <f>IF(AND($B$38&lt;='1 - Titoli e shock'!$B$17,$C388&lt;='1 - Titoli e shock'!$B$17),$D$38*O$6/2*(1-'1 - Titoli e shock'!$B$8),0)</f>
        <v>0</v>
      </c>
      <c r="P388" s="20">
        <f>IF(AND($B$38&lt;='1 - Titoli e shock'!$B$17,$C388&lt;='1 - Titoli e shock'!$B$17),$D$38*P$6/2*(1-'1 - Titoli e shock'!$B$8),0)</f>
        <v>0</v>
      </c>
      <c r="Q388" s="20">
        <f>IF(AND($B$38&lt;='1 - Titoli e shock'!$B$17,$C388&lt;='1 - Titoli e shock'!$B$17),$D$38*Q$6/2*(1-'1 - Titoli e shock'!$B$8),0)</f>
        <v>0</v>
      </c>
      <c r="R388" s="20">
        <f>IF(AND($B$38&lt;='1 - Titoli e shock'!$B$17,$C388&lt;='1 - Titoli e shock'!$B$17),$D$38*R$6/2*(1-'1 - Titoli e shock'!$B$8),0)</f>
        <v>0</v>
      </c>
      <c r="S388" s="20">
        <f>IF(AND($B$38&lt;='1 - Titoli e shock'!$B$17,$C388&lt;='1 - Titoli e shock'!$B$17),$D$38*S$6/2*(1-'1 - Titoli e shock'!$B$8),0)</f>
        <v>0</v>
      </c>
      <c r="T388" s="20">
        <f>IF(AND($B$38&lt;='1 - Titoli e shock'!$B$17,$C388&lt;='1 - Titoli e shock'!$B$17),$D$38*T$6/2*(1-'1 - Titoli e shock'!$B$8),0)</f>
        <v>0</v>
      </c>
      <c r="U388" s="20">
        <f>IF(AND($B$38&lt;='1 - Titoli e shock'!$B$17,$C388&lt;='1 - Titoli e shock'!$B$17),$D$38*U$6/2*(1-'1 - Titoli e shock'!$B$8),0)</f>
        <v>0</v>
      </c>
    </row>
    <row r="389" spans="1:21">
      <c r="A389" s="15" t="s">
        <v>267</v>
      </c>
      <c r="B389" s="22" t="str">
        <f>A38</f>
        <v>BTP 3,15% nov 2031</v>
      </c>
      <c r="C389" s="13">
        <f>EDATE($B$38,6*20)</f>
        <v>51820</v>
      </c>
      <c r="D389" s="23">
        <f>MAX(1,(YEAR(C389)-YEAR('1 - Titoli e shock'!$B$6))+IF(MONTH(C389)*100+DAY(C389)&gt;MONTH('1 - Titoli e shock'!$B$6)*100+DAY('1 - Titoli e shock'!$B$6),1,0))</f>
        <v>16</v>
      </c>
      <c r="F389" s="20">
        <f>IF(AND($B$38&lt;='1 - Titoli e shock'!$B$17,$C389&lt;='1 - Titoli e shock'!$B$17),$D$38*F$6/2*(1-'1 - Titoli e shock'!$B$8),0)</f>
        <v>0</v>
      </c>
      <c r="G389" s="20">
        <f>IF(AND($B$38&lt;='1 - Titoli e shock'!$B$17,$C389&lt;='1 - Titoli e shock'!$B$17),$D$38*G$6/2*(1-'1 - Titoli e shock'!$B$8),0)</f>
        <v>0</v>
      </c>
      <c r="H389" s="20">
        <f>IF(AND($B$38&lt;='1 - Titoli e shock'!$B$17,$C389&lt;='1 - Titoli e shock'!$B$17),$D$38*H$6/2*(1-'1 - Titoli e shock'!$B$8),0)</f>
        <v>0</v>
      </c>
      <c r="I389" s="20">
        <f>IF(AND($B$38&lt;='1 - Titoli e shock'!$B$17,$C389&lt;='1 - Titoli e shock'!$B$17),$D$38*I$6/2*(1-'1 - Titoli e shock'!$B$8),0)</f>
        <v>0</v>
      </c>
      <c r="J389" s="20">
        <f>IF(AND($B$38&lt;='1 - Titoli e shock'!$B$17,$C389&lt;='1 - Titoli e shock'!$B$17),$D$38*J$6/2*(1-'1 - Titoli e shock'!$B$8),0)</f>
        <v>0</v>
      </c>
      <c r="K389" s="20">
        <f>IF(AND($B$38&lt;='1 - Titoli e shock'!$B$17,$C389&lt;='1 - Titoli e shock'!$B$17),$D$38*K$6/2*(1-'1 - Titoli e shock'!$B$8),0)</f>
        <v>0</v>
      </c>
      <c r="L389" s="20">
        <f>IF(AND($B$38&lt;='1 - Titoli e shock'!$B$17,$C389&lt;='1 - Titoli e shock'!$B$17),$D$38*L$6/2*(1-'1 - Titoli e shock'!$B$8),0)</f>
        <v>0</v>
      </c>
      <c r="M389" s="20">
        <f>IF(AND($B$38&lt;='1 - Titoli e shock'!$B$17,$C389&lt;='1 - Titoli e shock'!$B$17),$D$38*M$6/2*(1-'1 - Titoli e shock'!$B$8),0)</f>
        <v>0</v>
      </c>
      <c r="N389" s="20">
        <f>IF(AND($B$38&lt;='1 - Titoli e shock'!$B$17,$C389&lt;='1 - Titoli e shock'!$B$17),$D$38*N$6/2*(1-'1 - Titoli e shock'!$B$8),0)</f>
        <v>0</v>
      </c>
      <c r="O389" s="20">
        <f>IF(AND($B$38&lt;='1 - Titoli e shock'!$B$17,$C389&lt;='1 - Titoli e shock'!$B$17),$D$38*O$6/2*(1-'1 - Titoli e shock'!$B$8),0)</f>
        <v>0</v>
      </c>
      <c r="P389" s="20">
        <f>IF(AND($B$38&lt;='1 - Titoli e shock'!$B$17,$C389&lt;='1 - Titoli e shock'!$B$17),$D$38*P$6/2*(1-'1 - Titoli e shock'!$B$8),0)</f>
        <v>0</v>
      </c>
      <c r="Q389" s="20">
        <f>IF(AND($B$38&lt;='1 - Titoli e shock'!$B$17,$C389&lt;='1 - Titoli e shock'!$B$17),$D$38*Q$6/2*(1-'1 - Titoli e shock'!$B$8),0)</f>
        <v>0</v>
      </c>
      <c r="R389" s="20">
        <f>IF(AND($B$38&lt;='1 - Titoli e shock'!$B$17,$C389&lt;='1 - Titoli e shock'!$B$17),$D$38*R$6/2*(1-'1 - Titoli e shock'!$B$8),0)</f>
        <v>0</v>
      </c>
      <c r="S389" s="20">
        <f>IF(AND($B$38&lt;='1 - Titoli e shock'!$B$17,$C389&lt;='1 - Titoli e shock'!$B$17),$D$38*S$6/2*(1-'1 - Titoli e shock'!$B$8),0)</f>
        <v>0</v>
      </c>
      <c r="T389" s="20">
        <f>IF(AND($B$38&lt;='1 - Titoli e shock'!$B$17,$C389&lt;='1 - Titoli e shock'!$B$17),$D$38*T$6/2*(1-'1 - Titoli e shock'!$B$8),0)</f>
        <v>0</v>
      </c>
      <c r="U389" s="20">
        <f>IF(AND($B$38&lt;='1 - Titoli e shock'!$B$17,$C389&lt;='1 - Titoli e shock'!$B$17),$D$38*U$6/2*(1-'1 - Titoli e shock'!$B$8),0)</f>
        <v>0</v>
      </c>
    </row>
    <row r="390" spans="1:21">
      <c r="A390" s="15" t="s">
        <v>268</v>
      </c>
      <c r="B390" s="22" t="str">
        <f>A38</f>
        <v>BTP 3,15% nov 2031</v>
      </c>
      <c r="C390" s="13">
        <f>EDATE($B$38,120)</f>
        <v>51820</v>
      </c>
      <c r="D390" s="23">
        <f>MAX(1,(YEAR(C390)-YEAR('1 - Titoli e shock'!$B$6))+IF(MONTH(C390)*100+DAY(C390)&gt;MONTH('1 - Titoli e shock'!$B$6)*100+DAY('1 - Titoli e shock'!$B$6),1,0))</f>
        <v>16</v>
      </c>
      <c r="F390" s="20">
        <f>IF(AND($B$38&lt;='1 - Titoli e shock'!$B$17,$C390&lt;='1 - Titoli e shock'!$B$17),$D$38,0)</f>
        <v>0</v>
      </c>
      <c r="G390" s="20">
        <f>IF(AND($B$38&lt;='1 - Titoli e shock'!$B$17,$C390&lt;='1 - Titoli e shock'!$B$17),$D$38,0)</f>
        <v>0</v>
      </c>
      <c r="H390" s="20">
        <f>IF(AND($B$38&lt;='1 - Titoli e shock'!$B$17,$C390&lt;='1 - Titoli e shock'!$B$17),$D$38,0)</f>
        <v>0</v>
      </c>
      <c r="I390" s="20">
        <f>IF(AND($B$38&lt;='1 - Titoli e shock'!$B$17,$C390&lt;='1 - Titoli e shock'!$B$17),$D$38,0)</f>
        <v>0</v>
      </c>
      <c r="J390" s="20">
        <f>IF(AND($B$38&lt;='1 - Titoli e shock'!$B$17,$C390&lt;='1 - Titoli e shock'!$B$17),$D$38,0)</f>
        <v>0</v>
      </c>
      <c r="K390" s="20">
        <f>IF(AND($B$38&lt;='1 - Titoli e shock'!$B$17,$C390&lt;='1 - Titoli e shock'!$B$17),$D$38,0)</f>
        <v>0</v>
      </c>
      <c r="L390" s="20">
        <f>IF(AND($B$38&lt;='1 - Titoli e shock'!$B$17,$C390&lt;='1 - Titoli e shock'!$B$17),$D$38,0)</f>
        <v>0</v>
      </c>
      <c r="M390" s="20">
        <f>IF(AND($B$38&lt;='1 - Titoli e shock'!$B$17,$C390&lt;='1 - Titoli e shock'!$B$17),$D$38,0)</f>
        <v>0</v>
      </c>
      <c r="N390" s="20">
        <f>IF(AND($B$38&lt;='1 - Titoli e shock'!$B$17,$C390&lt;='1 - Titoli e shock'!$B$17),$D$38,0)</f>
        <v>0</v>
      </c>
      <c r="O390" s="20">
        <f>IF(AND($B$38&lt;='1 - Titoli e shock'!$B$17,$C390&lt;='1 - Titoli e shock'!$B$17),$D$38,0)</f>
        <v>0</v>
      </c>
      <c r="P390" s="20">
        <f>IF(AND($B$38&lt;='1 - Titoli e shock'!$B$17,$C390&lt;='1 - Titoli e shock'!$B$17),$D$38,0)</f>
        <v>0</v>
      </c>
      <c r="Q390" s="20">
        <f>IF(AND($B$38&lt;='1 - Titoli e shock'!$B$17,$C390&lt;='1 - Titoli e shock'!$B$17),$D$38,0)</f>
        <v>0</v>
      </c>
      <c r="R390" s="20">
        <f>IF(AND($B$38&lt;='1 - Titoli e shock'!$B$17,$C390&lt;='1 - Titoli e shock'!$B$17),$D$38,0)</f>
        <v>0</v>
      </c>
      <c r="S390" s="20">
        <f>IF(AND($B$38&lt;='1 - Titoli e shock'!$B$17,$C390&lt;='1 - Titoli e shock'!$B$17),$D$38,0)</f>
        <v>0</v>
      </c>
      <c r="T390" s="20">
        <f>IF(AND($B$38&lt;='1 - Titoli e shock'!$B$17,$C390&lt;='1 - Titoli e shock'!$B$17),$D$38,0)</f>
        <v>0</v>
      </c>
      <c r="U390" s="20">
        <f>IF(AND($B$38&lt;='1 - Titoli e shock'!$B$17,$C390&lt;='1 - Titoli e shock'!$B$17),$D$38,0)</f>
        <v>0</v>
      </c>
    </row>
    <row r="391" spans="1:21">
      <c r="A391" s="15" t="s">
        <v>267</v>
      </c>
      <c r="B391" s="22" t="str">
        <f>A39</f>
        <v>BTP 3,25% nov 2032</v>
      </c>
      <c r="C391" s="13">
        <f>EDATE($B$39,6*1)</f>
        <v>48714</v>
      </c>
      <c r="D391" s="23">
        <f>MAX(1,(YEAR(C391)-YEAR('1 - Titoli e shock'!$B$6))+IF(MONTH(C391)*100+DAY(C391)&gt;MONTH('1 - Titoli e shock'!$B$6)*100+DAY('1 - Titoli e shock'!$B$6),1,0))</f>
        <v>7</v>
      </c>
      <c r="F391" s="20">
        <f>IF(AND($B$39&lt;='1 - Titoli e shock'!$B$17,$C391&lt;='1 - Titoli e shock'!$B$17),$D$39*F$6/2*(1-'1 - Titoli e shock'!$B$8),0)</f>
        <v>309.42547252604783</v>
      </c>
      <c r="G391" s="20">
        <f>IF(AND($B$39&lt;='1 - Titoli e shock'!$B$17,$C391&lt;='1 - Titoli e shock'!$B$17),$D$39*G$6/2*(1-'1 - Titoli e shock'!$B$8),0)</f>
        <v>397.17272207190445</v>
      </c>
      <c r="H391" s="20">
        <f>IF(AND($B$39&lt;='1 - Titoli e shock'!$B$17,$C391&lt;='1 - Titoli e shock'!$B$17),$D$39*H$6/2*(1-'1 - Titoli e shock'!$B$8),0)</f>
        <v>484.50107498095389</v>
      </c>
      <c r="I391" s="20">
        <f>IF(AND($B$39&lt;='1 - Titoli e shock'!$B$17,$C391&lt;='1 - Titoli e shock'!$B$17),$D$39*I$6/2*(1-'1 - Titoli e shock'!$B$8),0)</f>
        <v>571.41647389369177</v>
      </c>
      <c r="J391" s="20">
        <f>IF(AND($B$39&lt;='1 - Titoli e shock'!$B$17,$C391&lt;='1 - Titoli e shock'!$B$17),$D$39*J$6/2*(1-'1 - Titoli e shock'!$B$8),0)</f>
        <v>419.04384730204015</v>
      </c>
      <c r="K391" s="20">
        <f>IF(AND($B$39&lt;='1 - Titoli e shock'!$B$17,$C391&lt;='1 - Titoli e shock'!$B$17),$D$39*K$6/2*(1-'1 - Titoli e shock'!$B$8),0)</f>
        <v>440.88888587434593</v>
      </c>
      <c r="L391" s="20">
        <f>IF(AND($B$39&lt;='1 - Titoli e shock'!$B$17,$C391&lt;='1 - Titoli e shock'!$B$17),$D$39*L$6/2*(1-'1 - Titoli e shock'!$B$8),0)</f>
        <v>449.61961791703584</v>
      </c>
      <c r="M391" s="20">
        <f>IF(AND($B$39&lt;='1 - Titoli e shock'!$B$17,$C391&lt;='1 - Titoli e shock'!$B$17),$D$39*M$6/2*(1-'1 - Titoli e shock'!$B$8),0)</f>
        <v>458.34619693517789</v>
      </c>
      <c r="N391" s="20">
        <f>IF(AND($B$39&lt;='1 - Titoli e shock'!$B$17,$C391&lt;='1 - Titoli e shock'!$B$17),$D$39*N$6/2*(1-'1 - Titoli e shock'!$B$8),0)</f>
        <v>467.06862884966154</v>
      </c>
      <c r="O391" s="20">
        <f>IF(AND($B$39&lt;='1 - Titoli e shock'!$B$17,$C391&lt;='1 - Titoli e shock'!$B$17),$D$39*O$6/2*(1-'1 - Titoli e shock'!$B$8),0)</f>
        <v>475.78691956730972</v>
      </c>
      <c r="P391" s="20">
        <f>IF(AND($B$39&lt;='1 - Titoli e shock'!$B$17,$C391&lt;='1 - Titoli e shock'!$B$17),$D$39*P$6/2*(1-'1 - Titoli e shock'!$B$8),0)</f>
        <v>493.21110096944187</v>
      </c>
      <c r="Q391" s="20">
        <f>IF(AND($B$39&lt;='1 - Titoli e shock'!$B$17,$C391&lt;='1 - Titoli e shock'!$B$17),$D$39*Q$6/2*(1-'1 - Titoli e shock'!$B$8),0)</f>
        <v>501.91700339772973</v>
      </c>
      <c r="R391" s="20">
        <f>IF(AND($B$39&lt;='1 - Titoli e shock'!$B$17,$C391&lt;='1 - Titoli e shock'!$B$17),$D$39*R$6/2*(1-'1 - Titoli e shock'!$B$8),0)</f>
        <v>510.61878811687745</v>
      </c>
      <c r="S391" s="20">
        <f>IF(AND($B$39&lt;='1 - Titoli e shock'!$B$17,$C391&lt;='1 - Titoli e shock'!$B$17),$D$39*S$6/2*(1-'1 - Titoli e shock'!$B$8),0)</f>
        <v>519.31646096414056</v>
      </c>
      <c r="T391" s="20">
        <f>IF(AND($B$39&lt;='1 - Titoli e shock'!$B$17,$C391&lt;='1 - Titoli e shock'!$B$17),$D$39*T$6/2*(1-'1 - Titoli e shock'!$B$8),0)</f>
        <v>528.01002776298935</v>
      </c>
      <c r="U391" s="20">
        <f>IF(AND($B$39&lt;='1 - Titoli e shock'!$B$17,$C391&lt;='1 - Titoli e shock'!$B$17),$D$39*U$6/2*(1-'1 - Titoli e shock'!$B$8),0)</f>
        <v>657.92472225759457</v>
      </c>
    </row>
    <row r="392" spans="1:21">
      <c r="A392" s="15" t="s">
        <v>267</v>
      </c>
      <c r="B392" s="22" t="str">
        <f>A39</f>
        <v>BTP 3,25% nov 2032</v>
      </c>
      <c r="C392" s="13">
        <f>EDATE($B$39,6*2)</f>
        <v>48898</v>
      </c>
      <c r="D392" s="23">
        <f>MAX(1,(YEAR(C392)-YEAR('1 - Titoli e shock'!$B$6))+IF(MONTH(C392)*100+DAY(C392)&gt;MONTH('1 - Titoli e shock'!$B$6)*100+DAY('1 - Titoli e shock'!$B$6),1,0))</f>
        <v>8</v>
      </c>
      <c r="F392" s="20">
        <f>IF(AND($B$39&lt;='1 - Titoli e shock'!$B$17,$C392&lt;='1 - Titoli e shock'!$B$17),$D$39*F$6/2*(1-'1 - Titoli e shock'!$B$8),0)</f>
        <v>309.42547252604783</v>
      </c>
      <c r="G392" s="20">
        <f>IF(AND($B$39&lt;='1 - Titoli e shock'!$B$17,$C392&lt;='1 - Titoli e shock'!$B$17),$D$39*G$6/2*(1-'1 - Titoli e shock'!$B$8),0)</f>
        <v>397.17272207190445</v>
      </c>
      <c r="H392" s="20">
        <f>IF(AND($B$39&lt;='1 - Titoli e shock'!$B$17,$C392&lt;='1 - Titoli e shock'!$B$17),$D$39*H$6/2*(1-'1 - Titoli e shock'!$B$8),0)</f>
        <v>484.50107498095389</v>
      </c>
      <c r="I392" s="20">
        <f>IF(AND($B$39&lt;='1 - Titoli e shock'!$B$17,$C392&lt;='1 - Titoli e shock'!$B$17),$D$39*I$6/2*(1-'1 - Titoli e shock'!$B$8),0)</f>
        <v>571.41647389369177</v>
      </c>
      <c r="J392" s="20">
        <f>IF(AND($B$39&lt;='1 - Titoli e shock'!$B$17,$C392&lt;='1 - Titoli e shock'!$B$17),$D$39*J$6/2*(1-'1 - Titoli e shock'!$B$8),0)</f>
        <v>419.04384730204015</v>
      </c>
      <c r="K392" s="20">
        <f>IF(AND($B$39&lt;='1 - Titoli e shock'!$B$17,$C392&lt;='1 - Titoli e shock'!$B$17),$D$39*K$6/2*(1-'1 - Titoli e shock'!$B$8),0)</f>
        <v>440.88888587434593</v>
      </c>
      <c r="L392" s="20">
        <f>IF(AND($B$39&lt;='1 - Titoli e shock'!$B$17,$C392&lt;='1 - Titoli e shock'!$B$17),$D$39*L$6/2*(1-'1 - Titoli e shock'!$B$8),0)</f>
        <v>449.61961791703584</v>
      </c>
      <c r="M392" s="20">
        <f>IF(AND($B$39&lt;='1 - Titoli e shock'!$B$17,$C392&lt;='1 - Titoli e shock'!$B$17),$D$39*M$6/2*(1-'1 - Titoli e shock'!$B$8),0)</f>
        <v>458.34619693517789</v>
      </c>
      <c r="N392" s="20">
        <f>IF(AND($B$39&lt;='1 - Titoli e shock'!$B$17,$C392&lt;='1 - Titoli e shock'!$B$17),$D$39*N$6/2*(1-'1 - Titoli e shock'!$B$8),0)</f>
        <v>467.06862884966154</v>
      </c>
      <c r="O392" s="20">
        <f>IF(AND($B$39&lt;='1 - Titoli e shock'!$B$17,$C392&lt;='1 - Titoli e shock'!$B$17),$D$39*O$6/2*(1-'1 - Titoli e shock'!$B$8),0)</f>
        <v>475.78691956730972</v>
      </c>
      <c r="P392" s="20">
        <f>IF(AND($B$39&lt;='1 - Titoli e shock'!$B$17,$C392&lt;='1 - Titoli e shock'!$B$17),$D$39*P$6/2*(1-'1 - Titoli e shock'!$B$8),0)</f>
        <v>493.21110096944187</v>
      </c>
      <c r="Q392" s="20">
        <f>IF(AND($B$39&lt;='1 - Titoli e shock'!$B$17,$C392&lt;='1 - Titoli e shock'!$B$17),$D$39*Q$6/2*(1-'1 - Titoli e shock'!$B$8),0)</f>
        <v>501.91700339772973</v>
      </c>
      <c r="R392" s="20">
        <f>IF(AND($B$39&lt;='1 - Titoli e shock'!$B$17,$C392&lt;='1 - Titoli e shock'!$B$17),$D$39*R$6/2*(1-'1 - Titoli e shock'!$B$8),0)</f>
        <v>510.61878811687745</v>
      </c>
      <c r="S392" s="20">
        <f>IF(AND($B$39&lt;='1 - Titoli e shock'!$B$17,$C392&lt;='1 - Titoli e shock'!$B$17),$D$39*S$6/2*(1-'1 - Titoli e shock'!$B$8),0)</f>
        <v>519.31646096414056</v>
      </c>
      <c r="T392" s="20">
        <f>IF(AND($B$39&lt;='1 - Titoli e shock'!$B$17,$C392&lt;='1 - Titoli e shock'!$B$17),$D$39*T$6/2*(1-'1 - Titoli e shock'!$B$8),0)</f>
        <v>528.01002776298935</v>
      </c>
      <c r="U392" s="20">
        <f>IF(AND($B$39&lt;='1 - Titoli e shock'!$B$17,$C392&lt;='1 - Titoli e shock'!$B$17),$D$39*U$6/2*(1-'1 - Titoli e shock'!$B$8),0)</f>
        <v>657.92472225759457</v>
      </c>
    </row>
    <row r="393" spans="1:21">
      <c r="A393" s="15" t="s">
        <v>267</v>
      </c>
      <c r="B393" s="22" t="str">
        <f>A39</f>
        <v>BTP 3,25% nov 2032</v>
      </c>
      <c r="C393" s="13">
        <f>EDATE($B$39,6*3)</f>
        <v>49079</v>
      </c>
      <c r="D393" s="23">
        <f>MAX(1,(YEAR(C393)-YEAR('1 - Titoli e shock'!$B$6))+IF(MONTH(C393)*100+DAY(C393)&gt;MONTH('1 - Titoli e shock'!$B$6)*100+DAY('1 - Titoli e shock'!$B$6),1,0))</f>
        <v>8</v>
      </c>
      <c r="F393" s="20">
        <f>IF(AND($B$39&lt;='1 - Titoli e shock'!$B$17,$C393&lt;='1 - Titoli e shock'!$B$17),$D$39*F$6/2*(1-'1 - Titoli e shock'!$B$8),0)</f>
        <v>309.42547252604783</v>
      </c>
      <c r="G393" s="20">
        <f>IF(AND($B$39&lt;='1 - Titoli e shock'!$B$17,$C393&lt;='1 - Titoli e shock'!$B$17),$D$39*G$6/2*(1-'1 - Titoli e shock'!$B$8),0)</f>
        <v>397.17272207190445</v>
      </c>
      <c r="H393" s="20">
        <f>IF(AND($B$39&lt;='1 - Titoli e shock'!$B$17,$C393&lt;='1 - Titoli e shock'!$B$17),$D$39*H$6/2*(1-'1 - Titoli e shock'!$B$8),0)</f>
        <v>484.50107498095389</v>
      </c>
      <c r="I393" s="20">
        <f>IF(AND($B$39&lt;='1 - Titoli e shock'!$B$17,$C393&lt;='1 - Titoli e shock'!$B$17),$D$39*I$6/2*(1-'1 - Titoli e shock'!$B$8),0)</f>
        <v>571.41647389369177</v>
      </c>
      <c r="J393" s="20">
        <f>IF(AND($B$39&lt;='1 - Titoli e shock'!$B$17,$C393&lt;='1 - Titoli e shock'!$B$17),$D$39*J$6/2*(1-'1 - Titoli e shock'!$B$8),0)</f>
        <v>419.04384730204015</v>
      </c>
      <c r="K393" s="20">
        <f>IF(AND($B$39&lt;='1 - Titoli e shock'!$B$17,$C393&lt;='1 - Titoli e shock'!$B$17),$D$39*K$6/2*(1-'1 - Titoli e shock'!$B$8),0)</f>
        <v>440.88888587434593</v>
      </c>
      <c r="L393" s="20">
        <f>IF(AND($B$39&lt;='1 - Titoli e shock'!$B$17,$C393&lt;='1 - Titoli e shock'!$B$17),$D$39*L$6/2*(1-'1 - Titoli e shock'!$B$8),0)</f>
        <v>449.61961791703584</v>
      </c>
      <c r="M393" s="20">
        <f>IF(AND($B$39&lt;='1 - Titoli e shock'!$B$17,$C393&lt;='1 - Titoli e shock'!$B$17),$D$39*M$6/2*(1-'1 - Titoli e shock'!$B$8),0)</f>
        <v>458.34619693517789</v>
      </c>
      <c r="N393" s="20">
        <f>IF(AND($B$39&lt;='1 - Titoli e shock'!$B$17,$C393&lt;='1 - Titoli e shock'!$B$17),$D$39*N$6/2*(1-'1 - Titoli e shock'!$B$8),0)</f>
        <v>467.06862884966154</v>
      </c>
      <c r="O393" s="20">
        <f>IF(AND($B$39&lt;='1 - Titoli e shock'!$B$17,$C393&lt;='1 - Titoli e shock'!$B$17),$D$39*O$6/2*(1-'1 - Titoli e shock'!$B$8),0)</f>
        <v>475.78691956730972</v>
      </c>
      <c r="P393" s="20">
        <f>IF(AND($B$39&lt;='1 - Titoli e shock'!$B$17,$C393&lt;='1 - Titoli e shock'!$B$17),$D$39*P$6/2*(1-'1 - Titoli e shock'!$B$8),0)</f>
        <v>493.21110096944187</v>
      </c>
      <c r="Q393" s="20">
        <f>IF(AND($B$39&lt;='1 - Titoli e shock'!$B$17,$C393&lt;='1 - Titoli e shock'!$B$17),$D$39*Q$6/2*(1-'1 - Titoli e shock'!$B$8),0)</f>
        <v>501.91700339772973</v>
      </c>
      <c r="R393" s="20">
        <f>IF(AND($B$39&lt;='1 - Titoli e shock'!$B$17,$C393&lt;='1 - Titoli e shock'!$B$17),$D$39*R$6/2*(1-'1 - Titoli e shock'!$B$8),0)</f>
        <v>510.61878811687745</v>
      </c>
      <c r="S393" s="20">
        <f>IF(AND($B$39&lt;='1 - Titoli e shock'!$B$17,$C393&lt;='1 - Titoli e shock'!$B$17),$D$39*S$6/2*(1-'1 - Titoli e shock'!$B$8),0)</f>
        <v>519.31646096414056</v>
      </c>
      <c r="T393" s="20">
        <f>IF(AND($B$39&lt;='1 - Titoli e shock'!$B$17,$C393&lt;='1 - Titoli e shock'!$B$17),$D$39*T$6/2*(1-'1 - Titoli e shock'!$B$8),0)</f>
        <v>528.01002776298935</v>
      </c>
      <c r="U393" s="20">
        <f>IF(AND($B$39&lt;='1 - Titoli e shock'!$B$17,$C393&lt;='1 - Titoli e shock'!$B$17),$D$39*U$6/2*(1-'1 - Titoli e shock'!$B$8),0)</f>
        <v>657.92472225759457</v>
      </c>
    </row>
    <row r="394" spans="1:21">
      <c r="A394" s="15" t="s">
        <v>267</v>
      </c>
      <c r="B394" s="22" t="str">
        <f>A39</f>
        <v>BTP 3,25% nov 2032</v>
      </c>
      <c r="C394" s="13">
        <f>EDATE($B$39,6*4)</f>
        <v>49263</v>
      </c>
      <c r="D394" s="23">
        <f>MAX(1,(YEAR(C394)-YEAR('1 - Titoli e shock'!$B$6))+IF(MONTH(C394)*100+DAY(C394)&gt;MONTH('1 - Titoli e shock'!$B$6)*100+DAY('1 - Titoli e shock'!$B$6),1,0))</f>
        <v>9</v>
      </c>
      <c r="F394" s="20">
        <f>IF(AND($B$39&lt;='1 - Titoli e shock'!$B$17,$C394&lt;='1 - Titoli e shock'!$B$17),$D$39*F$6/2*(1-'1 - Titoli e shock'!$B$8),0)</f>
        <v>309.42547252604783</v>
      </c>
      <c r="G394" s="20">
        <f>IF(AND($B$39&lt;='1 - Titoli e shock'!$B$17,$C394&lt;='1 - Titoli e shock'!$B$17),$D$39*G$6/2*(1-'1 - Titoli e shock'!$B$8),0)</f>
        <v>397.17272207190445</v>
      </c>
      <c r="H394" s="20">
        <f>IF(AND($B$39&lt;='1 - Titoli e shock'!$B$17,$C394&lt;='1 - Titoli e shock'!$B$17),$D$39*H$6/2*(1-'1 - Titoli e shock'!$B$8),0)</f>
        <v>484.50107498095389</v>
      </c>
      <c r="I394" s="20">
        <f>IF(AND($B$39&lt;='1 - Titoli e shock'!$B$17,$C394&lt;='1 - Titoli e shock'!$B$17),$D$39*I$6/2*(1-'1 - Titoli e shock'!$B$8),0)</f>
        <v>571.41647389369177</v>
      </c>
      <c r="J394" s="20">
        <f>IF(AND($B$39&lt;='1 - Titoli e shock'!$B$17,$C394&lt;='1 - Titoli e shock'!$B$17),$D$39*J$6/2*(1-'1 - Titoli e shock'!$B$8),0)</f>
        <v>419.04384730204015</v>
      </c>
      <c r="K394" s="20">
        <f>IF(AND($B$39&lt;='1 - Titoli e shock'!$B$17,$C394&lt;='1 - Titoli e shock'!$B$17),$D$39*K$6/2*(1-'1 - Titoli e shock'!$B$8),0)</f>
        <v>440.88888587434593</v>
      </c>
      <c r="L394" s="20">
        <f>IF(AND($B$39&lt;='1 - Titoli e shock'!$B$17,$C394&lt;='1 - Titoli e shock'!$B$17),$D$39*L$6/2*(1-'1 - Titoli e shock'!$B$8),0)</f>
        <v>449.61961791703584</v>
      </c>
      <c r="M394" s="20">
        <f>IF(AND($B$39&lt;='1 - Titoli e shock'!$B$17,$C394&lt;='1 - Titoli e shock'!$B$17),$D$39*M$6/2*(1-'1 - Titoli e shock'!$B$8),0)</f>
        <v>458.34619693517789</v>
      </c>
      <c r="N394" s="20">
        <f>IF(AND($B$39&lt;='1 - Titoli e shock'!$B$17,$C394&lt;='1 - Titoli e shock'!$B$17),$D$39*N$6/2*(1-'1 - Titoli e shock'!$B$8),0)</f>
        <v>467.06862884966154</v>
      </c>
      <c r="O394" s="20">
        <f>IF(AND($B$39&lt;='1 - Titoli e shock'!$B$17,$C394&lt;='1 - Titoli e shock'!$B$17),$D$39*O$6/2*(1-'1 - Titoli e shock'!$B$8),0)</f>
        <v>475.78691956730972</v>
      </c>
      <c r="P394" s="20">
        <f>IF(AND($B$39&lt;='1 - Titoli e shock'!$B$17,$C394&lt;='1 - Titoli e shock'!$B$17),$D$39*P$6/2*(1-'1 - Titoli e shock'!$B$8),0)</f>
        <v>493.21110096944187</v>
      </c>
      <c r="Q394" s="20">
        <f>IF(AND($B$39&lt;='1 - Titoli e shock'!$B$17,$C394&lt;='1 - Titoli e shock'!$B$17),$D$39*Q$6/2*(1-'1 - Titoli e shock'!$B$8),0)</f>
        <v>501.91700339772973</v>
      </c>
      <c r="R394" s="20">
        <f>IF(AND($B$39&lt;='1 - Titoli e shock'!$B$17,$C394&lt;='1 - Titoli e shock'!$B$17),$D$39*R$6/2*(1-'1 - Titoli e shock'!$B$8),0)</f>
        <v>510.61878811687745</v>
      </c>
      <c r="S394" s="20">
        <f>IF(AND($B$39&lt;='1 - Titoli e shock'!$B$17,$C394&lt;='1 - Titoli e shock'!$B$17),$D$39*S$6/2*(1-'1 - Titoli e shock'!$B$8),0)</f>
        <v>519.31646096414056</v>
      </c>
      <c r="T394" s="20">
        <f>IF(AND($B$39&lt;='1 - Titoli e shock'!$B$17,$C394&lt;='1 - Titoli e shock'!$B$17),$D$39*T$6/2*(1-'1 - Titoli e shock'!$B$8),0)</f>
        <v>528.01002776298935</v>
      </c>
      <c r="U394" s="20">
        <f>IF(AND($B$39&lt;='1 - Titoli e shock'!$B$17,$C394&lt;='1 - Titoli e shock'!$B$17),$D$39*U$6/2*(1-'1 - Titoli e shock'!$B$8),0)</f>
        <v>657.92472225759457</v>
      </c>
    </row>
    <row r="395" spans="1:21">
      <c r="A395" s="15" t="s">
        <v>267</v>
      </c>
      <c r="B395" s="22" t="str">
        <f>A39</f>
        <v>BTP 3,25% nov 2032</v>
      </c>
      <c r="C395" s="13">
        <f>EDATE($B$39,6*5)</f>
        <v>49444</v>
      </c>
      <c r="D395" s="23">
        <f>MAX(1,(YEAR(C395)-YEAR('1 - Titoli e shock'!$B$6))+IF(MONTH(C395)*100+DAY(C395)&gt;MONTH('1 - Titoli e shock'!$B$6)*100+DAY('1 - Titoli e shock'!$B$6),1,0))</f>
        <v>9</v>
      </c>
      <c r="F395" s="20">
        <f>IF(AND($B$39&lt;='1 - Titoli e shock'!$B$17,$C395&lt;='1 - Titoli e shock'!$B$17),$D$39*F$6/2*(1-'1 - Titoli e shock'!$B$8),0)</f>
        <v>309.42547252604783</v>
      </c>
      <c r="G395" s="20">
        <f>IF(AND($B$39&lt;='1 - Titoli e shock'!$B$17,$C395&lt;='1 - Titoli e shock'!$B$17),$D$39*G$6/2*(1-'1 - Titoli e shock'!$B$8),0)</f>
        <v>397.17272207190445</v>
      </c>
      <c r="H395" s="20">
        <f>IF(AND($B$39&lt;='1 - Titoli e shock'!$B$17,$C395&lt;='1 - Titoli e shock'!$B$17),$D$39*H$6/2*(1-'1 - Titoli e shock'!$B$8),0)</f>
        <v>484.50107498095389</v>
      </c>
      <c r="I395" s="20">
        <f>IF(AND($B$39&lt;='1 - Titoli e shock'!$B$17,$C395&lt;='1 - Titoli e shock'!$B$17),$D$39*I$6/2*(1-'1 - Titoli e shock'!$B$8),0)</f>
        <v>571.41647389369177</v>
      </c>
      <c r="J395" s="20">
        <f>IF(AND($B$39&lt;='1 - Titoli e shock'!$B$17,$C395&lt;='1 - Titoli e shock'!$B$17),$D$39*J$6/2*(1-'1 - Titoli e shock'!$B$8),0)</f>
        <v>419.04384730204015</v>
      </c>
      <c r="K395" s="20">
        <f>IF(AND($B$39&lt;='1 - Titoli e shock'!$B$17,$C395&lt;='1 - Titoli e shock'!$B$17),$D$39*K$6/2*(1-'1 - Titoli e shock'!$B$8),0)</f>
        <v>440.88888587434593</v>
      </c>
      <c r="L395" s="20">
        <f>IF(AND($B$39&lt;='1 - Titoli e shock'!$B$17,$C395&lt;='1 - Titoli e shock'!$B$17),$D$39*L$6/2*(1-'1 - Titoli e shock'!$B$8),0)</f>
        <v>449.61961791703584</v>
      </c>
      <c r="M395" s="20">
        <f>IF(AND($B$39&lt;='1 - Titoli e shock'!$B$17,$C395&lt;='1 - Titoli e shock'!$B$17),$D$39*M$6/2*(1-'1 - Titoli e shock'!$B$8),0)</f>
        <v>458.34619693517789</v>
      </c>
      <c r="N395" s="20">
        <f>IF(AND($B$39&lt;='1 - Titoli e shock'!$B$17,$C395&lt;='1 - Titoli e shock'!$B$17),$D$39*N$6/2*(1-'1 - Titoli e shock'!$B$8),0)</f>
        <v>467.06862884966154</v>
      </c>
      <c r="O395" s="20">
        <f>IF(AND($B$39&lt;='1 - Titoli e shock'!$B$17,$C395&lt;='1 - Titoli e shock'!$B$17),$D$39*O$6/2*(1-'1 - Titoli e shock'!$B$8),0)</f>
        <v>475.78691956730972</v>
      </c>
      <c r="P395" s="20">
        <f>IF(AND($B$39&lt;='1 - Titoli e shock'!$B$17,$C395&lt;='1 - Titoli e shock'!$B$17),$D$39*P$6/2*(1-'1 - Titoli e shock'!$B$8),0)</f>
        <v>493.21110096944187</v>
      </c>
      <c r="Q395" s="20">
        <f>IF(AND($B$39&lt;='1 - Titoli e shock'!$B$17,$C395&lt;='1 - Titoli e shock'!$B$17),$D$39*Q$6/2*(1-'1 - Titoli e shock'!$B$8),0)</f>
        <v>501.91700339772973</v>
      </c>
      <c r="R395" s="20">
        <f>IF(AND($B$39&lt;='1 - Titoli e shock'!$B$17,$C395&lt;='1 - Titoli e shock'!$B$17),$D$39*R$6/2*(1-'1 - Titoli e shock'!$B$8),0)</f>
        <v>510.61878811687745</v>
      </c>
      <c r="S395" s="20">
        <f>IF(AND($B$39&lt;='1 - Titoli e shock'!$B$17,$C395&lt;='1 - Titoli e shock'!$B$17),$D$39*S$6/2*(1-'1 - Titoli e shock'!$B$8),0)</f>
        <v>519.31646096414056</v>
      </c>
      <c r="T395" s="20">
        <f>IF(AND($B$39&lt;='1 - Titoli e shock'!$B$17,$C395&lt;='1 - Titoli e shock'!$B$17),$D$39*T$6/2*(1-'1 - Titoli e shock'!$B$8),0)</f>
        <v>528.01002776298935</v>
      </c>
      <c r="U395" s="20">
        <f>IF(AND($B$39&lt;='1 - Titoli e shock'!$B$17,$C395&lt;='1 - Titoli e shock'!$B$17),$D$39*U$6/2*(1-'1 - Titoli e shock'!$B$8),0)</f>
        <v>657.92472225759457</v>
      </c>
    </row>
    <row r="396" spans="1:21">
      <c r="A396" s="15" t="s">
        <v>267</v>
      </c>
      <c r="B396" s="22" t="str">
        <f>A39</f>
        <v>BTP 3,25% nov 2032</v>
      </c>
      <c r="C396" s="13">
        <f>EDATE($B$39,6*6)</f>
        <v>49628</v>
      </c>
      <c r="D396" s="23">
        <f>MAX(1,(YEAR(C396)-YEAR('1 - Titoli e shock'!$B$6))+IF(MONTH(C396)*100+DAY(C396)&gt;MONTH('1 - Titoli e shock'!$B$6)*100+DAY('1 - Titoli e shock'!$B$6),1,0))</f>
        <v>10</v>
      </c>
      <c r="F396" s="20">
        <f>IF(AND($B$39&lt;='1 - Titoli e shock'!$B$17,$C396&lt;='1 - Titoli e shock'!$B$17),$D$39*F$6/2*(1-'1 - Titoli e shock'!$B$8),0)</f>
        <v>309.42547252604783</v>
      </c>
      <c r="G396" s="20">
        <f>IF(AND($B$39&lt;='1 - Titoli e shock'!$B$17,$C396&lt;='1 - Titoli e shock'!$B$17),$D$39*G$6/2*(1-'1 - Titoli e shock'!$B$8),0)</f>
        <v>397.17272207190445</v>
      </c>
      <c r="H396" s="20">
        <f>IF(AND($B$39&lt;='1 - Titoli e shock'!$B$17,$C396&lt;='1 - Titoli e shock'!$B$17),$D$39*H$6/2*(1-'1 - Titoli e shock'!$B$8),0)</f>
        <v>484.50107498095389</v>
      </c>
      <c r="I396" s="20">
        <f>IF(AND($B$39&lt;='1 - Titoli e shock'!$B$17,$C396&lt;='1 - Titoli e shock'!$B$17),$D$39*I$6/2*(1-'1 - Titoli e shock'!$B$8),0)</f>
        <v>571.41647389369177</v>
      </c>
      <c r="J396" s="20">
        <f>IF(AND($B$39&lt;='1 - Titoli e shock'!$B$17,$C396&lt;='1 - Titoli e shock'!$B$17),$D$39*J$6/2*(1-'1 - Titoli e shock'!$B$8),0)</f>
        <v>419.04384730204015</v>
      </c>
      <c r="K396" s="20">
        <f>IF(AND($B$39&lt;='1 - Titoli e shock'!$B$17,$C396&lt;='1 - Titoli e shock'!$B$17),$D$39*K$6/2*(1-'1 - Titoli e shock'!$B$8),0)</f>
        <v>440.88888587434593</v>
      </c>
      <c r="L396" s="20">
        <f>IF(AND($B$39&lt;='1 - Titoli e shock'!$B$17,$C396&lt;='1 - Titoli e shock'!$B$17),$D$39*L$6/2*(1-'1 - Titoli e shock'!$B$8),0)</f>
        <v>449.61961791703584</v>
      </c>
      <c r="M396" s="20">
        <f>IF(AND($B$39&lt;='1 - Titoli e shock'!$B$17,$C396&lt;='1 - Titoli e shock'!$B$17),$D$39*M$6/2*(1-'1 - Titoli e shock'!$B$8),0)</f>
        <v>458.34619693517789</v>
      </c>
      <c r="N396" s="20">
        <f>IF(AND($B$39&lt;='1 - Titoli e shock'!$B$17,$C396&lt;='1 - Titoli e shock'!$B$17),$D$39*N$6/2*(1-'1 - Titoli e shock'!$B$8),0)</f>
        <v>467.06862884966154</v>
      </c>
      <c r="O396" s="20">
        <f>IF(AND($B$39&lt;='1 - Titoli e shock'!$B$17,$C396&lt;='1 - Titoli e shock'!$B$17),$D$39*O$6/2*(1-'1 - Titoli e shock'!$B$8),0)</f>
        <v>475.78691956730972</v>
      </c>
      <c r="P396" s="20">
        <f>IF(AND($B$39&lt;='1 - Titoli e shock'!$B$17,$C396&lt;='1 - Titoli e shock'!$B$17),$D$39*P$6/2*(1-'1 - Titoli e shock'!$B$8),0)</f>
        <v>493.21110096944187</v>
      </c>
      <c r="Q396" s="20">
        <f>IF(AND($B$39&lt;='1 - Titoli e shock'!$B$17,$C396&lt;='1 - Titoli e shock'!$B$17),$D$39*Q$6/2*(1-'1 - Titoli e shock'!$B$8),0)</f>
        <v>501.91700339772973</v>
      </c>
      <c r="R396" s="20">
        <f>IF(AND($B$39&lt;='1 - Titoli e shock'!$B$17,$C396&lt;='1 - Titoli e shock'!$B$17),$D$39*R$6/2*(1-'1 - Titoli e shock'!$B$8),0)</f>
        <v>510.61878811687745</v>
      </c>
      <c r="S396" s="20">
        <f>IF(AND($B$39&lt;='1 - Titoli e shock'!$B$17,$C396&lt;='1 - Titoli e shock'!$B$17),$D$39*S$6/2*(1-'1 - Titoli e shock'!$B$8),0)</f>
        <v>519.31646096414056</v>
      </c>
      <c r="T396" s="20">
        <f>IF(AND($B$39&lt;='1 - Titoli e shock'!$B$17,$C396&lt;='1 - Titoli e shock'!$B$17),$D$39*T$6/2*(1-'1 - Titoli e shock'!$B$8),0)</f>
        <v>528.01002776298935</v>
      </c>
      <c r="U396" s="20">
        <f>IF(AND($B$39&lt;='1 - Titoli e shock'!$B$17,$C396&lt;='1 - Titoli e shock'!$B$17),$D$39*U$6/2*(1-'1 - Titoli e shock'!$B$8),0)</f>
        <v>657.92472225759457</v>
      </c>
    </row>
    <row r="397" spans="1:21">
      <c r="A397" s="15" t="s">
        <v>267</v>
      </c>
      <c r="B397" s="22" t="str">
        <f>A39</f>
        <v>BTP 3,25% nov 2032</v>
      </c>
      <c r="C397" s="13">
        <f>EDATE($B$39,6*7)</f>
        <v>49810</v>
      </c>
      <c r="D397" s="23">
        <f>MAX(1,(YEAR(C397)-YEAR('1 - Titoli e shock'!$B$6))+IF(MONTH(C397)*100+DAY(C397)&gt;MONTH('1 - Titoli e shock'!$B$6)*100+DAY('1 - Titoli e shock'!$B$6),1,0))</f>
        <v>10</v>
      </c>
      <c r="F397" s="20">
        <f>IF(AND($B$39&lt;='1 - Titoli e shock'!$B$17,$C397&lt;='1 - Titoli e shock'!$B$17),$D$39*F$6/2*(1-'1 - Titoli e shock'!$B$8),0)</f>
        <v>309.42547252604783</v>
      </c>
      <c r="G397" s="20">
        <f>IF(AND($B$39&lt;='1 - Titoli e shock'!$B$17,$C397&lt;='1 - Titoli e shock'!$B$17),$D$39*G$6/2*(1-'1 - Titoli e shock'!$B$8),0)</f>
        <v>397.17272207190445</v>
      </c>
      <c r="H397" s="20">
        <f>IF(AND($B$39&lt;='1 - Titoli e shock'!$B$17,$C397&lt;='1 - Titoli e shock'!$B$17),$D$39*H$6/2*(1-'1 - Titoli e shock'!$B$8),0)</f>
        <v>484.50107498095389</v>
      </c>
      <c r="I397" s="20">
        <f>IF(AND($B$39&lt;='1 - Titoli e shock'!$B$17,$C397&lt;='1 - Titoli e shock'!$B$17),$D$39*I$6/2*(1-'1 - Titoli e shock'!$B$8),0)</f>
        <v>571.41647389369177</v>
      </c>
      <c r="J397" s="20">
        <f>IF(AND($B$39&lt;='1 - Titoli e shock'!$B$17,$C397&lt;='1 - Titoli e shock'!$B$17),$D$39*J$6/2*(1-'1 - Titoli e shock'!$B$8),0)</f>
        <v>419.04384730204015</v>
      </c>
      <c r="K397" s="20">
        <f>IF(AND($B$39&lt;='1 - Titoli e shock'!$B$17,$C397&lt;='1 - Titoli e shock'!$B$17),$D$39*K$6/2*(1-'1 - Titoli e shock'!$B$8),0)</f>
        <v>440.88888587434593</v>
      </c>
      <c r="L397" s="20">
        <f>IF(AND($B$39&lt;='1 - Titoli e shock'!$B$17,$C397&lt;='1 - Titoli e shock'!$B$17),$D$39*L$6/2*(1-'1 - Titoli e shock'!$B$8),0)</f>
        <v>449.61961791703584</v>
      </c>
      <c r="M397" s="20">
        <f>IF(AND($B$39&lt;='1 - Titoli e shock'!$B$17,$C397&lt;='1 - Titoli e shock'!$B$17),$D$39*M$6/2*(1-'1 - Titoli e shock'!$B$8),0)</f>
        <v>458.34619693517789</v>
      </c>
      <c r="N397" s="20">
        <f>IF(AND($B$39&lt;='1 - Titoli e shock'!$B$17,$C397&lt;='1 - Titoli e shock'!$B$17),$D$39*N$6/2*(1-'1 - Titoli e shock'!$B$8),0)</f>
        <v>467.06862884966154</v>
      </c>
      <c r="O397" s="20">
        <f>IF(AND($B$39&lt;='1 - Titoli e shock'!$B$17,$C397&lt;='1 - Titoli e shock'!$B$17),$D$39*O$6/2*(1-'1 - Titoli e shock'!$B$8),0)</f>
        <v>475.78691956730972</v>
      </c>
      <c r="P397" s="20">
        <f>IF(AND($B$39&lt;='1 - Titoli e shock'!$B$17,$C397&lt;='1 - Titoli e shock'!$B$17),$D$39*P$6/2*(1-'1 - Titoli e shock'!$B$8),0)</f>
        <v>493.21110096944187</v>
      </c>
      <c r="Q397" s="20">
        <f>IF(AND($B$39&lt;='1 - Titoli e shock'!$B$17,$C397&lt;='1 - Titoli e shock'!$B$17),$D$39*Q$6/2*(1-'1 - Titoli e shock'!$B$8),0)</f>
        <v>501.91700339772973</v>
      </c>
      <c r="R397" s="20">
        <f>IF(AND($B$39&lt;='1 - Titoli e shock'!$B$17,$C397&lt;='1 - Titoli e shock'!$B$17),$D$39*R$6/2*(1-'1 - Titoli e shock'!$B$8),0)</f>
        <v>510.61878811687745</v>
      </c>
      <c r="S397" s="20">
        <f>IF(AND($B$39&lt;='1 - Titoli e shock'!$B$17,$C397&lt;='1 - Titoli e shock'!$B$17),$D$39*S$6/2*(1-'1 - Titoli e shock'!$B$8),0)</f>
        <v>519.31646096414056</v>
      </c>
      <c r="T397" s="20">
        <f>IF(AND($B$39&lt;='1 - Titoli e shock'!$B$17,$C397&lt;='1 - Titoli e shock'!$B$17),$D$39*T$6/2*(1-'1 - Titoli e shock'!$B$8),0)</f>
        <v>528.01002776298935</v>
      </c>
      <c r="U397" s="20">
        <f>IF(AND($B$39&lt;='1 - Titoli e shock'!$B$17,$C397&lt;='1 - Titoli e shock'!$B$17),$D$39*U$6/2*(1-'1 - Titoli e shock'!$B$8),0)</f>
        <v>657.92472225759457</v>
      </c>
    </row>
    <row r="398" spans="1:21">
      <c r="A398" s="15" t="s">
        <v>267</v>
      </c>
      <c r="B398" s="22" t="str">
        <f>A39</f>
        <v>BTP 3,25% nov 2032</v>
      </c>
      <c r="C398" s="13">
        <f>EDATE($B$39,6*8)</f>
        <v>49994</v>
      </c>
      <c r="D398" s="23">
        <f>MAX(1,(YEAR(C398)-YEAR('1 - Titoli e shock'!$B$6))+IF(MONTH(C398)*100+DAY(C398)&gt;MONTH('1 - Titoli e shock'!$B$6)*100+DAY('1 - Titoli e shock'!$B$6),1,0))</f>
        <v>11</v>
      </c>
      <c r="F398" s="20">
        <f>IF(AND($B$39&lt;='1 - Titoli e shock'!$B$17,$C398&lt;='1 - Titoli e shock'!$B$17),$D$39*F$6/2*(1-'1 - Titoli e shock'!$B$8),0)</f>
        <v>0</v>
      </c>
      <c r="G398" s="20">
        <f>IF(AND($B$39&lt;='1 - Titoli e shock'!$B$17,$C398&lt;='1 - Titoli e shock'!$B$17),$D$39*G$6/2*(1-'1 - Titoli e shock'!$B$8),0)</f>
        <v>0</v>
      </c>
      <c r="H398" s="20">
        <f>IF(AND($B$39&lt;='1 - Titoli e shock'!$B$17,$C398&lt;='1 - Titoli e shock'!$B$17),$D$39*H$6/2*(1-'1 - Titoli e shock'!$B$8),0)</f>
        <v>0</v>
      </c>
      <c r="I398" s="20">
        <f>IF(AND($B$39&lt;='1 - Titoli e shock'!$B$17,$C398&lt;='1 - Titoli e shock'!$B$17),$D$39*I$6/2*(1-'1 - Titoli e shock'!$B$8),0)</f>
        <v>0</v>
      </c>
      <c r="J398" s="20">
        <f>IF(AND($B$39&lt;='1 - Titoli e shock'!$B$17,$C398&lt;='1 - Titoli e shock'!$B$17),$D$39*J$6/2*(1-'1 - Titoli e shock'!$B$8),0)</f>
        <v>0</v>
      </c>
      <c r="K398" s="20">
        <f>IF(AND($B$39&lt;='1 - Titoli e shock'!$B$17,$C398&lt;='1 - Titoli e shock'!$B$17),$D$39*K$6/2*(1-'1 - Titoli e shock'!$B$8),0)</f>
        <v>0</v>
      </c>
      <c r="L398" s="20">
        <f>IF(AND($B$39&lt;='1 - Titoli e shock'!$B$17,$C398&lt;='1 - Titoli e shock'!$B$17),$D$39*L$6/2*(1-'1 - Titoli e shock'!$B$8),0)</f>
        <v>0</v>
      </c>
      <c r="M398" s="20">
        <f>IF(AND($B$39&lt;='1 - Titoli e shock'!$B$17,$C398&lt;='1 - Titoli e shock'!$B$17),$D$39*M$6/2*(1-'1 - Titoli e shock'!$B$8),0)</f>
        <v>0</v>
      </c>
      <c r="N398" s="20">
        <f>IF(AND($B$39&lt;='1 - Titoli e shock'!$B$17,$C398&lt;='1 - Titoli e shock'!$B$17),$D$39*N$6/2*(1-'1 - Titoli e shock'!$B$8),0)</f>
        <v>0</v>
      </c>
      <c r="O398" s="20">
        <f>IF(AND($B$39&lt;='1 - Titoli e shock'!$B$17,$C398&lt;='1 - Titoli e shock'!$B$17),$D$39*O$6/2*(1-'1 - Titoli e shock'!$B$8),0)</f>
        <v>0</v>
      </c>
      <c r="P398" s="20">
        <f>IF(AND($B$39&lt;='1 - Titoli e shock'!$B$17,$C398&lt;='1 - Titoli e shock'!$B$17),$D$39*P$6/2*(1-'1 - Titoli e shock'!$B$8),0)</f>
        <v>0</v>
      </c>
      <c r="Q398" s="20">
        <f>IF(AND($B$39&lt;='1 - Titoli e shock'!$B$17,$C398&lt;='1 - Titoli e shock'!$B$17),$D$39*Q$6/2*(1-'1 - Titoli e shock'!$B$8),0)</f>
        <v>0</v>
      </c>
      <c r="R398" s="20">
        <f>IF(AND($B$39&lt;='1 - Titoli e shock'!$B$17,$C398&lt;='1 - Titoli e shock'!$B$17),$D$39*R$6/2*(1-'1 - Titoli e shock'!$B$8),0)</f>
        <v>0</v>
      </c>
      <c r="S398" s="20">
        <f>IF(AND($B$39&lt;='1 - Titoli e shock'!$B$17,$C398&lt;='1 - Titoli e shock'!$B$17),$D$39*S$6/2*(1-'1 - Titoli e shock'!$B$8),0)</f>
        <v>0</v>
      </c>
      <c r="T398" s="20">
        <f>IF(AND($B$39&lt;='1 - Titoli e shock'!$B$17,$C398&lt;='1 - Titoli e shock'!$B$17),$D$39*T$6/2*(1-'1 - Titoli e shock'!$B$8),0)</f>
        <v>0</v>
      </c>
      <c r="U398" s="20">
        <f>IF(AND($B$39&lt;='1 - Titoli e shock'!$B$17,$C398&lt;='1 - Titoli e shock'!$B$17),$D$39*U$6/2*(1-'1 - Titoli e shock'!$B$8),0)</f>
        <v>0</v>
      </c>
    </row>
    <row r="399" spans="1:21">
      <c r="A399" s="15" t="s">
        <v>267</v>
      </c>
      <c r="B399" s="22" t="str">
        <f>A39</f>
        <v>BTP 3,25% nov 2032</v>
      </c>
      <c r="C399" s="13">
        <f>EDATE($B$39,6*9)</f>
        <v>50175</v>
      </c>
      <c r="D399" s="23">
        <f>MAX(1,(YEAR(C399)-YEAR('1 - Titoli e shock'!$B$6))+IF(MONTH(C399)*100+DAY(C399)&gt;MONTH('1 - Titoli e shock'!$B$6)*100+DAY('1 - Titoli e shock'!$B$6),1,0))</f>
        <v>11</v>
      </c>
      <c r="F399" s="20">
        <f>IF(AND($B$39&lt;='1 - Titoli e shock'!$B$17,$C399&lt;='1 - Titoli e shock'!$B$17),$D$39*F$6/2*(1-'1 - Titoli e shock'!$B$8),0)</f>
        <v>0</v>
      </c>
      <c r="G399" s="20">
        <f>IF(AND($B$39&lt;='1 - Titoli e shock'!$B$17,$C399&lt;='1 - Titoli e shock'!$B$17),$D$39*G$6/2*(1-'1 - Titoli e shock'!$B$8),0)</f>
        <v>0</v>
      </c>
      <c r="H399" s="20">
        <f>IF(AND($B$39&lt;='1 - Titoli e shock'!$B$17,$C399&lt;='1 - Titoli e shock'!$B$17),$D$39*H$6/2*(1-'1 - Titoli e shock'!$B$8),0)</f>
        <v>0</v>
      </c>
      <c r="I399" s="20">
        <f>IF(AND($B$39&lt;='1 - Titoli e shock'!$B$17,$C399&lt;='1 - Titoli e shock'!$B$17),$D$39*I$6/2*(1-'1 - Titoli e shock'!$B$8),0)</f>
        <v>0</v>
      </c>
      <c r="J399" s="20">
        <f>IF(AND($B$39&lt;='1 - Titoli e shock'!$B$17,$C399&lt;='1 - Titoli e shock'!$B$17),$D$39*J$6/2*(1-'1 - Titoli e shock'!$B$8),0)</f>
        <v>0</v>
      </c>
      <c r="K399" s="20">
        <f>IF(AND($B$39&lt;='1 - Titoli e shock'!$B$17,$C399&lt;='1 - Titoli e shock'!$B$17),$D$39*K$6/2*(1-'1 - Titoli e shock'!$B$8),0)</f>
        <v>0</v>
      </c>
      <c r="L399" s="20">
        <f>IF(AND($B$39&lt;='1 - Titoli e shock'!$B$17,$C399&lt;='1 - Titoli e shock'!$B$17),$D$39*L$6/2*(1-'1 - Titoli e shock'!$B$8),0)</f>
        <v>0</v>
      </c>
      <c r="M399" s="20">
        <f>IF(AND($B$39&lt;='1 - Titoli e shock'!$B$17,$C399&lt;='1 - Titoli e shock'!$B$17),$D$39*M$6/2*(1-'1 - Titoli e shock'!$B$8),0)</f>
        <v>0</v>
      </c>
      <c r="N399" s="20">
        <f>IF(AND($B$39&lt;='1 - Titoli e shock'!$B$17,$C399&lt;='1 - Titoli e shock'!$B$17),$D$39*N$6/2*(1-'1 - Titoli e shock'!$B$8),0)</f>
        <v>0</v>
      </c>
      <c r="O399" s="20">
        <f>IF(AND($B$39&lt;='1 - Titoli e shock'!$B$17,$C399&lt;='1 - Titoli e shock'!$B$17),$D$39*O$6/2*(1-'1 - Titoli e shock'!$B$8),0)</f>
        <v>0</v>
      </c>
      <c r="P399" s="20">
        <f>IF(AND($B$39&lt;='1 - Titoli e shock'!$B$17,$C399&lt;='1 - Titoli e shock'!$B$17),$D$39*P$6/2*(1-'1 - Titoli e shock'!$B$8),0)</f>
        <v>0</v>
      </c>
      <c r="Q399" s="20">
        <f>IF(AND($B$39&lt;='1 - Titoli e shock'!$B$17,$C399&lt;='1 - Titoli e shock'!$B$17),$D$39*Q$6/2*(1-'1 - Titoli e shock'!$B$8),0)</f>
        <v>0</v>
      </c>
      <c r="R399" s="20">
        <f>IF(AND($B$39&lt;='1 - Titoli e shock'!$B$17,$C399&lt;='1 - Titoli e shock'!$B$17),$D$39*R$6/2*(1-'1 - Titoli e shock'!$B$8),0)</f>
        <v>0</v>
      </c>
      <c r="S399" s="20">
        <f>IF(AND($B$39&lt;='1 - Titoli e shock'!$B$17,$C399&lt;='1 - Titoli e shock'!$B$17),$D$39*S$6/2*(1-'1 - Titoli e shock'!$B$8),0)</f>
        <v>0</v>
      </c>
      <c r="T399" s="20">
        <f>IF(AND($B$39&lt;='1 - Titoli e shock'!$B$17,$C399&lt;='1 - Titoli e shock'!$B$17),$D$39*T$6/2*(1-'1 - Titoli e shock'!$B$8),0)</f>
        <v>0</v>
      </c>
      <c r="U399" s="20">
        <f>IF(AND($B$39&lt;='1 - Titoli e shock'!$B$17,$C399&lt;='1 - Titoli e shock'!$B$17),$D$39*U$6/2*(1-'1 - Titoli e shock'!$B$8),0)</f>
        <v>0</v>
      </c>
    </row>
    <row r="400" spans="1:21">
      <c r="A400" s="15" t="s">
        <v>267</v>
      </c>
      <c r="B400" s="22" t="str">
        <f>A39</f>
        <v>BTP 3,25% nov 2032</v>
      </c>
      <c r="C400" s="13">
        <f>EDATE($B$39,6*10)</f>
        <v>50359</v>
      </c>
      <c r="D400" s="23">
        <f>MAX(1,(YEAR(C400)-YEAR('1 - Titoli e shock'!$B$6))+IF(MONTH(C400)*100+DAY(C400)&gt;MONTH('1 - Titoli e shock'!$B$6)*100+DAY('1 - Titoli e shock'!$B$6),1,0))</f>
        <v>12</v>
      </c>
      <c r="F400" s="20">
        <f>IF(AND($B$39&lt;='1 - Titoli e shock'!$B$17,$C400&lt;='1 - Titoli e shock'!$B$17),$D$39*F$6/2*(1-'1 - Titoli e shock'!$B$8),0)</f>
        <v>0</v>
      </c>
      <c r="G400" s="20">
        <f>IF(AND($B$39&lt;='1 - Titoli e shock'!$B$17,$C400&lt;='1 - Titoli e shock'!$B$17),$D$39*G$6/2*(1-'1 - Titoli e shock'!$B$8),0)</f>
        <v>0</v>
      </c>
      <c r="H400" s="20">
        <f>IF(AND($B$39&lt;='1 - Titoli e shock'!$B$17,$C400&lt;='1 - Titoli e shock'!$B$17),$D$39*H$6/2*(1-'1 - Titoli e shock'!$B$8),0)</f>
        <v>0</v>
      </c>
      <c r="I400" s="20">
        <f>IF(AND($B$39&lt;='1 - Titoli e shock'!$B$17,$C400&lt;='1 - Titoli e shock'!$B$17),$D$39*I$6/2*(1-'1 - Titoli e shock'!$B$8),0)</f>
        <v>0</v>
      </c>
      <c r="J400" s="20">
        <f>IF(AND($B$39&lt;='1 - Titoli e shock'!$B$17,$C400&lt;='1 - Titoli e shock'!$B$17),$D$39*J$6/2*(1-'1 - Titoli e shock'!$B$8),0)</f>
        <v>0</v>
      </c>
      <c r="K400" s="20">
        <f>IF(AND($B$39&lt;='1 - Titoli e shock'!$B$17,$C400&lt;='1 - Titoli e shock'!$B$17),$D$39*K$6/2*(1-'1 - Titoli e shock'!$B$8),0)</f>
        <v>0</v>
      </c>
      <c r="L400" s="20">
        <f>IF(AND($B$39&lt;='1 - Titoli e shock'!$B$17,$C400&lt;='1 - Titoli e shock'!$B$17),$D$39*L$6/2*(1-'1 - Titoli e shock'!$B$8),0)</f>
        <v>0</v>
      </c>
      <c r="M400" s="20">
        <f>IF(AND($B$39&lt;='1 - Titoli e shock'!$B$17,$C400&lt;='1 - Titoli e shock'!$B$17),$D$39*M$6/2*(1-'1 - Titoli e shock'!$B$8),0)</f>
        <v>0</v>
      </c>
      <c r="N400" s="20">
        <f>IF(AND($B$39&lt;='1 - Titoli e shock'!$B$17,$C400&lt;='1 - Titoli e shock'!$B$17),$D$39*N$6/2*(1-'1 - Titoli e shock'!$B$8),0)</f>
        <v>0</v>
      </c>
      <c r="O400" s="20">
        <f>IF(AND($B$39&lt;='1 - Titoli e shock'!$B$17,$C400&lt;='1 - Titoli e shock'!$B$17),$D$39*O$6/2*(1-'1 - Titoli e shock'!$B$8),0)</f>
        <v>0</v>
      </c>
      <c r="P400" s="20">
        <f>IF(AND($B$39&lt;='1 - Titoli e shock'!$B$17,$C400&lt;='1 - Titoli e shock'!$B$17),$D$39*P$6/2*(1-'1 - Titoli e shock'!$B$8),0)</f>
        <v>0</v>
      </c>
      <c r="Q400" s="20">
        <f>IF(AND($B$39&lt;='1 - Titoli e shock'!$B$17,$C400&lt;='1 - Titoli e shock'!$B$17),$D$39*Q$6/2*(1-'1 - Titoli e shock'!$B$8),0)</f>
        <v>0</v>
      </c>
      <c r="R400" s="20">
        <f>IF(AND($B$39&lt;='1 - Titoli e shock'!$B$17,$C400&lt;='1 - Titoli e shock'!$B$17),$D$39*R$6/2*(1-'1 - Titoli e shock'!$B$8),0)</f>
        <v>0</v>
      </c>
      <c r="S400" s="20">
        <f>IF(AND($B$39&lt;='1 - Titoli e shock'!$B$17,$C400&lt;='1 - Titoli e shock'!$B$17),$D$39*S$6/2*(1-'1 - Titoli e shock'!$B$8),0)</f>
        <v>0</v>
      </c>
      <c r="T400" s="20">
        <f>IF(AND($B$39&lt;='1 - Titoli e shock'!$B$17,$C400&lt;='1 - Titoli e shock'!$B$17),$D$39*T$6/2*(1-'1 - Titoli e shock'!$B$8),0)</f>
        <v>0</v>
      </c>
      <c r="U400" s="20">
        <f>IF(AND($B$39&lt;='1 - Titoli e shock'!$B$17,$C400&lt;='1 - Titoli e shock'!$B$17),$D$39*U$6/2*(1-'1 - Titoli e shock'!$B$8),0)</f>
        <v>0</v>
      </c>
    </row>
    <row r="401" spans="1:21">
      <c r="A401" s="15" t="s">
        <v>267</v>
      </c>
      <c r="B401" s="22" t="str">
        <f>A39</f>
        <v>BTP 3,25% nov 2032</v>
      </c>
      <c r="C401" s="13">
        <f>EDATE($B$39,6*11)</f>
        <v>50540</v>
      </c>
      <c r="D401" s="23">
        <f>MAX(1,(YEAR(C401)-YEAR('1 - Titoli e shock'!$B$6))+IF(MONTH(C401)*100+DAY(C401)&gt;MONTH('1 - Titoli e shock'!$B$6)*100+DAY('1 - Titoli e shock'!$B$6),1,0))</f>
        <v>12</v>
      </c>
      <c r="F401" s="20">
        <f>IF(AND($B$39&lt;='1 - Titoli e shock'!$B$17,$C401&lt;='1 - Titoli e shock'!$B$17),$D$39*F$6/2*(1-'1 - Titoli e shock'!$B$8),0)</f>
        <v>0</v>
      </c>
      <c r="G401" s="20">
        <f>IF(AND($B$39&lt;='1 - Titoli e shock'!$B$17,$C401&lt;='1 - Titoli e shock'!$B$17),$D$39*G$6/2*(1-'1 - Titoli e shock'!$B$8),0)</f>
        <v>0</v>
      </c>
      <c r="H401" s="20">
        <f>IF(AND($B$39&lt;='1 - Titoli e shock'!$B$17,$C401&lt;='1 - Titoli e shock'!$B$17),$D$39*H$6/2*(1-'1 - Titoli e shock'!$B$8),0)</f>
        <v>0</v>
      </c>
      <c r="I401" s="20">
        <f>IF(AND($B$39&lt;='1 - Titoli e shock'!$B$17,$C401&lt;='1 - Titoli e shock'!$B$17),$D$39*I$6/2*(1-'1 - Titoli e shock'!$B$8),0)</f>
        <v>0</v>
      </c>
      <c r="J401" s="20">
        <f>IF(AND($B$39&lt;='1 - Titoli e shock'!$B$17,$C401&lt;='1 - Titoli e shock'!$B$17),$D$39*J$6/2*(1-'1 - Titoli e shock'!$B$8),0)</f>
        <v>0</v>
      </c>
      <c r="K401" s="20">
        <f>IF(AND($B$39&lt;='1 - Titoli e shock'!$B$17,$C401&lt;='1 - Titoli e shock'!$B$17),$D$39*K$6/2*(1-'1 - Titoli e shock'!$B$8),0)</f>
        <v>0</v>
      </c>
      <c r="L401" s="20">
        <f>IF(AND($B$39&lt;='1 - Titoli e shock'!$B$17,$C401&lt;='1 - Titoli e shock'!$B$17),$D$39*L$6/2*(1-'1 - Titoli e shock'!$B$8),0)</f>
        <v>0</v>
      </c>
      <c r="M401" s="20">
        <f>IF(AND($B$39&lt;='1 - Titoli e shock'!$B$17,$C401&lt;='1 - Titoli e shock'!$B$17),$D$39*M$6/2*(1-'1 - Titoli e shock'!$B$8),0)</f>
        <v>0</v>
      </c>
      <c r="N401" s="20">
        <f>IF(AND($B$39&lt;='1 - Titoli e shock'!$B$17,$C401&lt;='1 - Titoli e shock'!$B$17),$D$39*N$6/2*(1-'1 - Titoli e shock'!$B$8),0)</f>
        <v>0</v>
      </c>
      <c r="O401" s="20">
        <f>IF(AND($B$39&lt;='1 - Titoli e shock'!$B$17,$C401&lt;='1 - Titoli e shock'!$B$17),$D$39*O$6/2*(1-'1 - Titoli e shock'!$B$8),0)</f>
        <v>0</v>
      </c>
      <c r="P401" s="20">
        <f>IF(AND($B$39&lt;='1 - Titoli e shock'!$B$17,$C401&lt;='1 - Titoli e shock'!$B$17),$D$39*P$6/2*(1-'1 - Titoli e shock'!$B$8),0)</f>
        <v>0</v>
      </c>
      <c r="Q401" s="20">
        <f>IF(AND($B$39&lt;='1 - Titoli e shock'!$B$17,$C401&lt;='1 - Titoli e shock'!$B$17),$D$39*Q$6/2*(1-'1 - Titoli e shock'!$B$8),0)</f>
        <v>0</v>
      </c>
      <c r="R401" s="20">
        <f>IF(AND($B$39&lt;='1 - Titoli e shock'!$B$17,$C401&lt;='1 - Titoli e shock'!$B$17),$D$39*R$6/2*(1-'1 - Titoli e shock'!$B$8),0)</f>
        <v>0</v>
      </c>
      <c r="S401" s="20">
        <f>IF(AND($B$39&lt;='1 - Titoli e shock'!$B$17,$C401&lt;='1 - Titoli e shock'!$B$17),$D$39*S$6/2*(1-'1 - Titoli e shock'!$B$8),0)</f>
        <v>0</v>
      </c>
      <c r="T401" s="20">
        <f>IF(AND($B$39&lt;='1 - Titoli e shock'!$B$17,$C401&lt;='1 - Titoli e shock'!$B$17),$D$39*T$6/2*(1-'1 - Titoli e shock'!$B$8),0)</f>
        <v>0</v>
      </c>
      <c r="U401" s="20">
        <f>IF(AND($B$39&lt;='1 - Titoli e shock'!$B$17,$C401&lt;='1 - Titoli e shock'!$B$17),$D$39*U$6/2*(1-'1 - Titoli e shock'!$B$8),0)</f>
        <v>0</v>
      </c>
    </row>
    <row r="402" spans="1:21">
      <c r="A402" s="15" t="s">
        <v>267</v>
      </c>
      <c r="B402" s="22" t="str">
        <f>A39</f>
        <v>BTP 3,25% nov 2032</v>
      </c>
      <c r="C402" s="13">
        <f>EDATE($B$39,6*12)</f>
        <v>50724</v>
      </c>
      <c r="D402" s="23">
        <f>MAX(1,(YEAR(C402)-YEAR('1 - Titoli e shock'!$B$6))+IF(MONTH(C402)*100+DAY(C402)&gt;MONTH('1 - Titoli e shock'!$B$6)*100+DAY('1 - Titoli e shock'!$B$6),1,0))</f>
        <v>13</v>
      </c>
      <c r="F402" s="20">
        <f>IF(AND($B$39&lt;='1 - Titoli e shock'!$B$17,$C402&lt;='1 - Titoli e shock'!$B$17),$D$39*F$6/2*(1-'1 - Titoli e shock'!$B$8),0)</f>
        <v>0</v>
      </c>
      <c r="G402" s="20">
        <f>IF(AND($B$39&lt;='1 - Titoli e shock'!$B$17,$C402&lt;='1 - Titoli e shock'!$B$17),$D$39*G$6/2*(1-'1 - Titoli e shock'!$B$8),0)</f>
        <v>0</v>
      </c>
      <c r="H402" s="20">
        <f>IF(AND($B$39&lt;='1 - Titoli e shock'!$B$17,$C402&lt;='1 - Titoli e shock'!$B$17),$D$39*H$6/2*(1-'1 - Titoli e shock'!$B$8),0)</f>
        <v>0</v>
      </c>
      <c r="I402" s="20">
        <f>IF(AND($B$39&lt;='1 - Titoli e shock'!$B$17,$C402&lt;='1 - Titoli e shock'!$B$17),$D$39*I$6/2*(1-'1 - Titoli e shock'!$B$8),0)</f>
        <v>0</v>
      </c>
      <c r="J402" s="20">
        <f>IF(AND($B$39&lt;='1 - Titoli e shock'!$B$17,$C402&lt;='1 - Titoli e shock'!$B$17),$D$39*J$6/2*(1-'1 - Titoli e shock'!$B$8),0)</f>
        <v>0</v>
      </c>
      <c r="K402" s="20">
        <f>IF(AND($B$39&lt;='1 - Titoli e shock'!$B$17,$C402&lt;='1 - Titoli e shock'!$B$17),$D$39*K$6/2*(1-'1 - Titoli e shock'!$B$8),0)</f>
        <v>0</v>
      </c>
      <c r="L402" s="20">
        <f>IF(AND($B$39&lt;='1 - Titoli e shock'!$B$17,$C402&lt;='1 - Titoli e shock'!$B$17),$D$39*L$6/2*(1-'1 - Titoli e shock'!$B$8),0)</f>
        <v>0</v>
      </c>
      <c r="M402" s="20">
        <f>IF(AND($B$39&lt;='1 - Titoli e shock'!$B$17,$C402&lt;='1 - Titoli e shock'!$B$17),$D$39*M$6/2*(1-'1 - Titoli e shock'!$B$8),0)</f>
        <v>0</v>
      </c>
      <c r="N402" s="20">
        <f>IF(AND($B$39&lt;='1 - Titoli e shock'!$B$17,$C402&lt;='1 - Titoli e shock'!$B$17),$D$39*N$6/2*(1-'1 - Titoli e shock'!$B$8),0)</f>
        <v>0</v>
      </c>
      <c r="O402" s="20">
        <f>IF(AND($B$39&lt;='1 - Titoli e shock'!$B$17,$C402&lt;='1 - Titoli e shock'!$B$17),$D$39*O$6/2*(1-'1 - Titoli e shock'!$B$8),0)</f>
        <v>0</v>
      </c>
      <c r="P402" s="20">
        <f>IF(AND($B$39&lt;='1 - Titoli e shock'!$B$17,$C402&lt;='1 - Titoli e shock'!$B$17),$D$39*P$6/2*(1-'1 - Titoli e shock'!$B$8),0)</f>
        <v>0</v>
      </c>
      <c r="Q402" s="20">
        <f>IF(AND($B$39&lt;='1 - Titoli e shock'!$B$17,$C402&lt;='1 - Titoli e shock'!$B$17),$D$39*Q$6/2*(1-'1 - Titoli e shock'!$B$8),0)</f>
        <v>0</v>
      </c>
      <c r="R402" s="20">
        <f>IF(AND($B$39&lt;='1 - Titoli e shock'!$B$17,$C402&lt;='1 - Titoli e shock'!$B$17),$D$39*R$6/2*(1-'1 - Titoli e shock'!$B$8),0)</f>
        <v>0</v>
      </c>
      <c r="S402" s="20">
        <f>IF(AND($B$39&lt;='1 - Titoli e shock'!$B$17,$C402&lt;='1 - Titoli e shock'!$B$17),$D$39*S$6/2*(1-'1 - Titoli e shock'!$B$8),0)</f>
        <v>0</v>
      </c>
      <c r="T402" s="20">
        <f>IF(AND($B$39&lt;='1 - Titoli e shock'!$B$17,$C402&lt;='1 - Titoli e shock'!$B$17),$D$39*T$6/2*(1-'1 - Titoli e shock'!$B$8),0)</f>
        <v>0</v>
      </c>
      <c r="U402" s="20">
        <f>IF(AND($B$39&lt;='1 - Titoli e shock'!$B$17,$C402&lt;='1 - Titoli e shock'!$B$17),$D$39*U$6/2*(1-'1 - Titoli e shock'!$B$8),0)</f>
        <v>0</v>
      </c>
    </row>
    <row r="403" spans="1:21">
      <c r="A403" s="15" t="s">
        <v>267</v>
      </c>
      <c r="B403" s="22" t="str">
        <f>A39</f>
        <v>BTP 3,25% nov 2032</v>
      </c>
      <c r="C403" s="13">
        <f>EDATE($B$39,6*13)</f>
        <v>50905</v>
      </c>
      <c r="D403" s="23">
        <f>MAX(1,(YEAR(C403)-YEAR('1 - Titoli e shock'!$B$6))+IF(MONTH(C403)*100+DAY(C403)&gt;MONTH('1 - Titoli e shock'!$B$6)*100+DAY('1 - Titoli e shock'!$B$6),1,0))</f>
        <v>13</v>
      </c>
      <c r="F403" s="20">
        <f>IF(AND($B$39&lt;='1 - Titoli e shock'!$B$17,$C403&lt;='1 - Titoli e shock'!$B$17),$D$39*F$6/2*(1-'1 - Titoli e shock'!$B$8),0)</f>
        <v>0</v>
      </c>
      <c r="G403" s="20">
        <f>IF(AND($B$39&lt;='1 - Titoli e shock'!$B$17,$C403&lt;='1 - Titoli e shock'!$B$17),$D$39*G$6/2*(1-'1 - Titoli e shock'!$B$8),0)</f>
        <v>0</v>
      </c>
      <c r="H403" s="20">
        <f>IF(AND($B$39&lt;='1 - Titoli e shock'!$B$17,$C403&lt;='1 - Titoli e shock'!$B$17),$D$39*H$6/2*(1-'1 - Titoli e shock'!$B$8),0)</f>
        <v>0</v>
      </c>
      <c r="I403" s="20">
        <f>IF(AND($B$39&lt;='1 - Titoli e shock'!$B$17,$C403&lt;='1 - Titoli e shock'!$B$17),$D$39*I$6/2*(1-'1 - Titoli e shock'!$B$8),0)</f>
        <v>0</v>
      </c>
      <c r="J403" s="20">
        <f>IF(AND($B$39&lt;='1 - Titoli e shock'!$B$17,$C403&lt;='1 - Titoli e shock'!$B$17),$D$39*J$6/2*(1-'1 - Titoli e shock'!$B$8),0)</f>
        <v>0</v>
      </c>
      <c r="K403" s="20">
        <f>IF(AND($B$39&lt;='1 - Titoli e shock'!$B$17,$C403&lt;='1 - Titoli e shock'!$B$17),$D$39*K$6/2*(1-'1 - Titoli e shock'!$B$8),0)</f>
        <v>0</v>
      </c>
      <c r="L403" s="20">
        <f>IF(AND($B$39&lt;='1 - Titoli e shock'!$B$17,$C403&lt;='1 - Titoli e shock'!$B$17),$D$39*L$6/2*(1-'1 - Titoli e shock'!$B$8),0)</f>
        <v>0</v>
      </c>
      <c r="M403" s="20">
        <f>IF(AND($B$39&lt;='1 - Titoli e shock'!$B$17,$C403&lt;='1 - Titoli e shock'!$B$17),$D$39*M$6/2*(1-'1 - Titoli e shock'!$B$8),0)</f>
        <v>0</v>
      </c>
      <c r="N403" s="20">
        <f>IF(AND($B$39&lt;='1 - Titoli e shock'!$B$17,$C403&lt;='1 - Titoli e shock'!$B$17),$D$39*N$6/2*(1-'1 - Titoli e shock'!$B$8),0)</f>
        <v>0</v>
      </c>
      <c r="O403" s="20">
        <f>IF(AND($B$39&lt;='1 - Titoli e shock'!$B$17,$C403&lt;='1 - Titoli e shock'!$B$17),$D$39*O$6/2*(1-'1 - Titoli e shock'!$B$8),0)</f>
        <v>0</v>
      </c>
      <c r="P403" s="20">
        <f>IF(AND($B$39&lt;='1 - Titoli e shock'!$B$17,$C403&lt;='1 - Titoli e shock'!$B$17),$D$39*P$6/2*(1-'1 - Titoli e shock'!$B$8),0)</f>
        <v>0</v>
      </c>
      <c r="Q403" s="20">
        <f>IF(AND($B$39&lt;='1 - Titoli e shock'!$B$17,$C403&lt;='1 - Titoli e shock'!$B$17),$D$39*Q$6/2*(1-'1 - Titoli e shock'!$B$8),0)</f>
        <v>0</v>
      </c>
      <c r="R403" s="20">
        <f>IF(AND($B$39&lt;='1 - Titoli e shock'!$B$17,$C403&lt;='1 - Titoli e shock'!$B$17),$D$39*R$6/2*(1-'1 - Titoli e shock'!$B$8),0)</f>
        <v>0</v>
      </c>
      <c r="S403" s="20">
        <f>IF(AND($B$39&lt;='1 - Titoli e shock'!$B$17,$C403&lt;='1 - Titoli e shock'!$B$17),$D$39*S$6/2*(1-'1 - Titoli e shock'!$B$8),0)</f>
        <v>0</v>
      </c>
      <c r="T403" s="20">
        <f>IF(AND($B$39&lt;='1 - Titoli e shock'!$B$17,$C403&lt;='1 - Titoli e shock'!$B$17),$D$39*T$6/2*(1-'1 - Titoli e shock'!$B$8),0)</f>
        <v>0</v>
      </c>
      <c r="U403" s="20">
        <f>IF(AND($B$39&lt;='1 - Titoli e shock'!$B$17,$C403&lt;='1 - Titoli e shock'!$B$17),$D$39*U$6/2*(1-'1 - Titoli e shock'!$B$8),0)</f>
        <v>0</v>
      </c>
    </row>
    <row r="404" spans="1:21">
      <c r="A404" s="15" t="s">
        <v>267</v>
      </c>
      <c r="B404" s="22" t="str">
        <f>A39</f>
        <v>BTP 3,25% nov 2032</v>
      </c>
      <c r="C404" s="13">
        <f>EDATE($B$39,6*14)</f>
        <v>51089</v>
      </c>
      <c r="D404" s="23">
        <f>MAX(1,(YEAR(C404)-YEAR('1 - Titoli e shock'!$B$6))+IF(MONTH(C404)*100+DAY(C404)&gt;MONTH('1 - Titoli e shock'!$B$6)*100+DAY('1 - Titoli e shock'!$B$6),1,0))</f>
        <v>14</v>
      </c>
      <c r="F404" s="20">
        <f>IF(AND($B$39&lt;='1 - Titoli e shock'!$B$17,$C404&lt;='1 - Titoli e shock'!$B$17),$D$39*F$6/2*(1-'1 - Titoli e shock'!$B$8),0)</f>
        <v>0</v>
      </c>
      <c r="G404" s="20">
        <f>IF(AND($B$39&lt;='1 - Titoli e shock'!$B$17,$C404&lt;='1 - Titoli e shock'!$B$17),$D$39*G$6/2*(1-'1 - Titoli e shock'!$B$8),0)</f>
        <v>0</v>
      </c>
      <c r="H404" s="20">
        <f>IF(AND($B$39&lt;='1 - Titoli e shock'!$B$17,$C404&lt;='1 - Titoli e shock'!$B$17),$D$39*H$6/2*(1-'1 - Titoli e shock'!$B$8),0)</f>
        <v>0</v>
      </c>
      <c r="I404" s="20">
        <f>IF(AND($B$39&lt;='1 - Titoli e shock'!$B$17,$C404&lt;='1 - Titoli e shock'!$B$17),$D$39*I$6/2*(1-'1 - Titoli e shock'!$B$8),0)</f>
        <v>0</v>
      </c>
      <c r="J404" s="20">
        <f>IF(AND($B$39&lt;='1 - Titoli e shock'!$B$17,$C404&lt;='1 - Titoli e shock'!$B$17),$D$39*J$6/2*(1-'1 - Titoli e shock'!$B$8),0)</f>
        <v>0</v>
      </c>
      <c r="K404" s="20">
        <f>IF(AND($B$39&lt;='1 - Titoli e shock'!$B$17,$C404&lt;='1 - Titoli e shock'!$B$17),$D$39*K$6/2*(1-'1 - Titoli e shock'!$B$8),0)</f>
        <v>0</v>
      </c>
      <c r="L404" s="20">
        <f>IF(AND($B$39&lt;='1 - Titoli e shock'!$B$17,$C404&lt;='1 - Titoli e shock'!$B$17),$D$39*L$6/2*(1-'1 - Titoli e shock'!$B$8),0)</f>
        <v>0</v>
      </c>
      <c r="M404" s="20">
        <f>IF(AND($B$39&lt;='1 - Titoli e shock'!$B$17,$C404&lt;='1 - Titoli e shock'!$B$17),$D$39*M$6/2*(1-'1 - Titoli e shock'!$B$8),0)</f>
        <v>0</v>
      </c>
      <c r="N404" s="20">
        <f>IF(AND($B$39&lt;='1 - Titoli e shock'!$B$17,$C404&lt;='1 - Titoli e shock'!$B$17),$D$39*N$6/2*(1-'1 - Titoli e shock'!$B$8),0)</f>
        <v>0</v>
      </c>
      <c r="O404" s="20">
        <f>IF(AND($B$39&lt;='1 - Titoli e shock'!$B$17,$C404&lt;='1 - Titoli e shock'!$B$17),$D$39*O$6/2*(1-'1 - Titoli e shock'!$B$8),0)</f>
        <v>0</v>
      </c>
      <c r="P404" s="20">
        <f>IF(AND($B$39&lt;='1 - Titoli e shock'!$B$17,$C404&lt;='1 - Titoli e shock'!$B$17),$D$39*P$6/2*(1-'1 - Titoli e shock'!$B$8),0)</f>
        <v>0</v>
      </c>
      <c r="Q404" s="20">
        <f>IF(AND($B$39&lt;='1 - Titoli e shock'!$B$17,$C404&lt;='1 - Titoli e shock'!$B$17),$D$39*Q$6/2*(1-'1 - Titoli e shock'!$B$8),0)</f>
        <v>0</v>
      </c>
      <c r="R404" s="20">
        <f>IF(AND($B$39&lt;='1 - Titoli e shock'!$B$17,$C404&lt;='1 - Titoli e shock'!$B$17),$D$39*R$6/2*(1-'1 - Titoli e shock'!$B$8),0)</f>
        <v>0</v>
      </c>
      <c r="S404" s="20">
        <f>IF(AND($B$39&lt;='1 - Titoli e shock'!$B$17,$C404&lt;='1 - Titoli e shock'!$B$17),$D$39*S$6/2*(1-'1 - Titoli e shock'!$B$8),0)</f>
        <v>0</v>
      </c>
      <c r="T404" s="20">
        <f>IF(AND($B$39&lt;='1 - Titoli e shock'!$B$17,$C404&lt;='1 - Titoli e shock'!$B$17),$D$39*T$6/2*(1-'1 - Titoli e shock'!$B$8),0)</f>
        <v>0</v>
      </c>
      <c r="U404" s="20">
        <f>IF(AND($B$39&lt;='1 - Titoli e shock'!$B$17,$C404&lt;='1 - Titoli e shock'!$B$17),$D$39*U$6/2*(1-'1 - Titoli e shock'!$B$8),0)</f>
        <v>0</v>
      </c>
    </row>
    <row r="405" spans="1:21">
      <c r="A405" s="15" t="s">
        <v>267</v>
      </c>
      <c r="B405" s="22" t="str">
        <f>A39</f>
        <v>BTP 3,25% nov 2032</v>
      </c>
      <c r="C405" s="13">
        <f>EDATE($B$39,6*15)</f>
        <v>51271</v>
      </c>
      <c r="D405" s="23">
        <f>MAX(1,(YEAR(C405)-YEAR('1 - Titoli e shock'!$B$6))+IF(MONTH(C405)*100+DAY(C405)&gt;MONTH('1 - Titoli e shock'!$B$6)*100+DAY('1 - Titoli e shock'!$B$6),1,0))</f>
        <v>14</v>
      </c>
      <c r="F405" s="20">
        <f>IF(AND($B$39&lt;='1 - Titoli e shock'!$B$17,$C405&lt;='1 - Titoli e shock'!$B$17),$D$39*F$6/2*(1-'1 - Titoli e shock'!$B$8),0)</f>
        <v>0</v>
      </c>
      <c r="G405" s="20">
        <f>IF(AND($B$39&lt;='1 - Titoli e shock'!$B$17,$C405&lt;='1 - Titoli e shock'!$B$17),$D$39*G$6/2*(1-'1 - Titoli e shock'!$B$8),0)</f>
        <v>0</v>
      </c>
      <c r="H405" s="20">
        <f>IF(AND($B$39&lt;='1 - Titoli e shock'!$B$17,$C405&lt;='1 - Titoli e shock'!$B$17),$D$39*H$6/2*(1-'1 - Titoli e shock'!$B$8),0)</f>
        <v>0</v>
      </c>
      <c r="I405" s="20">
        <f>IF(AND($B$39&lt;='1 - Titoli e shock'!$B$17,$C405&lt;='1 - Titoli e shock'!$B$17),$D$39*I$6/2*(1-'1 - Titoli e shock'!$B$8),0)</f>
        <v>0</v>
      </c>
      <c r="J405" s="20">
        <f>IF(AND($B$39&lt;='1 - Titoli e shock'!$B$17,$C405&lt;='1 - Titoli e shock'!$B$17),$D$39*J$6/2*(1-'1 - Titoli e shock'!$B$8),0)</f>
        <v>0</v>
      </c>
      <c r="K405" s="20">
        <f>IF(AND($B$39&lt;='1 - Titoli e shock'!$B$17,$C405&lt;='1 - Titoli e shock'!$B$17),$D$39*K$6/2*(1-'1 - Titoli e shock'!$B$8),0)</f>
        <v>0</v>
      </c>
      <c r="L405" s="20">
        <f>IF(AND($B$39&lt;='1 - Titoli e shock'!$B$17,$C405&lt;='1 - Titoli e shock'!$B$17),$D$39*L$6/2*(1-'1 - Titoli e shock'!$B$8),0)</f>
        <v>0</v>
      </c>
      <c r="M405" s="20">
        <f>IF(AND($B$39&lt;='1 - Titoli e shock'!$B$17,$C405&lt;='1 - Titoli e shock'!$B$17),$D$39*M$6/2*(1-'1 - Titoli e shock'!$B$8),0)</f>
        <v>0</v>
      </c>
      <c r="N405" s="20">
        <f>IF(AND($B$39&lt;='1 - Titoli e shock'!$B$17,$C405&lt;='1 - Titoli e shock'!$B$17),$D$39*N$6/2*(1-'1 - Titoli e shock'!$B$8),0)</f>
        <v>0</v>
      </c>
      <c r="O405" s="20">
        <f>IF(AND($B$39&lt;='1 - Titoli e shock'!$B$17,$C405&lt;='1 - Titoli e shock'!$B$17),$D$39*O$6/2*(1-'1 - Titoli e shock'!$B$8),0)</f>
        <v>0</v>
      </c>
      <c r="P405" s="20">
        <f>IF(AND($B$39&lt;='1 - Titoli e shock'!$B$17,$C405&lt;='1 - Titoli e shock'!$B$17),$D$39*P$6/2*(1-'1 - Titoli e shock'!$B$8),0)</f>
        <v>0</v>
      </c>
      <c r="Q405" s="20">
        <f>IF(AND($B$39&lt;='1 - Titoli e shock'!$B$17,$C405&lt;='1 - Titoli e shock'!$B$17),$D$39*Q$6/2*(1-'1 - Titoli e shock'!$B$8),0)</f>
        <v>0</v>
      </c>
      <c r="R405" s="20">
        <f>IF(AND($B$39&lt;='1 - Titoli e shock'!$B$17,$C405&lt;='1 - Titoli e shock'!$B$17),$D$39*R$6/2*(1-'1 - Titoli e shock'!$B$8),0)</f>
        <v>0</v>
      </c>
      <c r="S405" s="20">
        <f>IF(AND($B$39&lt;='1 - Titoli e shock'!$B$17,$C405&lt;='1 - Titoli e shock'!$B$17),$D$39*S$6/2*(1-'1 - Titoli e shock'!$B$8),0)</f>
        <v>0</v>
      </c>
      <c r="T405" s="20">
        <f>IF(AND($B$39&lt;='1 - Titoli e shock'!$B$17,$C405&lt;='1 - Titoli e shock'!$B$17),$D$39*T$6/2*(1-'1 - Titoli e shock'!$B$8),0)</f>
        <v>0</v>
      </c>
      <c r="U405" s="20">
        <f>IF(AND($B$39&lt;='1 - Titoli e shock'!$B$17,$C405&lt;='1 - Titoli e shock'!$B$17),$D$39*U$6/2*(1-'1 - Titoli e shock'!$B$8),0)</f>
        <v>0</v>
      </c>
    </row>
    <row r="406" spans="1:21">
      <c r="A406" s="15" t="s">
        <v>267</v>
      </c>
      <c r="B406" s="22" t="str">
        <f>A39</f>
        <v>BTP 3,25% nov 2032</v>
      </c>
      <c r="C406" s="13">
        <f>EDATE($B$39,6*16)</f>
        <v>51455</v>
      </c>
      <c r="D406" s="23">
        <f>MAX(1,(YEAR(C406)-YEAR('1 - Titoli e shock'!$B$6))+IF(MONTH(C406)*100+DAY(C406)&gt;MONTH('1 - Titoli e shock'!$B$6)*100+DAY('1 - Titoli e shock'!$B$6),1,0))</f>
        <v>15</v>
      </c>
      <c r="F406" s="20">
        <f>IF(AND($B$39&lt;='1 - Titoli e shock'!$B$17,$C406&lt;='1 - Titoli e shock'!$B$17),$D$39*F$6/2*(1-'1 - Titoli e shock'!$B$8),0)</f>
        <v>0</v>
      </c>
      <c r="G406" s="20">
        <f>IF(AND($B$39&lt;='1 - Titoli e shock'!$B$17,$C406&lt;='1 - Titoli e shock'!$B$17),$D$39*G$6/2*(1-'1 - Titoli e shock'!$B$8),0)</f>
        <v>0</v>
      </c>
      <c r="H406" s="20">
        <f>IF(AND($B$39&lt;='1 - Titoli e shock'!$B$17,$C406&lt;='1 - Titoli e shock'!$B$17),$D$39*H$6/2*(1-'1 - Titoli e shock'!$B$8),0)</f>
        <v>0</v>
      </c>
      <c r="I406" s="20">
        <f>IF(AND($B$39&lt;='1 - Titoli e shock'!$B$17,$C406&lt;='1 - Titoli e shock'!$B$17),$D$39*I$6/2*(1-'1 - Titoli e shock'!$B$8),0)</f>
        <v>0</v>
      </c>
      <c r="J406" s="20">
        <f>IF(AND($B$39&lt;='1 - Titoli e shock'!$B$17,$C406&lt;='1 - Titoli e shock'!$B$17),$D$39*J$6/2*(1-'1 - Titoli e shock'!$B$8),0)</f>
        <v>0</v>
      </c>
      <c r="K406" s="20">
        <f>IF(AND($B$39&lt;='1 - Titoli e shock'!$B$17,$C406&lt;='1 - Titoli e shock'!$B$17),$D$39*K$6/2*(1-'1 - Titoli e shock'!$B$8),0)</f>
        <v>0</v>
      </c>
      <c r="L406" s="20">
        <f>IF(AND($B$39&lt;='1 - Titoli e shock'!$B$17,$C406&lt;='1 - Titoli e shock'!$B$17),$D$39*L$6/2*(1-'1 - Titoli e shock'!$B$8),0)</f>
        <v>0</v>
      </c>
      <c r="M406" s="20">
        <f>IF(AND($B$39&lt;='1 - Titoli e shock'!$B$17,$C406&lt;='1 - Titoli e shock'!$B$17),$D$39*M$6/2*(1-'1 - Titoli e shock'!$B$8),0)</f>
        <v>0</v>
      </c>
      <c r="N406" s="20">
        <f>IF(AND($B$39&lt;='1 - Titoli e shock'!$B$17,$C406&lt;='1 - Titoli e shock'!$B$17),$D$39*N$6/2*(1-'1 - Titoli e shock'!$B$8),0)</f>
        <v>0</v>
      </c>
      <c r="O406" s="20">
        <f>IF(AND($B$39&lt;='1 - Titoli e shock'!$B$17,$C406&lt;='1 - Titoli e shock'!$B$17),$D$39*O$6/2*(1-'1 - Titoli e shock'!$B$8),0)</f>
        <v>0</v>
      </c>
      <c r="P406" s="20">
        <f>IF(AND($B$39&lt;='1 - Titoli e shock'!$B$17,$C406&lt;='1 - Titoli e shock'!$B$17),$D$39*P$6/2*(1-'1 - Titoli e shock'!$B$8),0)</f>
        <v>0</v>
      </c>
      <c r="Q406" s="20">
        <f>IF(AND($B$39&lt;='1 - Titoli e shock'!$B$17,$C406&lt;='1 - Titoli e shock'!$B$17),$D$39*Q$6/2*(1-'1 - Titoli e shock'!$B$8),0)</f>
        <v>0</v>
      </c>
      <c r="R406" s="20">
        <f>IF(AND($B$39&lt;='1 - Titoli e shock'!$B$17,$C406&lt;='1 - Titoli e shock'!$B$17),$D$39*R$6/2*(1-'1 - Titoli e shock'!$B$8),0)</f>
        <v>0</v>
      </c>
      <c r="S406" s="20">
        <f>IF(AND($B$39&lt;='1 - Titoli e shock'!$B$17,$C406&lt;='1 - Titoli e shock'!$B$17),$D$39*S$6/2*(1-'1 - Titoli e shock'!$B$8),0)</f>
        <v>0</v>
      </c>
      <c r="T406" s="20">
        <f>IF(AND($B$39&lt;='1 - Titoli e shock'!$B$17,$C406&lt;='1 - Titoli e shock'!$B$17),$D$39*T$6/2*(1-'1 - Titoli e shock'!$B$8),0)</f>
        <v>0</v>
      </c>
      <c r="U406" s="20">
        <f>IF(AND($B$39&lt;='1 - Titoli e shock'!$B$17,$C406&lt;='1 - Titoli e shock'!$B$17),$D$39*U$6/2*(1-'1 - Titoli e shock'!$B$8),0)</f>
        <v>0</v>
      </c>
    </row>
    <row r="407" spans="1:21">
      <c r="A407" s="15" t="s">
        <v>267</v>
      </c>
      <c r="B407" s="22" t="str">
        <f>A39</f>
        <v>BTP 3,25% nov 2032</v>
      </c>
      <c r="C407" s="13">
        <f>EDATE($B$39,6*17)</f>
        <v>51636</v>
      </c>
      <c r="D407" s="23">
        <f>MAX(1,(YEAR(C407)-YEAR('1 - Titoli e shock'!$B$6))+IF(MONTH(C407)*100+DAY(C407)&gt;MONTH('1 - Titoli e shock'!$B$6)*100+DAY('1 - Titoli e shock'!$B$6),1,0))</f>
        <v>15</v>
      </c>
      <c r="F407" s="20">
        <f>IF(AND($B$39&lt;='1 - Titoli e shock'!$B$17,$C407&lt;='1 - Titoli e shock'!$B$17),$D$39*F$6/2*(1-'1 - Titoli e shock'!$B$8),0)</f>
        <v>0</v>
      </c>
      <c r="G407" s="20">
        <f>IF(AND($B$39&lt;='1 - Titoli e shock'!$B$17,$C407&lt;='1 - Titoli e shock'!$B$17),$D$39*G$6/2*(1-'1 - Titoli e shock'!$B$8),0)</f>
        <v>0</v>
      </c>
      <c r="H407" s="20">
        <f>IF(AND($B$39&lt;='1 - Titoli e shock'!$B$17,$C407&lt;='1 - Titoli e shock'!$B$17),$D$39*H$6/2*(1-'1 - Titoli e shock'!$B$8),0)</f>
        <v>0</v>
      </c>
      <c r="I407" s="20">
        <f>IF(AND($B$39&lt;='1 - Titoli e shock'!$B$17,$C407&lt;='1 - Titoli e shock'!$B$17),$D$39*I$6/2*(1-'1 - Titoli e shock'!$B$8),0)</f>
        <v>0</v>
      </c>
      <c r="J407" s="20">
        <f>IF(AND($B$39&lt;='1 - Titoli e shock'!$B$17,$C407&lt;='1 - Titoli e shock'!$B$17),$D$39*J$6/2*(1-'1 - Titoli e shock'!$B$8),0)</f>
        <v>0</v>
      </c>
      <c r="K407" s="20">
        <f>IF(AND($B$39&lt;='1 - Titoli e shock'!$B$17,$C407&lt;='1 - Titoli e shock'!$B$17),$D$39*K$6/2*(1-'1 - Titoli e shock'!$B$8),0)</f>
        <v>0</v>
      </c>
      <c r="L407" s="20">
        <f>IF(AND($B$39&lt;='1 - Titoli e shock'!$B$17,$C407&lt;='1 - Titoli e shock'!$B$17),$D$39*L$6/2*(1-'1 - Titoli e shock'!$B$8),0)</f>
        <v>0</v>
      </c>
      <c r="M407" s="20">
        <f>IF(AND($B$39&lt;='1 - Titoli e shock'!$B$17,$C407&lt;='1 - Titoli e shock'!$B$17),$D$39*M$6/2*(1-'1 - Titoli e shock'!$B$8),0)</f>
        <v>0</v>
      </c>
      <c r="N407" s="20">
        <f>IF(AND($B$39&lt;='1 - Titoli e shock'!$B$17,$C407&lt;='1 - Titoli e shock'!$B$17),$D$39*N$6/2*(1-'1 - Titoli e shock'!$B$8),0)</f>
        <v>0</v>
      </c>
      <c r="O407" s="20">
        <f>IF(AND($B$39&lt;='1 - Titoli e shock'!$B$17,$C407&lt;='1 - Titoli e shock'!$B$17),$D$39*O$6/2*(1-'1 - Titoli e shock'!$B$8),0)</f>
        <v>0</v>
      </c>
      <c r="P407" s="20">
        <f>IF(AND($B$39&lt;='1 - Titoli e shock'!$B$17,$C407&lt;='1 - Titoli e shock'!$B$17),$D$39*P$6/2*(1-'1 - Titoli e shock'!$B$8),0)</f>
        <v>0</v>
      </c>
      <c r="Q407" s="20">
        <f>IF(AND($B$39&lt;='1 - Titoli e shock'!$B$17,$C407&lt;='1 - Titoli e shock'!$B$17),$D$39*Q$6/2*(1-'1 - Titoli e shock'!$B$8),0)</f>
        <v>0</v>
      </c>
      <c r="R407" s="20">
        <f>IF(AND($B$39&lt;='1 - Titoli e shock'!$B$17,$C407&lt;='1 - Titoli e shock'!$B$17),$D$39*R$6/2*(1-'1 - Titoli e shock'!$B$8),0)</f>
        <v>0</v>
      </c>
      <c r="S407" s="20">
        <f>IF(AND($B$39&lt;='1 - Titoli e shock'!$B$17,$C407&lt;='1 - Titoli e shock'!$B$17),$D$39*S$6/2*(1-'1 - Titoli e shock'!$B$8),0)</f>
        <v>0</v>
      </c>
      <c r="T407" s="20">
        <f>IF(AND($B$39&lt;='1 - Titoli e shock'!$B$17,$C407&lt;='1 - Titoli e shock'!$B$17),$D$39*T$6/2*(1-'1 - Titoli e shock'!$B$8),0)</f>
        <v>0</v>
      </c>
      <c r="U407" s="20">
        <f>IF(AND($B$39&lt;='1 - Titoli e shock'!$B$17,$C407&lt;='1 - Titoli e shock'!$B$17),$D$39*U$6/2*(1-'1 - Titoli e shock'!$B$8),0)</f>
        <v>0</v>
      </c>
    </row>
    <row r="408" spans="1:21">
      <c r="A408" s="15" t="s">
        <v>267</v>
      </c>
      <c r="B408" s="22" t="str">
        <f>A39</f>
        <v>BTP 3,25% nov 2032</v>
      </c>
      <c r="C408" s="13">
        <f>EDATE($B$39,6*18)</f>
        <v>51820</v>
      </c>
      <c r="D408" s="23">
        <f>MAX(1,(YEAR(C408)-YEAR('1 - Titoli e shock'!$B$6))+IF(MONTH(C408)*100+DAY(C408)&gt;MONTH('1 - Titoli e shock'!$B$6)*100+DAY('1 - Titoli e shock'!$B$6),1,0))</f>
        <v>16</v>
      </c>
      <c r="F408" s="20">
        <f>IF(AND($B$39&lt;='1 - Titoli e shock'!$B$17,$C408&lt;='1 - Titoli e shock'!$B$17),$D$39*F$6/2*(1-'1 - Titoli e shock'!$B$8),0)</f>
        <v>0</v>
      </c>
      <c r="G408" s="20">
        <f>IF(AND($B$39&lt;='1 - Titoli e shock'!$B$17,$C408&lt;='1 - Titoli e shock'!$B$17),$D$39*G$6/2*(1-'1 - Titoli e shock'!$B$8),0)</f>
        <v>0</v>
      </c>
      <c r="H408" s="20">
        <f>IF(AND($B$39&lt;='1 - Titoli e shock'!$B$17,$C408&lt;='1 - Titoli e shock'!$B$17),$D$39*H$6/2*(1-'1 - Titoli e shock'!$B$8),0)</f>
        <v>0</v>
      </c>
      <c r="I408" s="20">
        <f>IF(AND($B$39&lt;='1 - Titoli e shock'!$B$17,$C408&lt;='1 - Titoli e shock'!$B$17),$D$39*I$6/2*(1-'1 - Titoli e shock'!$B$8),0)</f>
        <v>0</v>
      </c>
      <c r="J408" s="20">
        <f>IF(AND($B$39&lt;='1 - Titoli e shock'!$B$17,$C408&lt;='1 - Titoli e shock'!$B$17),$D$39*J$6/2*(1-'1 - Titoli e shock'!$B$8),0)</f>
        <v>0</v>
      </c>
      <c r="K408" s="20">
        <f>IF(AND($B$39&lt;='1 - Titoli e shock'!$B$17,$C408&lt;='1 - Titoli e shock'!$B$17),$D$39*K$6/2*(1-'1 - Titoli e shock'!$B$8),0)</f>
        <v>0</v>
      </c>
      <c r="L408" s="20">
        <f>IF(AND($B$39&lt;='1 - Titoli e shock'!$B$17,$C408&lt;='1 - Titoli e shock'!$B$17),$D$39*L$6/2*(1-'1 - Titoli e shock'!$B$8),0)</f>
        <v>0</v>
      </c>
      <c r="M408" s="20">
        <f>IF(AND($B$39&lt;='1 - Titoli e shock'!$B$17,$C408&lt;='1 - Titoli e shock'!$B$17),$D$39*M$6/2*(1-'1 - Titoli e shock'!$B$8),0)</f>
        <v>0</v>
      </c>
      <c r="N408" s="20">
        <f>IF(AND($B$39&lt;='1 - Titoli e shock'!$B$17,$C408&lt;='1 - Titoli e shock'!$B$17),$D$39*N$6/2*(1-'1 - Titoli e shock'!$B$8),0)</f>
        <v>0</v>
      </c>
      <c r="O408" s="20">
        <f>IF(AND($B$39&lt;='1 - Titoli e shock'!$B$17,$C408&lt;='1 - Titoli e shock'!$B$17),$D$39*O$6/2*(1-'1 - Titoli e shock'!$B$8),0)</f>
        <v>0</v>
      </c>
      <c r="P408" s="20">
        <f>IF(AND($B$39&lt;='1 - Titoli e shock'!$B$17,$C408&lt;='1 - Titoli e shock'!$B$17),$D$39*P$6/2*(1-'1 - Titoli e shock'!$B$8),0)</f>
        <v>0</v>
      </c>
      <c r="Q408" s="20">
        <f>IF(AND($B$39&lt;='1 - Titoli e shock'!$B$17,$C408&lt;='1 - Titoli e shock'!$B$17),$D$39*Q$6/2*(1-'1 - Titoli e shock'!$B$8),0)</f>
        <v>0</v>
      </c>
      <c r="R408" s="20">
        <f>IF(AND($B$39&lt;='1 - Titoli e shock'!$B$17,$C408&lt;='1 - Titoli e shock'!$B$17),$D$39*R$6/2*(1-'1 - Titoli e shock'!$B$8),0)</f>
        <v>0</v>
      </c>
      <c r="S408" s="20">
        <f>IF(AND($B$39&lt;='1 - Titoli e shock'!$B$17,$C408&lt;='1 - Titoli e shock'!$B$17),$D$39*S$6/2*(1-'1 - Titoli e shock'!$B$8),0)</f>
        <v>0</v>
      </c>
      <c r="T408" s="20">
        <f>IF(AND($B$39&lt;='1 - Titoli e shock'!$B$17,$C408&lt;='1 - Titoli e shock'!$B$17),$D$39*T$6/2*(1-'1 - Titoli e shock'!$B$8),0)</f>
        <v>0</v>
      </c>
      <c r="U408" s="20">
        <f>IF(AND($B$39&lt;='1 - Titoli e shock'!$B$17,$C408&lt;='1 - Titoli e shock'!$B$17),$D$39*U$6/2*(1-'1 - Titoli e shock'!$B$8),0)</f>
        <v>0</v>
      </c>
    </row>
    <row r="409" spans="1:21">
      <c r="A409" s="15" t="s">
        <v>267</v>
      </c>
      <c r="B409" s="22" t="str">
        <f>A39</f>
        <v>BTP 3,25% nov 2032</v>
      </c>
      <c r="C409" s="13">
        <f>EDATE($B$39,6*19)</f>
        <v>52001</v>
      </c>
      <c r="D409" s="23">
        <f>MAX(1,(YEAR(C409)-YEAR('1 - Titoli e shock'!$B$6))+IF(MONTH(C409)*100+DAY(C409)&gt;MONTH('1 - Titoli e shock'!$B$6)*100+DAY('1 - Titoli e shock'!$B$6),1,0))</f>
        <v>16</v>
      </c>
      <c r="F409" s="20">
        <f>IF(AND($B$39&lt;='1 - Titoli e shock'!$B$17,$C409&lt;='1 - Titoli e shock'!$B$17),$D$39*F$6/2*(1-'1 - Titoli e shock'!$B$8),0)</f>
        <v>0</v>
      </c>
      <c r="G409" s="20">
        <f>IF(AND($B$39&lt;='1 - Titoli e shock'!$B$17,$C409&lt;='1 - Titoli e shock'!$B$17),$D$39*G$6/2*(1-'1 - Titoli e shock'!$B$8),0)</f>
        <v>0</v>
      </c>
      <c r="H409" s="20">
        <f>IF(AND($B$39&lt;='1 - Titoli e shock'!$B$17,$C409&lt;='1 - Titoli e shock'!$B$17),$D$39*H$6/2*(1-'1 - Titoli e shock'!$B$8),0)</f>
        <v>0</v>
      </c>
      <c r="I409" s="20">
        <f>IF(AND($B$39&lt;='1 - Titoli e shock'!$B$17,$C409&lt;='1 - Titoli e shock'!$B$17),$D$39*I$6/2*(1-'1 - Titoli e shock'!$B$8),0)</f>
        <v>0</v>
      </c>
      <c r="J409" s="20">
        <f>IF(AND($B$39&lt;='1 - Titoli e shock'!$B$17,$C409&lt;='1 - Titoli e shock'!$B$17),$D$39*J$6/2*(1-'1 - Titoli e shock'!$B$8),0)</f>
        <v>0</v>
      </c>
      <c r="K409" s="20">
        <f>IF(AND($B$39&lt;='1 - Titoli e shock'!$B$17,$C409&lt;='1 - Titoli e shock'!$B$17),$D$39*K$6/2*(1-'1 - Titoli e shock'!$B$8),0)</f>
        <v>0</v>
      </c>
      <c r="L409" s="20">
        <f>IF(AND($B$39&lt;='1 - Titoli e shock'!$B$17,$C409&lt;='1 - Titoli e shock'!$B$17),$D$39*L$6/2*(1-'1 - Titoli e shock'!$B$8),0)</f>
        <v>0</v>
      </c>
      <c r="M409" s="20">
        <f>IF(AND($B$39&lt;='1 - Titoli e shock'!$B$17,$C409&lt;='1 - Titoli e shock'!$B$17),$D$39*M$6/2*(1-'1 - Titoli e shock'!$B$8),0)</f>
        <v>0</v>
      </c>
      <c r="N409" s="20">
        <f>IF(AND($B$39&lt;='1 - Titoli e shock'!$B$17,$C409&lt;='1 - Titoli e shock'!$B$17),$D$39*N$6/2*(1-'1 - Titoli e shock'!$B$8),0)</f>
        <v>0</v>
      </c>
      <c r="O409" s="20">
        <f>IF(AND($B$39&lt;='1 - Titoli e shock'!$B$17,$C409&lt;='1 - Titoli e shock'!$B$17),$D$39*O$6/2*(1-'1 - Titoli e shock'!$B$8),0)</f>
        <v>0</v>
      </c>
      <c r="P409" s="20">
        <f>IF(AND($B$39&lt;='1 - Titoli e shock'!$B$17,$C409&lt;='1 - Titoli e shock'!$B$17),$D$39*P$6/2*(1-'1 - Titoli e shock'!$B$8),0)</f>
        <v>0</v>
      </c>
      <c r="Q409" s="20">
        <f>IF(AND($B$39&lt;='1 - Titoli e shock'!$B$17,$C409&lt;='1 - Titoli e shock'!$B$17),$D$39*Q$6/2*(1-'1 - Titoli e shock'!$B$8),0)</f>
        <v>0</v>
      </c>
      <c r="R409" s="20">
        <f>IF(AND($B$39&lt;='1 - Titoli e shock'!$B$17,$C409&lt;='1 - Titoli e shock'!$B$17),$D$39*R$6/2*(1-'1 - Titoli e shock'!$B$8),0)</f>
        <v>0</v>
      </c>
      <c r="S409" s="20">
        <f>IF(AND($B$39&lt;='1 - Titoli e shock'!$B$17,$C409&lt;='1 - Titoli e shock'!$B$17),$D$39*S$6/2*(1-'1 - Titoli e shock'!$B$8),0)</f>
        <v>0</v>
      </c>
      <c r="T409" s="20">
        <f>IF(AND($B$39&lt;='1 - Titoli e shock'!$B$17,$C409&lt;='1 - Titoli e shock'!$B$17),$D$39*T$6/2*(1-'1 - Titoli e shock'!$B$8),0)</f>
        <v>0</v>
      </c>
      <c r="U409" s="20">
        <f>IF(AND($B$39&lt;='1 - Titoli e shock'!$B$17,$C409&lt;='1 - Titoli e shock'!$B$17),$D$39*U$6/2*(1-'1 - Titoli e shock'!$B$8),0)</f>
        <v>0</v>
      </c>
    </row>
    <row r="410" spans="1:21">
      <c r="A410" s="15" t="s">
        <v>267</v>
      </c>
      <c r="B410" s="22" t="str">
        <f>A39</f>
        <v>BTP 3,25% nov 2032</v>
      </c>
      <c r="C410" s="13">
        <f>EDATE($B$39,6*20)</f>
        <v>52185</v>
      </c>
      <c r="D410" s="23">
        <f>MAX(1,(YEAR(C410)-YEAR('1 - Titoli e shock'!$B$6))+IF(MONTH(C410)*100+DAY(C410)&gt;MONTH('1 - Titoli e shock'!$B$6)*100+DAY('1 - Titoli e shock'!$B$6),1,0))</f>
        <v>17</v>
      </c>
      <c r="F410" s="20">
        <f>IF(AND($B$39&lt;='1 - Titoli e shock'!$B$17,$C410&lt;='1 - Titoli e shock'!$B$17),$D$39*F$6/2*(1-'1 - Titoli e shock'!$B$8),0)</f>
        <v>0</v>
      </c>
      <c r="G410" s="20">
        <f>IF(AND($B$39&lt;='1 - Titoli e shock'!$B$17,$C410&lt;='1 - Titoli e shock'!$B$17),$D$39*G$6/2*(1-'1 - Titoli e shock'!$B$8),0)</f>
        <v>0</v>
      </c>
      <c r="H410" s="20">
        <f>IF(AND($B$39&lt;='1 - Titoli e shock'!$B$17,$C410&lt;='1 - Titoli e shock'!$B$17),$D$39*H$6/2*(1-'1 - Titoli e shock'!$B$8),0)</f>
        <v>0</v>
      </c>
      <c r="I410" s="20">
        <f>IF(AND($B$39&lt;='1 - Titoli e shock'!$B$17,$C410&lt;='1 - Titoli e shock'!$B$17),$D$39*I$6/2*(1-'1 - Titoli e shock'!$B$8),0)</f>
        <v>0</v>
      </c>
      <c r="J410" s="20">
        <f>IF(AND($B$39&lt;='1 - Titoli e shock'!$B$17,$C410&lt;='1 - Titoli e shock'!$B$17),$D$39*J$6/2*(1-'1 - Titoli e shock'!$B$8),0)</f>
        <v>0</v>
      </c>
      <c r="K410" s="20">
        <f>IF(AND($B$39&lt;='1 - Titoli e shock'!$B$17,$C410&lt;='1 - Titoli e shock'!$B$17),$D$39*K$6/2*(1-'1 - Titoli e shock'!$B$8),0)</f>
        <v>0</v>
      </c>
      <c r="L410" s="20">
        <f>IF(AND($B$39&lt;='1 - Titoli e shock'!$B$17,$C410&lt;='1 - Titoli e shock'!$B$17),$D$39*L$6/2*(1-'1 - Titoli e shock'!$B$8),0)</f>
        <v>0</v>
      </c>
      <c r="M410" s="20">
        <f>IF(AND($B$39&lt;='1 - Titoli e shock'!$B$17,$C410&lt;='1 - Titoli e shock'!$B$17),$D$39*M$6/2*(1-'1 - Titoli e shock'!$B$8),0)</f>
        <v>0</v>
      </c>
      <c r="N410" s="20">
        <f>IF(AND($B$39&lt;='1 - Titoli e shock'!$B$17,$C410&lt;='1 - Titoli e shock'!$B$17),$D$39*N$6/2*(1-'1 - Titoli e shock'!$B$8),0)</f>
        <v>0</v>
      </c>
      <c r="O410" s="20">
        <f>IF(AND($B$39&lt;='1 - Titoli e shock'!$B$17,$C410&lt;='1 - Titoli e shock'!$B$17),$D$39*O$6/2*(1-'1 - Titoli e shock'!$B$8),0)</f>
        <v>0</v>
      </c>
      <c r="P410" s="20">
        <f>IF(AND($B$39&lt;='1 - Titoli e shock'!$B$17,$C410&lt;='1 - Titoli e shock'!$B$17),$D$39*P$6/2*(1-'1 - Titoli e shock'!$B$8),0)</f>
        <v>0</v>
      </c>
      <c r="Q410" s="20">
        <f>IF(AND($B$39&lt;='1 - Titoli e shock'!$B$17,$C410&lt;='1 - Titoli e shock'!$B$17),$D$39*Q$6/2*(1-'1 - Titoli e shock'!$B$8),0)</f>
        <v>0</v>
      </c>
      <c r="R410" s="20">
        <f>IF(AND($B$39&lt;='1 - Titoli e shock'!$B$17,$C410&lt;='1 - Titoli e shock'!$B$17),$D$39*R$6/2*(1-'1 - Titoli e shock'!$B$8),0)</f>
        <v>0</v>
      </c>
      <c r="S410" s="20">
        <f>IF(AND($B$39&lt;='1 - Titoli e shock'!$B$17,$C410&lt;='1 - Titoli e shock'!$B$17),$D$39*S$6/2*(1-'1 - Titoli e shock'!$B$8),0)</f>
        <v>0</v>
      </c>
      <c r="T410" s="20">
        <f>IF(AND($B$39&lt;='1 - Titoli e shock'!$B$17,$C410&lt;='1 - Titoli e shock'!$B$17),$D$39*T$6/2*(1-'1 - Titoli e shock'!$B$8),0)</f>
        <v>0</v>
      </c>
      <c r="U410" s="20">
        <f>IF(AND($B$39&lt;='1 - Titoli e shock'!$B$17,$C410&lt;='1 - Titoli e shock'!$B$17),$D$39*U$6/2*(1-'1 - Titoli e shock'!$B$8),0)</f>
        <v>0</v>
      </c>
    </row>
    <row r="411" spans="1:21">
      <c r="A411" s="15" t="s">
        <v>268</v>
      </c>
      <c r="B411" s="22" t="str">
        <f>A39</f>
        <v>BTP 3,25% nov 2032</v>
      </c>
      <c r="C411" s="13">
        <f>EDATE($B$39,120)</f>
        <v>52185</v>
      </c>
      <c r="D411" s="23">
        <f>MAX(1,(YEAR(C411)-YEAR('1 - Titoli e shock'!$B$6))+IF(MONTH(C411)*100+DAY(C411)&gt;MONTH('1 - Titoli e shock'!$B$6)*100+DAY('1 - Titoli e shock'!$B$6),1,0))</f>
        <v>17</v>
      </c>
      <c r="F411" s="20">
        <f>IF(AND($B$39&lt;='1 - Titoli e shock'!$B$17,$C411&lt;='1 - Titoli e shock'!$B$17),$D$39,0)</f>
        <v>0</v>
      </c>
      <c r="G411" s="20">
        <f>IF(AND($B$39&lt;='1 - Titoli e shock'!$B$17,$C411&lt;='1 - Titoli e shock'!$B$17),$D$39,0)</f>
        <v>0</v>
      </c>
      <c r="H411" s="20">
        <f>IF(AND($B$39&lt;='1 - Titoli e shock'!$B$17,$C411&lt;='1 - Titoli e shock'!$B$17),$D$39,0)</f>
        <v>0</v>
      </c>
      <c r="I411" s="20">
        <f>IF(AND($B$39&lt;='1 - Titoli e shock'!$B$17,$C411&lt;='1 - Titoli e shock'!$B$17),$D$39,0)</f>
        <v>0</v>
      </c>
      <c r="J411" s="20">
        <f>IF(AND($B$39&lt;='1 - Titoli e shock'!$B$17,$C411&lt;='1 - Titoli e shock'!$B$17),$D$39,0)</f>
        <v>0</v>
      </c>
      <c r="K411" s="20">
        <f>IF(AND($B$39&lt;='1 - Titoli e shock'!$B$17,$C411&lt;='1 - Titoli e shock'!$B$17),$D$39,0)</f>
        <v>0</v>
      </c>
      <c r="L411" s="20">
        <f>IF(AND($B$39&lt;='1 - Titoli e shock'!$B$17,$C411&lt;='1 - Titoli e shock'!$B$17),$D$39,0)</f>
        <v>0</v>
      </c>
      <c r="M411" s="20">
        <f>IF(AND($B$39&lt;='1 - Titoli e shock'!$B$17,$C411&lt;='1 - Titoli e shock'!$B$17),$D$39,0)</f>
        <v>0</v>
      </c>
      <c r="N411" s="20">
        <f>IF(AND($B$39&lt;='1 - Titoli e shock'!$B$17,$C411&lt;='1 - Titoli e shock'!$B$17),$D$39,0)</f>
        <v>0</v>
      </c>
      <c r="O411" s="20">
        <f>IF(AND($B$39&lt;='1 - Titoli e shock'!$B$17,$C411&lt;='1 - Titoli e shock'!$B$17),$D$39,0)</f>
        <v>0</v>
      </c>
      <c r="P411" s="20">
        <f>IF(AND($B$39&lt;='1 - Titoli e shock'!$B$17,$C411&lt;='1 - Titoli e shock'!$B$17),$D$39,0)</f>
        <v>0</v>
      </c>
      <c r="Q411" s="20">
        <f>IF(AND($B$39&lt;='1 - Titoli e shock'!$B$17,$C411&lt;='1 - Titoli e shock'!$B$17),$D$39,0)</f>
        <v>0</v>
      </c>
      <c r="R411" s="20">
        <f>IF(AND($B$39&lt;='1 - Titoli e shock'!$B$17,$C411&lt;='1 - Titoli e shock'!$B$17),$D$39,0)</f>
        <v>0</v>
      </c>
      <c r="S411" s="20">
        <f>IF(AND($B$39&lt;='1 - Titoli e shock'!$B$17,$C411&lt;='1 - Titoli e shock'!$B$17),$D$39,0)</f>
        <v>0</v>
      </c>
      <c r="T411" s="20">
        <f>IF(AND($B$39&lt;='1 - Titoli e shock'!$B$17,$C411&lt;='1 - Titoli e shock'!$B$17),$D$39,0)</f>
        <v>0</v>
      </c>
      <c r="U411" s="20">
        <f>IF(AND($B$39&lt;='1 - Titoli e shock'!$B$17,$C411&lt;='1 - Titoli e shock'!$B$17),$D$39,0)</f>
        <v>0</v>
      </c>
    </row>
    <row r="412" spans="1:21">
      <c r="A412" s="15" t="s">
        <v>267</v>
      </c>
      <c r="B412" s="22" t="str">
        <f>A40</f>
        <v>BTP 4,35% nov 2033</v>
      </c>
      <c r="C412" s="13">
        <f>EDATE($B$40,6*1)</f>
        <v>49065</v>
      </c>
      <c r="D412" s="23">
        <f>MAX(1,(YEAR(C412)-YEAR('1 - Titoli e shock'!$B$6))+IF(MONTH(C412)*100+DAY(C412)&gt;MONTH('1 - Titoli e shock'!$B$6)*100+DAY('1 - Titoli e shock'!$B$6),1,0))</f>
        <v>8</v>
      </c>
      <c r="F412" s="20">
        <f>IF(AND($B$40&lt;='1 - Titoli e shock'!$B$17,$C412&lt;='1 - Titoli e shock'!$B$17),$D$40*F$6/2*(1-'1 - Titoli e shock'!$B$8),0)</f>
        <v>293.08037988515889</v>
      </c>
      <c r="G412" s="20">
        <f>IF(AND($B$40&lt;='1 - Titoli e shock'!$B$17,$C412&lt;='1 - Titoli e shock'!$B$17),$D$40*G$6/2*(1-'1 - Titoli e shock'!$B$8),0)</f>
        <v>376.19246830125587</v>
      </c>
      <c r="H412" s="20">
        <f>IF(AND($B$40&lt;='1 - Titoli e shock'!$B$17,$C412&lt;='1 - Titoli e shock'!$B$17),$D$40*H$6/2*(1-'1 - Titoli e shock'!$B$8),0)</f>
        <v>458.90778787849229</v>
      </c>
      <c r="I412" s="20">
        <f>IF(AND($B$40&lt;='1 - Titoli e shock'!$B$17,$C412&lt;='1 - Titoli e shock'!$B$17),$D$40*I$6/2*(1-'1 - Titoli e shock'!$B$8),0)</f>
        <v>541.23196734329383</v>
      </c>
      <c r="J412" s="20">
        <f>IF(AND($B$40&lt;='1 - Titoli e shock'!$B$17,$C412&lt;='1 - Titoli e shock'!$B$17),$D$40*J$6/2*(1-'1 - Titoli e shock'!$B$8),0)</f>
        <v>396.90827310761182</v>
      </c>
      <c r="K412" s="20">
        <f>IF(AND($B$40&lt;='1 - Titoli e shock'!$B$17,$C412&lt;='1 - Titoli e shock'!$B$17),$D$40*K$6/2*(1-'1 - Titoli e shock'!$B$8),0)</f>
        <v>417.59936925787588</v>
      </c>
      <c r="L412" s="20">
        <f>IF(AND($B$40&lt;='1 - Titoli e shock'!$B$17,$C412&lt;='1 - Titoli e shock'!$B$17),$D$40*L$6/2*(1-'1 - Titoli e shock'!$B$8),0)</f>
        <v>425.86890906937828</v>
      </c>
      <c r="M412" s="20">
        <f>IF(AND($B$40&lt;='1 - Titoli e shock'!$B$17,$C412&lt;='1 - Titoli e shock'!$B$17),$D$40*M$6/2*(1-'1 - Titoli e shock'!$B$8),0)</f>
        <v>434.13451523572132</v>
      </c>
      <c r="N412" s="20">
        <f>IF(AND($B$40&lt;='1 - Titoli e shock'!$B$17,$C412&lt;='1 - Titoli e shock'!$B$17),$D$40*N$6/2*(1-'1 - Titoli e shock'!$B$8),0)</f>
        <v>442.39619336502955</v>
      </c>
      <c r="O412" s="20">
        <f>IF(AND($B$40&lt;='1 - Titoli e shock'!$B$17,$C412&lt;='1 - Titoli e shock'!$B$17),$D$40*O$6/2*(1-'1 - Titoli e shock'!$B$8),0)</f>
        <v>450.65394905210377</v>
      </c>
      <c r="P412" s="20">
        <f>IF(AND($B$40&lt;='1 - Titoli e shock'!$B$17,$C412&lt;='1 - Titoli e shock'!$B$17),$D$40*P$6/2*(1-'1 - Titoli e shock'!$B$8),0)</f>
        <v>467.15771541249899</v>
      </c>
      <c r="Q412" s="20">
        <f>IF(AND($B$40&lt;='1 - Titoli e shock'!$B$17,$C412&lt;='1 - Titoli e shock'!$B$17),$D$40*Q$6/2*(1-'1 - Titoli e shock'!$B$8),0)</f>
        <v>475.40373720926925</v>
      </c>
      <c r="R412" s="20">
        <f>IF(AND($B$40&lt;='1 - Titoli e shock'!$B$17,$C412&lt;='1 - Titoli e shock'!$B$17),$D$40*R$6/2*(1-'1 - Titoli e shock'!$B$8),0)</f>
        <v>483.64585881078682</v>
      </c>
      <c r="S412" s="20">
        <f>IF(AND($B$40&lt;='1 - Titoli e shock'!$B$17,$C412&lt;='1 - Titoli e shock'!$B$17),$D$40*S$6/2*(1-'1 - Titoli e shock'!$B$8),0)</f>
        <v>491.88408574595962</v>
      </c>
      <c r="T412" s="20">
        <f>IF(AND($B$40&lt;='1 - Titoli e shock'!$B$17,$C412&lt;='1 - Titoli e shock'!$B$17),$D$40*T$6/2*(1-'1 - Titoli e shock'!$B$8),0)</f>
        <v>500.11842353063946</v>
      </c>
      <c r="U412" s="20">
        <f>IF(AND($B$40&lt;='1 - Titoli e shock'!$B$17,$C412&lt;='1 - Titoli e shock'!$B$17),$D$40*U$6/2*(1-'1 - Titoli e shock'!$B$8),0)</f>
        <v>623.17050358179927</v>
      </c>
    </row>
    <row r="413" spans="1:21">
      <c r="A413" s="15" t="s">
        <v>267</v>
      </c>
      <c r="B413" s="22" t="str">
        <f>A40</f>
        <v>BTP 4,35% nov 2033</v>
      </c>
      <c r="C413" s="13">
        <f>EDATE($B$40,6*2)</f>
        <v>49249</v>
      </c>
      <c r="D413" s="23">
        <f>MAX(1,(YEAR(C413)-YEAR('1 - Titoli e shock'!$B$6))+IF(MONTH(C413)*100+DAY(C413)&gt;MONTH('1 - Titoli e shock'!$B$6)*100+DAY('1 - Titoli e shock'!$B$6),1,0))</f>
        <v>9</v>
      </c>
      <c r="F413" s="20">
        <f>IF(AND($B$40&lt;='1 - Titoli e shock'!$B$17,$C413&lt;='1 - Titoli e shock'!$B$17),$D$40*F$6/2*(1-'1 - Titoli e shock'!$B$8),0)</f>
        <v>293.08037988515889</v>
      </c>
      <c r="G413" s="20">
        <f>IF(AND($B$40&lt;='1 - Titoli e shock'!$B$17,$C413&lt;='1 - Titoli e shock'!$B$17),$D$40*G$6/2*(1-'1 - Titoli e shock'!$B$8),0)</f>
        <v>376.19246830125587</v>
      </c>
      <c r="H413" s="20">
        <f>IF(AND($B$40&lt;='1 - Titoli e shock'!$B$17,$C413&lt;='1 - Titoli e shock'!$B$17),$D$40*H$6/2*(1-'1 - Titoli e shock'!$B$8),0)</f>
        <v>458.90778787849229</v>
      </c>
      <c r="I413" s="20">
        <f>IF(AND($B$40&lt;='1 - Titoli e shock'!$B$17,$C413&lt;='1 - Titoli e shock'!$B$17),$D$40*I$6/2*(1-'1 - Titoli e shock'!$B$8),0)</f>
        <v>541.23196734329383</v>
      </c>
      <c r="J413" s="20">
        <f>IF(AND($B$40&lt;='1 - Titoli e shock'!$B$17,$C413&lt;='1 - Titoli e shock'!$B$17),$D$40*J$6/2*(1-'1 - Titoli e shock'!$B$8),0)</f>
        <v>396.90827310761182</v>
      </c>
      <c r="K413" s="20">
        <f>IF(AND($B$40&lt;='1 - Titoli e shock'!$B$17,$C413&lt;='1 - Titoli e shock'!$B$17),$D$40*K$6/2*(1-'1 - Titoli e shock'!$B$8),0)</f>
        <v>417.59936925787588</v>
      </c>
      <c r="L413" s="20">
        <f>IF(AND($B$40&lt;='1 - Titoli e shock'!$B$17,$C413&lt;='1 - Titoli e shock'!$B$17),$D$40*L$6/2*(1-'1 - Titoli e shock'!$B$8),0)</f>
        <v>425.86890906937828</v>
      </c>
      <c r="M413" s="20">
        <f>IF(AND($B$40&lt;='1 - Titoli e shock'!$B$17,$C413&lt;='1 - Titoli e shock'!$B$17),$D$40*M$6/2*(1-'1 - Titoli e shock'!$B$8),0)</f>
        <v>434.13451523572132</v>
      </c>
      <c r="N413" s="20">
        <f>IF(AND($B$40&lt;='1 - Titoli e shock'!$B$17,$C413&lt;='1 - Titoli e shock'!$B$17),$D$40*N$6/2*(1-'1 - Titoli e shock'!$B$8),0)</f>
        <v>442.39619336502955</v>
      </c>
      <c r="O413" s="20">
        <f>IF(AND($B$40&lt;='1 - Titoli e shock'!$B$17,$C413&lt;='1 - Titoli e shock'!$B$17),$D$40*O$6/2*(1-'1 - Titoli e shock'!$B$8),0)</f>
        <v>450.65394905210377</v>
      </c>
      <c r="P413" s="20">
        <f>IF(AND($B$40&lt;='1 - Titoli e shock'!$B$17,$C413&lt;='1 - Titoli e shock'!$B$17),$D$40*P$6/2*(1-'1 - Titoli e shock'!$B$8),0)</f>
        <v>467.15771541249899</v>
      </c>
      <c r="Q413" s="20">
        <f>IF(AND($B$40&lt;='1 - Titoli e shock'!$B$17,$C413&lt;='1 - Titoli e shock'!$B$17),$D$40*Q$6/2*(1-'1 - Titoli e shock'!$B$8),0)</f>
        <v>475.40373720926925</v>
      </c>
      <c r="R413" s="20">
        <f>IF(AND($B$40&lt;='1 - Titoli e shock'!$B$17,$C413&lt;='1 - Titoli e shock'!$B$17),$D$40*R$6/2*(1-'1 - Titoli e shock'!$B$8),0)</f>
        <v>483.64585881078682</v>
      </c>
      <c r="S413" s="20">
        <f>IF(AND($B$40&lt;='1 - Titoli e shock'!$B$17,$C413&lt;='1 - Titoli e shock'!$B$17),$D$40*S$6/2*(1-'1 - Titoli e shock'!$B$8),0)</f>
        <v>491.88408574595962</v>
      </c>
      <c r="T413" s="20">
        <f>IF(AND($B$40&lt;='1 - Titoli e shock'!$B$17,$C413&lt;='1 - Titoli e shock'!$B$17),$D$40*T$6/2*(1-'1 - Titoli e shock'!$B$8),0)</f>
        <v>500.11842353063946</v>
      </c>
      <c r="U413" s="20">
        <f>IF(AND($B$40&lt;='1 - Titoli e shock'!$B$17,$C413&lt;='1 - Titoli e shock'!$B$17),$D$40*U$6/2*(1-'1 - Titoli e shock'!$B$8),0)</f>
        <v>623.17050358179927</v>
      </c>
    </row>
    <row r="414" spans="1:21">
      <c r="A414" s="15" t="s">
        <v>267</v>
      </c>
      <c r="B414" s="22" t="str">
        <f>A40</f>
        <v>BTP 4,35% nov 2033</v>
      </c>
      <c r="C414" s="13">
        <f>EDATE($B$40,6*3)</f>
        <v>49430</v>
      </c>
      <c r="D414" s="23">
        <f>MAX(1,(YEAR(C414)-YEAR('1 - Titoli e shock'!$B$6))+IF(MONTH(C414)*100+DAY(C414)&gt;MONTH('1 - Titoli e shock'!$B$6)*100+DAY('1 - Titoli e shock'!$B$6),1,0))</f>
        <v>9</v>
      </c>
      <c r="F414" s="20">
        <f>IF(AND($B$40&lt;='1 - Titoli e shock'!$B$17,$C414&lt;='1 - Titoli e shock'!$B$17),$D$40*F$6/2*(1-'1 - Titoli e shock'!$B$8),0)</f>
        <v>293.08037988515889</v>
      </c>
      <c r="G414" s="20">
        <f>IF(AND($B$40&lt;='1 - Titoli e shock'!$B$17,$C414&lt;='1 - Titoli e shock'!$B$17),$D$40*G$6/2*(1-'1 - Titoli e shock'!$B$8),0)</f>
        <v>376.19246830125587</v>
      </c>
      <c r="H414" s="20">
        <f>IF(AND($B$40&lt;='1 - Titoli e shock'!$B$17,$C414&lt;='1 - Titoli e shock'!$B$17),$D$40*H$6/2*(1-'1 - Titoli e shock'!$B$8),0)</f>
        <v>458.90778787849229</v>
      </c>
      <c r="I414" s="20">
        <f>IF(AND($B$40&lt;='1 - Titoli e shock'!$B$17,$C414&lt;='1 - Titoli e shock'!$B$17),$D$40*I$6/2*(1-'1 - Titoli e shock'!$B$8),0)</f>
        <v>541.23196734329383</v>
      </c>
      <c r="J414" s="20">
        <f>IF(AND($B$40&lt;='1 - Titoli e shock'!$B$17,$C414&lt;='1 - Titoli e shock'!$B$17),$D$40*J$6/2*(1-'1 - Titoli e shock'!$B$8),0)</f>
        <v>396.90827310761182</v>
      </c>
      <c r="K414" s="20">
        <f>IF(AND($B$40&lt;='1 - Titoli e shock'!$B$17,$C414&lt;='1 - Titoli e shock'!$B$17),$D$40*K$6/2*(1-'1 - Titoli e shock'!$B$8),0)</f>
        <v>417.59936925787588</v>
      </c>
      <c r="L414" s="20">
        <f>IF(AND($B$40&lt;='1 - Titoli e shock'!$B$17,$C414&lt;='1 - Titoli e shock'!$B$17),$D$40*L$6/2*(1-'1 - Titoli e shock'!$B$8),0)</f>
        <v>425.86890906937828</v>
      </c>
      <c r="M414" s="20">
        <f>IF(AND($B$40&lt;='1 - Titoli e shock'!$B$17,$C414&lt;='1 - Titoli e shock'!$B$17),$D$40*M$6/2*(1-'1 - Titoli e shock'!$B$8),0)</f>
        <v>434.13451523572132</v>
      </c>
      <c r="N414" s="20">
        <f>IF(AND($B$40&lt;='1 - Titoli e shock'!$B$17,$C414&lt;='1 - Titoli e shock'!$B$17),$D$40*N$6/2*(1-'1 - Titoli e shock'!$B$8),0)</f>
        <v>442.39619336502955</v>
      </c>
      <c r="O414" s="20">
        <f>IF(AND($B$40&lt;='1 - Titoli e shock'!$B$17,$C414&lt;='1 - Titoli e shock'!$B$17),$D$40*O$6/2*(1-'1 - Titoli e shock'!$B$8),0)</f>
        <v>450.65394905210377</v>
      </c>
      <c r="P414" s="20">
        <f>IF(AND($B$40&lt;='1 - Titoli e shock'!$B$17,$C414&lt;='1 - Titoli e shock'!$B$17),$D$40*P$6/2*(1-'1 - Titoli e shock'!$B$8),0)</f>
        <v>467.15771541249899</v>
      </c>
      <c r="Q414" s="20">
        <f>IF(AND($B$40&lt;='1 - Titoli e shock'!$B$17,$C414&lt;='1 - Titoli e shock'!$B$17),$D$40*Q$6/2*(1-'1 - Titoli e shock'!$B$8),0)</f>
        <v>475.40373720926925</v>
      </c>
      <c r="R414" s="20">
        <f>IF(AND($B$40&lt;='1 - Titoli e shock'!$B$17,$C414&lt;='1 - Titoli e shock'!$B$17),$D$40*R$6/2*(1-'1 - Titoli e shock'!$B$8),0)</f>
        <v>483.64585881078682</v>
      </c>
      <c r="S414" s="20">
        <f>IF(AND($B$40&lt;='1 - Titoli e shock'!$B$17,$C414&lt;='1 - Titoli e shock'!$B$17),$D$40*S$6/2*(1-'1 - Titoli e shock'!$B$8),0)</f>
        <v>491.88408574595962</v>
      </c>
      <c r="T414" s="20">
        <f>IF(AND($B$40&lt;='1 - Titoli e shock'!$B$17,$C414&lt;='1 - Titoli e shock'!$B$17),$D$40*T$6/2*(1-'1 - Titoli e shock'!$B$8),0)</f>
        <v>500.11842353063946</v>
      </c>
      <c r="U414" s="20">
        <f>IF(AND($B$40&lt;='1 - Titoli e shock'!$B$17,$C414&lt;='1 - Titoli e shock'!$B$17),$D$40*U$6/2*(1-'1 - Titoli e shock'!$B$8),0)</f>
        <v>623.17050358179927</v>
      </c>
    </row>
    <row r="415" spans="1:21">
      <c r="A415" s="15" t="s">
        <v>267</v>
      </c>
      <c r="B415" s="22" t="str">
        <f>A40</f>
        <v>BTP 4,35% nov 2033</v>
      </c>
      <c r="C415" s="13">
        <f>EDATE($B$40,6*4)</f>
        <v>49614</v>
      </c>
      <c r="D415" s="23">
        <f>MAX(1,(YEAR(C415)-YEAR('1 - Titoli e shock'!$B$6))+IF(MONTH(C415)*100+DAY(C415)&gt;MONTH('1 - Titoli e shock'!$B$6)*100+DAY('1 - Titoli e shock'!$B$6),1,0))</f>
        <v>10</v>
      </c>
      <c r="F415" s="20">
        <f>IF(AND($B$40&lt;='1 - Titoli e shock'!$B$17,$C415&lt;='1 - Titoli e shock'!$B$17),$D$40*F$6/2*(1-'1 - Titoli e shock'!$B$8),0)</f>
        <v>293.08037988515889</v>
      </c>
      <c r="G415" s="20">
        <f>IF(AND($B$40&lt;='1 - Titoli e shock'!$B$17,$C415&lt;='1 - Titoli e shock'!$B$17),$D$40*G$6/2*(1-'1 - Titoli e shock'!$B$8),0)</f>
        <v>376.19246830125587</v>
      </c>
      <c r="H415" s="20">
        <f>IF(AND($B$40&lt;='1 - Titoli e shock'!$B$17,$C415&lt;='1 - Titoli e shock'!$B$17),$D$40*H$6/2*(1-'1 - Titoli e shock'!$B$8),0)</f>
        <v>458.90778787849229</v>
      </c>
      <c r="I415" s="20">
        <f>IF(AND($B$40&lt;='1 - Titoli e shock'!$B$17,$C415&lt;='1 - Titoli e shock'!$B$17),$D$40*I$6/2*(1-'1 - Titoli e shock'!$B$8),0)</f>
        <v>541.23196734329383</v>
      </c>
      <c r="J415" s="20">
        <f>IF(AND($B$40&lt;='1 - Titoli e shock'!$B$17,$C415&lt;='1 - Titoli e shock'!$B$17),$D$40*J$6/2*(1-'1 - Titoli e shock'!$B$8),0)</f>
        <v>396.90827310761182</v>
      </c>
      <c r="K415" s="20">
        <f>IF(AND($B$40&lt;='1 - Titoli e shock'!$B$17,$C415&lt;='1 - Titoli e shock'!$B$17),$D$40*K$6/2*(1-'1 - Titoli e shock'!$B$8),0)</f>
        <v>417.59936925787588</v>
      </c>
      <c r="L415" s="20">
        <f>IF(AND($B$40&lt;='1 - Titoli e shock'!$B$17,$C415&lt;='1 - Titoli e shock'!$B$17),$D$40*L$6/2*(1-'1 - Titoli e shock'!$B$8),0)</f>
        <v>425.86890906937828</v>
      </c>
      <c r="M415" s="20">
        <f>IF(AND($B$40&lt;='1 - Titoli e shock'!$B$17,$C415&lt;='1 - Titoli e shock'!$B$17),$D$40*M$6/2*(1-'1 - Titoli e shock'!$B$8),0)</f>
        <v>434.13451523572132</v>
      </c>
      <c r="N415" s="20">
        <f>IF(AND($B$40&lt;='1 - Titoli e shock'!$B$17,$C415&lt;='1 - Titoli e shock'!$B$17),$D$40*N$6/2*(1-'1 - Titoli e shock'!$B$8),0)</f>
        <v>442.39619336502955</v>
      </c>
      <c r="O415" s="20">
        <f>IF(AND($B$40&lt;='1 - Titoli e shock'!$B$17,$C415&lt;='1 - Titoli e shock'!$B$17),$D$40*O$6/2*(1-'1 - Titoli e shock'!$B$8),0)</f>
        <v>450.65394905210377</v>
      </c>
      <c r="P415" s="20">
        <f>IF(AND($B$40&lt;='1 - Titoli e shock'!$B$17,$C415&lt;='1 - Titoli e shock'!$B$17),$D$40*P$6/2*(1-'1 - Titoli e shock'!$B$8),0)</f>
        <v>467.15771541249899</v>
      </c>
      <c r="Q415" s="20">
        <f>IF(AND($B$40&lt;='1 - Titoli e shock'!$B$17,$C415&lt;='1 - Titoli e shock'!$B$17),$D$40*Q$6/2*(1-'1 - Titoli e shock'!$B$8),0)</f>
        <v>475.40373720926925</v>
      </c>
      <c r="R415" s="20">
        <f>IF(AND($B$40&lt;='1 - Titoli e shock'!$B$17,$C415&lt;='1 - Titoli e shock'!$B$17),$D$40*R$6/2*(1-'1 - Titoli e shock'!$B$8),0)</f>
        <v>483.64585881078682</v>
      </c>
      <c r="S415" s="20">
        <f>IF(AND($B$40&lt;='1 - Titoli e shock'!$B$17,$C415&lt;='1 - Titoli e shock'!$B$17),$D$40*S$6/2*(1-'1 - Titoli e shock'!$B$8),0)</f>
        <v>491.88408574595962</v>
      </c>
      <c r="T415" s="20">
        <f>IF(AND($B$40&lt;='1 - Titoli e shock'!$B$17,$C415&lt;='1 - Titoli e shock'!$B$17),$D$40*T$6/2*(1-'1 - Titoli e shock'!$B$8),0)</f>
        <v>500.11842353063946</v>
      </c>
      <c r="U415" s="20">
        <f>IF(AND($B$40&lt;='1 - Titoli e shock'!$B$17,$C415&lt;='1 - Titoli e shock'!$B$17),$D$40*U$6/2*(1-'1 - Titoli e shock'!$B$8),0)</f>
        <v>623.17050358179927</v>
      </c>
    </row>
    <row r="416" spans="1:21">
      <c r="A416" s="15" t="s">
        <v>267</v>
      </c>
      <c r="B416" s="22" t="str">
        <f>A40</f>
        <v>BTP 4,35% nov 2033</v>
      </c>
      <c r="C416" s="13">
        <f>EDATE($B$40,6*5)</f>
        <v>49796</v>
      </c>
      <c r="D416" s="23">
        <f>MAX(1,(YEAR(C416)-YEAR('1 - Titoli e shock'!$B$6))+IF(MONTH(C416)*100+DAY(C416)&gt;MONTH('1 - Titoli e shock'!$B$6)*100+DAY('1 - Titoli e shock'!$B$6),1,0))</f>
        <v>10</v>
      </c>
      <c r="F416" s="20">
        <f>IF(AND($B$40&lt;='1 - Titoli e shock'!$B$17,$C416&lt;='1 - Titoli e shock'!$B$17),$D$40*F$6/2*(1-'1 - Titoli e shock'!$B$8),0)</f>
        <v>293.08037988515889</v>
      </c>
      <c r="G416" s="20">
        <f>IF(AND($B$40&lt;='1 - Titoli e shock'!$B$17,$C416&lt;='1 - Titoli e shock'!$B$17),$D$40*G$6/2*(1-'1 - Titoli e shock'!$B$8),0)</f>
        <v>376.19246830125587</v>
      </c>
      <c r="H416" s="20">
        <f>IF(AND($B$40&lt;='1 - Titoli e shock'!$B$17,$C416&lt;='1 - Titoli e shock'!$B$17),$D$40*H$6/2*(1-'1 - Titoli e shock'!$B$8),0)</f>
        <v>458.90778787849229</v>
      </c>
      <c r="I416" s="20">
        <f>IF(AND($B$40&lt;='1 - Titoli e shock'!$B$17,$C416&lt;='1 - Titoli e shock'!$B$17),$D$40*I$6/2*(1-'1 - Titoli e shock'!$B$8),0)</f>
        <v>541.23196734329383</v>
      </c>
      <c r="J416" s="20">
        <f>IF(AND($B$40&lt;='1 - Titoli e shock'!$B$17,$C416&lt;='1 - Titoli e shock'!$B$17),$D$40*J$6/2*(1-'1 - Titoli e shock'!$B$8),0)</f>
        <v>396.90827310761182</v>
      </c>
      <c r="K416" s="20">
        <f>IF(AND($B$40&lt;='1 - Titoli e shock'!$B$17,$C416&lt;='1 - Titoli e shock'!$B$17),$D$40*K$6/2*(1-'1 - Titoli e shock'!$B$8),0)</f>
        <v>417.59936925787588</v>
      </c>
      <c r="L416" s="20">
        <f>IF(AND($B$40&lt;='1 - Titoli e shock'!$B$17,$C416&lt;='1 - Titoli e shock'!$B$17),$D$40*L$6/2*(1-'1 - Titoli e shock'!$B$8),0)</f>
        <v>425.86890906937828</v>
      </c>
      <c r="M416" s="20">
        <f>IF(AND($B$40&lt;='1 - Titoli e shock'!$B$17,$C416&lt;='1 - Titoli e shock'!$B$17),$D$40*M$6/2*(1-'1 - Titoli e shock'!$B$8),0)</f>
        <v>434.13451523572132</v>
      </c>
      <c r="N416" s="20">
        <f>IF(AND($B$40&lt;='1 - Titoli e shock'!$B$17,$C416&lt;='1 - Titoli e shock'!$B$17),$D$40*N$6/2*(1-'1 - Titoli e shock'!$B$8),0)</f>
        <v>442.39619336502955</v>
      </c>
      <c r="O416" s="20">
        <f>IF(AND($B$40&lt;='1 - Titoli e shock'!$B$17,$C416&lt;='1 - Titoli e shock'!$B$17),$D$40*O$6/2*(1-'1 - Titoli e shock'!$B$8),0)</f>
        <v>450.65394905210377</v>
      </c>
      <c r="P416" s="20">
        <f>IF(AND($B$40&lt;='1 - Titoli e shock'!$B$17,$C416&lt;='1 - Titoli e shock'!$B$17),$D$40*P$6/2*(1-'1 - Titoli e shock'!$B$8),0)</f>
        <v>467.15771541249899</v>
      </c>
      <c r="Q416" s="20">
        <f>IF(AND($B$40&lt;='1 - Titoli e shock'!$B$17,$C416&lt;='1 - Titoli e shock'!$B$17),$D$40*Q$6/2*(1-'1 - Titoli e shock'!$B$8),0)</f>
        <v>475.40373720926925</v>
      </c>
      <c r="R416" s="20">
        <f>IF(AND($B$40&lt;='1 - Titoli e shock'!$B$17,$C416&lt;='1 - Titoli e shock'!$B$17),$D$40*R$6/2*(1-'1 - Titoli e shock'!$B$8),0)</f>
        <v>483.64585881078682</v>
      </c>
      <c r="S416" s="20">
        <f>IF(AND($B$40&lt;='1 - Titoli e shock'!$B$17,$C416&lt;='1 - Titoli e shock'!$B$17),$D$40*S$6/2*(1-'1 - Titoli e shock'!$B$8),0)</f>
        <v>491.88408574595962</v>
      </c>
      <c r="T416" s="20">
        <f>IF(AND($B$40&lt;='1 - Titoli e shock'!$B$17,$C416&lt;='1 - Titoli e shock'!$B$17),$D$40*T$6/2*(1-'1 - Titoli e shock'!$B$8),0)</f>
        <v>500.11842353063946</v>
      </c>
      <c r="U416" s="20">
        <f>IF(AND($B$40&lt;='1 - Titoli e shock'!$B$17,$C416&lt;='1 - Titoli e shock'!$B$17),$D$40*U$6/2*(1-'1 - Titoli e shock'!$B$8),0)</f>
        <v>623.17050358179927</v>
      </c>
    </row>
    <row r="417" spans="1:21">
      <c r="A417" s="15" t="s">
        <v>267</v>
      </c>
      <c r="B417" s="22" t="str">
        <f>A40</f>
        <v>BTP 4,35% nov 2033</v>
      </c>
      <c r="C417" s="13">
        <f>EDATE($B$40,6*6)</f>
        <v>49980</v>
      </c>
      <c r="D417" s="23">
        <f>MAX(1,(YEAR(C417)-YEAR('1 - Titoli e shock'!$B$6))+IF(MONTH(C417)*100+DAY(C417)&gt;MONTH('1 - Titoli e shock'!$B$6)*100+DAY('1 - Titoli e shock'!$B$6),1,0))</f>
        <v>11</v>
      </c>
      <c r="F417" s="20">
        <f>IF(AND($B$40&lt;='1 - Titoli e shock'!$B$17,$C417&lt;='1 - Titoli e shock'!$B$17),$D$40*F$6/2*(1-'1 - Titoli e shock'!$B$8),0)</f>
        <v>0</v>
      </c>
      <c r="G417" s="20">
        <f>IF(AND($B$40&lt;='1 - Titoli e shock'!$B$17,$C417&lt;='1 - Titoli e shock'!$B$17),$D$40*G$6/2*(1-'1 - Titoli e shock'!$B$8),0)</f>
        <v>0</v>
      </c>
      <c r="H417" s="20">
        <f>IF(AND($B$40&lt;='1 - Titoli e shock'!$B$17,$C417&lt;='1 - Titoli e shock'!$B$17),$D$40*H$6/2*(1-'1 - Titoli e shock'!$B$8),0)</f>
        <v>0</v>
      </c>
      <c r="I417" s="20">
        <f>IF(AND($B$40&lt;='1 - Titoli e shock'!$B$17,$C417&lt;='1 - Titoli e shock'!$B$17),$D$40*I$6/2*(1-'1 - Titoli e shock'!$B$8),0)</f>
        <v>0</v>
      </c>
      <c r="J417" s="20">
        <f>IF(AND($B$40&lt;='1 - Titoli e shock'!$B$17,$C417&lt;='1 - Titoli e shock'!$B$17),$D$40*J$6/2*(1-'1 - Titoli e shock'!$B$8),0)</f>
        <v>0</v>
      </c>
      <c r="K417" s="20">
        <f>IF(AND($B$40&lt;='1 - Titoli e shock'!$B$17,$C417&lt;='1 - Titoli e shock'!$B$17),$D$40*K$6/2*(1-'1 - Titoli e shock'!$B$8),0)</f>
        <v>0</v>
      </c>
      <c r="L417" s="20">
        <f>IF(AND($B$40&lt;='1 - Titoli e shock'!$B$17,$C417&lt;='1 - Titoli e shock'!$B$17),$D$40*L$6/2*(1-'1 - Titoli e shock'!$B$8),0)</f>
        <v>0</v>
      </c>
      <c r="M417" s="20">
        <f>IF(AND($B$40&lt;='1 - Titoli e shock'!$B$17,$C417&lt;='1 - Titoli e shock'!$B$17),$D$40*M$6/2*(1-'1 - Titoli e shock'!$B$8),0)</f>
        <v>0</v>
      </c>
      <c r="N417" s="20">
        <f>IF(AND($B$40&lt;='1 - Titoli e shock'!$B$17,$C417&lt;='1 - Titoli e shock'!$B$17),$D$40*N$6/2*(1-'1 - Titoli e shock'!$B$8),0)</f>
        <v>0</v>
      </c>
      <c r="O417" s="20">
        <f>IF(AND($B$40&lt;='1 - Titoli e shock'!$B$17,$C417&lt;='1 - Titoli e shock'!$B$17),$D$40*O$6/2*(1-'1 - Titoli e shock'!$B$8),0)</f>
        <v>0</v>
      </c>
      <c r="P417" s="20">
        <f>IF(AND($B$40&lt;='1 - Titoli e shock'!$B$17,$C417&lt;='1 - Titoli e shock'!$B$17),$D$40*P$6/2*(1-'1 - Titoli e shock'!$B$8),0)</f>
        <v>0</v>
      </c>
      <c r="Q417" s="20">
        <f>IF(AND($B$40&lt;='1 - Titoli e shock'!$B$17,$C417&lt;='1 - Titoli e shock'!$B$17),$D$40*Q$6/2*(1-'1 - Titoli e shock'!$B$8),0)</f>
        <v>0</v>
      </c>
      <c r="R417" s="20">
        <f>IF(AND($B$40&lt;='1 - Titoli e shock'!$B$17,$C417&lt;='1 - Titoli e shock'!$B$17),$D$40*R$6/2*(1-'1 - Titoli e shock'!$B$8),0)</f>
        <v>0</v>
      </c>
      <c r="S417" s="20">
        <f>IF(AND($B$40&lt;='1 - Titoli e shock'!$B$17,$C417&lt;='1 - Titoli e shock'!$B$17),$D$40*S$6/2*(1-'1 - Titoli e shock'!$B$8),0)</f>
        <v>0</v>
      </c>
      <c r="T417" s="20">
        <f>IF(AND($B$40&lt;='1 - Titoli e shock'!$B$17,$C417&lt;='1 - Titoli e shock'!$B$17),$D$40*T$6/2*(1-'1 - Titoli e shock'!$B$8),0)</f>
        <v>0</v>
      </c>
      <c r="U417" s="20">
        <f>IF(AND($B$40&lt;='1 - Titoli e shock'!$B$17,$C417&lt;='1 - Titoli e shock'!$B$17),$D$40*U$6/2*(1-'1 - Titoli e shock'!$B$8),0)</f>
        <v>0</v>
      </c>
    </row>
    <row r="418" spans="1:21">
      <c r="A418" s="15" t="s">
        <v>267</v>
      </c>
      <c r="B418" s="22" t="str">
        <f>A40</f>
        <v>BTP 4,35% nov 2033</v>
      </c>
      <c r="C418" s="13">
        <f>EDATE($B$40,6*7)</f>
        <v>50161</v>
      </c>
      <c r="D418" s="23">
        <f>MAX(1,(YEAR(C418)-YEAR('1 - Titoli e shock'!$B$6))+IF(MONTH(C418)*100+DAY(C418)&gt;MONTH('1 - Titoli e shock'!$B$6)*100+DAY('1 - Titoli e shock'!$B$6),1,0))</f>
        <v>11</v>
      </c>
      <c r="F418" s="20">
        <f>IF(AND($B$40&lt;='1 - Titoli e shock'!$B$17,$C418&lt;='1 - Titoli e shock'!$B$17),$D$40*F$6/2*(1-'1 - Titoli e shock'!$B$8),0)</f>
        <v>0</v>
      </c>
      <c r="G418" s="20">
        <f>IF(AND($B$40&lt;='1 - Titoli e shock'!$B$17,$C418&lt;='1 - Titoli e shock'!$B$17),$D$40*G$6/2*(1-'1 - Titoli e shock'!$B$8),0)</f>
        <v>0</v>
      </c>
      <c r="H418" s="20">
        <f>IF(AND($B$40&lt;='1 - Titoli e shock'!$B$17,$C418&lt;='1 - Titoli e shock'!$B$17),$D$40*H$6/2*(1-'1 - Titoli e shock'!$B$8),0)</f>
        <v>0</v>
      </c>
      <c r="I418" s="20">
        <f>IF(AND($B$40&lt;='1 - Titoli e shock'!$B$17,$C418&lt;='1 - Titoli e shock'!$B$17),$D$40*I$6/2*(1-'1 - Titoli e shock'!$B$8),0)</f>
        <v>0</v>
      </c>
      <c r="J418" s="20">
        <f>IF(AND($B$40&lt;='1 - Titoli e shock'!$B$17,$C418&lt;='1 - Titoli e shock'!$B$17),$D$40*J$6/2*(1-'1 - Titoli e shock'!$B$8),0)</f>
        <v>0</v>
      </c>
      <c r="K418" s="20">
        <f>IF(AND($B$40&lt;='1 - Titoli e shock'!$B$17,$C418&lt;='1 - Titoli e shock'!$B$17),$D$40*K$6/2*(1-'1 - Titoli e shock'!$B$8),0)</f>
        <v>0</v>
      </c>
      <c r="L418" s="20">
        <f>IF(AND($B$40&lt;='1 - Titoli e shock'!$B$17,$C418&lt;='1 - Titoli e shock'!$B$17),$D$40*L$6/2*(1-'1 - Titoli e shock'!$B$8),0)</f>
        <v>0</v>
      </c>
      <c r="M418" s="20">
        <f>IF(AND($B$40&lt;='1 - Titoli e shock'!$B$17,$C418&lt;='1 - Titoli e shock'!$B$17),$D$40*M$6/2*(1-'1 - Titoli e shock'!$B$8),0)</f>
        <v>0</v>
      </c>
      <c r="N418" s="20">
        <f>IF(AND($B$40&lt;='1 - Titoli e shock'!$B$17,$C418&lt;='1 - Titoli e shock'!$B$17),$D$40*N$6/2*(1-'1 - Titoli e shock'!$B$8),0)</f>
        <v>0</v>
      </c>
      <c r="O418" s="20">
        <f>IF(AND($B$40&lt;='1 - Titoli e shock'!$B$17,$C418&lt;='1 - Titoli e shock'!$B$17),$D$40*O$6/2*(1-'1 - Titoli e shock'!$B$8),0)</f>
        <v>0</v>
      </c>
      <c r="P418" s="20">
        <f>IF(AND($B$40&lt;='1 - Titoli e shock'!$B$17,$C418&lt;='1 - Titoli e shock'!$B$17),$D$40*P$6/2*(1-'1 - Titoli e shock'!$B$8),0)</f>
        <v>0</v>
      </c>
      <c r="Q418" s="20">
        <f>IF(AND($B$40&lt;='1 - Titoli e shock'!$B$17,$C418&lt;='1 - Titoli e shock'!$B$17),$D$40*Q$6/2*(1-'1 - Titoli e shock'!$B$8),0)</f>
        <v>0</v>
      </c>
      <c r="R418" s="20">
        <f>IF(AND($B$40&lt;='1 - Titoli e shock'!$B$17,$C418&lt;='1 - Titoli e shock'!$B$17),$D$40*R$6/2*(1-'1 - Titoli e shock'!$B$8),0)</f>
        <v>0</v>
      </c>
      <c r="S418" s="20">
        <f>IF(AND($B$40&lt;='1 - Titoli e shock'!$B$17,$C418&lt;='1 - Titoli e shock'!$B$17),$D$40*S$6/2*(1-'1 - Titoli e shock'!$B$8),0)</f>
        <v>0</v>
      </c>
      <c r="T418" s="20">
        <f>IF(AND($B$40&lt;='1 - Titoli e shock'!$B$17,$C418&lt;='1 - Titoli e shock'!$B$17),$D$40*T$6/2*(1-'1 - Titoli e shock'!$B$8),0)</f>
        <v>0</v>
      </c>
      <c r="U418" s="20">
        <f>IF(AND($B$40&lt;='1 - Titoli e shock'!$B$17,$C418&lt;='1 - Titoli e shock'!$B$17),$D$40*U$6/2*(1-'1 - Titoli e shock'!$B$8),0)</f>
        <v>0</v>
      </c>
    </row>
    <row r="419" spans="1:21">
      <c r="A419" s="15" t="s">
        <v>267</v>
      </c>
      <c r="B419" s="22" t="str">
        <f>A40</f>
        <v>BTP 4,35% nov 2033</v>
      </c>
      <c r="C419" s="13">
        <f>EDATE($B$40,6*8)</f>
        <v>50345</v>
      </c>
      <c r="D419" s="23">
        <f>MAX(1,(YEAR(C419)-YEAR('1 - Titoli e shock'!$B$6))+IF(MONTH(C419)*100+DAY(C419)&gt;MONTH('1 - Titoli e shock'!$B$6)*100+DAY('1 - Titoli e shock'!$B$6),1,0))</f>
        <v>12</v>
      </c>
      <c r="F419" s="20">
        <f>IF(AND($B$40&lt;='1 - Titoli e shock'!$B$17,$C419&lt;='1 - Titoli e shock'!$B$17),$D$40*F$6/2*(1-'1 - Titoli e shock'!$B$8),0)</f>
        <v>0</v>
      </c>
      <c r="G419" s="20">
        <f>IF(AND($B$40&lt;='1 - Titoli e shock'!$B$17,$C419&lt;='1 - Titoli e shock'!$B$17),$D$40*G$6/2*(1-'1 - Titoli e shock'!$B$8),0)</f>
        <v>0</v>
      </c>
      <c r="H419" s="20">
        <f>IF(AND($B$40&lt;='1 - Titoli e shock'!$B$17,$C419&lt;='1 - Titoli e shock'!$B$17),$D$40*H$6/2*(1-'1 - Titoli e shock'!$B$8),0)</f>
        <v>0</v>
      </c>
      <c r="I419" s="20">
        <f>IF(AND($B$40&lt;='1 - Titoli e shock'!$B$17,$C419&lt;='1 - Titoli e shock'!$B$17),$D$40*I$6/2*(1-'1 - Titoli e shock'!$B$8),0)</f>
        <v>0</v>
      </c>
      <c r="J419" s="20">
        <f>IF(AND($B$40&lt;='1 - Titoli e shock'!$B$17,$C419&lt;='1 - Titoli e shock'!$B$17),$D$40*J$6/2*(1-'1 - Titoli e shock'!$B$8),0)</f>
        <v>0</v>
      </c>
      <c r="K419" s="20">
        <f>IF(AND($B$40&lt;='1 - Titoli e shock'!$B$17,$C419&lt;='1 - Titoli e shock'!$B$17),$D$40*K$6/2*(1-'1 - Titoli e shock'!$B$8),0)</f>
        <v>0</v>
      </c>
      <c r="L419" s="20">
        <f>IF(AND($B$40&lt;='1 - Titoli e shock'!$B$17,$C419&lt;='1 - Titoli e shock'!$B$17),$D$40*L$6/2*(1-'1 - Titoli e shock'!$B$8),0)</f>
        <v>0</v>
      </c>
      <c r="M419" s="20">
        <f>IF(AND($B$40&lt;='1 - Titoli e shock'!$B$17,$C419&lt;='1 - Titoli e shock'!$B$17),$D$40*M$6/2*(1-'1 - Titoli e shock'!$B$8),0)</f>
        <v>0</v>
      </c>
      <c r="N419" s="20">
        <f>IF(AND($B$40&lt;='1 - Titoli e shock'!$B$17,$C419&lt;='1 - Titoli e shock'!$B$17),$D$40*N$6/2*(1-'1 - Titoli e shock'!$B$8),0)</f>
        <v>0</v>
      </c>
      <c r="O419" s="20">
        <f>IF(AND($B$40&lt;='1 - Titoli e shock'!$B$17,$C419&lt;='1 - Titoli e shock'!$B$17),$D$40*O$6/2*(1-'1 - Titoli e shock'!$B$8),0)</f>
        <v>0</v>
      </c>
      <c r="P419" s="20">
        <f>IF(AND($B$40&lt;='1 - Titoli e shock'!$B$17,$C419&lt;='1 - Titoli e shock'!$B$17),$D$40*P$6/2*(1-'1 - Titoli e shock'!$B$8),0)</f>
        <v>0</v>
      </c>
      <c r="Q419" s="20">
        <f>IF(AND($B$40&lt;='1 - Titoli e shock'!$B$17,$C419&lt;='1 - Titoli e shock'!$B$17),$D$40*Q$6/2*(1-'1 - Titoli e shock'!$B$8),0)</f>
        <v>0</v>
      </c>
      <c r="R419" s="20">
        <f>IF(AND($B$40&lt;='1 - Titoli e shock'!$B$17,$C419&lt;='1 - Titoli e shock'!$B$17),$D$40*R$6/2*(1-'1 - Titoli e shock'!$B$8),0)</f>
        <v>0</v>
      </c>
      <c r="S419" s="20">
        <f>IF(AND($B$40&lt;='1 - Titoli e shock'!$B$17,$C419&lt;='1 - Titoli e shock'!$B$17),$D$40*S$6/2*(1-'1 - Titoli e shock'!$B$8),0)</f>
        <v>0</v>
      </c>
      <c r="T419" s="20">
        <f>IF(AND($B$40&lt;='1 - Titoli e shock'!$B$17,$C419&lt;='1 - Titoli e shock'!$B$17),$D$40*T$6/2*(1-'1 - Titoli e shock'!$B$8),0)</f>
        <v>0</v>
      </c>
      <c r="U419" s="20">
        <f>IF(AND($B$40&lt;='1 - Titoli e shock'!$B$17,$C419&lt;='1 - Titoli e shock'!$B$17),$D$40*U$6/2*(1-'1 - Titoli e shock'!$B$8),0)</f>
        <v>0</v>
      </c>
    </row>
    <row r="420" spans="1:21">
      <c r="A420" s="15" t="s">
        <v>267</v>
      </c>
      <c r="B420" s="22" t="str">
        <f>A40</f>
        <v>BTP 4,35% nov 2033</v>
      </c>
      <c r="C420" s="13">
        <f>EDATE($B$40,6*9)</f>
        <v>50526</v>
      </c>
      <c r="D420" s="23">
        <f>MAX(1,(YEAR(C420)-YEAR('1 - Titoli e shock'!$B$6))+IF(MONTH(C420)*100+DAY(C420)&gt;MONTH('1 - Titoli e shock'!$B$6)*100+DAY('1 - Titoli e shock'!$B$6),1,0))</f>
        <v>12</v>
      </c>
      <c r="F420" s="20">
        <f>IF(AND($B$40&lt;='1 - Titoli e shock'!$B$17,$C420&lt;='1 - Titoli e shock'!$B$17),$D$40*F$6/2*(1-'1 - Titoli e shock'!$B$8),0)</f>
        <v>0</v>
      </c>
      <c r="G420" s="20">
        <f>IF(AND($B$40&lt;='1 - Titoli e shock'!$B$17,$C420&lt;='1 - Titoli e shock'!$B$17),$D$40*G$6/2*(1-'1 - Titoli e shock'!$B$8),0)</f>
        <v>0</v>
      </c>
      <c r="H420" s="20">
        <f>IF(AND($B$40&lt;='1 - Titoli e shock'!$B$17,$C420&lt;='1 - Titoli e shock'!$B$17),$D$40*H$6/2*(1-'1 - Titoli e shock'!$B$8),0)</f>
        <v>0</v>
      </c>
      <c r="I420" s="20">
        <f>IF(AND($B$40&lt;='1 - Titoli e shock'!$B$17,$C420&lt;='1 - Titoli e shock'!$B$17),$D$40*I$6/2*(1-'1 - Titoli e shock'!$B$8),0)</f>
        <v>0</v>
      </c>
      <c r="J420" s="20">
        <f>IF(AND($B$40&lt;='1 - Titoli e shock'!$B$17,$C420&lt;='1 - Titoli e shock'!$B$17),$D$40*J$6/2*(1-'1 - Titoli e shock'!$B$8),0)</f>
        <v>0</v>
      </c>
      <c r="K420" s="20">
        <f>IF(AND($B$40&lt;='1 - Titoli e shock'!$B$17,$C420&lt;='1 - Titoli e shock'!$B$17),$D$40*K$6/2*(1-'1 - Titoli e shock'!$B$8),0)</f>
        <v>0</v>
      </c>
      <c r="L420" s="20">
        <f>IF(AND($B$40&lt;='1 - Titoli e shock'!$B$17,$C420&lt;='1 - Titoli e shock'!$B$17),$D$40*L$6/2*(1-'1 - Titoli e shock'!$B$8),0)</f>
        <v>0</v>
      </c>
      <c r="M420" s="20">
        <f>IF(AND($B$40&lt;='1 - Titoli e shock'!$B$17,$C420&lt;='1 - Titoli e shock'!$B$17),$D$40*M$6/2*(1-'1 - Titoli e shock'!$B$8),0)</f>
        <v>0</v>
      </c>
      <c r="N420" s="20">
        <f>IF(AND($B$40&lt;='1 - Titoli e shock'!$B$17,$C420&lt;='1 - Titoli e shock'!$B$17),$D$40*N$6/2*(1-'1 - Titoli e shock'!$B$8),0)</f>
        <v>0</v>
      </c>
      <c r="O420" s="20">
        <f>IF(AND($B$40&lt;='1 - Titoli e shock'!$B$17,$C420&lt;='1 - Titoli e shock'!$B$17),$D$40*O$6/2*(1-'1 - Titoli e shock'!$B$8),0)</f>
        <v>0</v>
      </c>
      <c r="P420" s="20">
        <f>IF(AND($B$40&lt;='1 - Titoli e shock'!$B$17,$C420&lt;='1 - Titoli e shock'!$B$17),$D$40*P$6/2*(1-'1 - Titoli e shock'!$B$8),0)</f>
        <v>0</v>
      </c>
      <c r="Q420" s="20">
        <f>IF(AND($B$40&lt;='1 - Titoli e shock'!$B$17,$C420&lt;='1 - Titoli e shock'!$B$17),$D$40*Q$6/2*(1-'1 - Titoli e shock'!$B$8),0)</f>
        <v>0</v>
      </c>
      <c r="R420" s="20">
        <f>IF(AND($B$40&lt;='1 - Titoli e shock'!$B$17,$C420&lt;='1 - Titoli e shock'!$B$17),$D$40*R$6/2*(1-'1 - Titoli e shock'!$B$8),0)</f>
        <v>0</v>
      </c>
      <c r="S420" s="20">
        <f>IF(AND($B$40&lt;='1 - Titoli e shock'!$B$17,$C420&lt;='1 - Titoli e shock'!$B$17),$D$40*S$6/2*(1-'1 - Titoli e shock'!$B$8),0)</f>
        <v>0</v>
      </c>
      <c r="T420" s="20">
        <f>IF(AND($B$40&lt;='1 - Titoli e shock'!$B$17,$C420&lt;='1 - Titoli e shock'!$B$17),$D$40*T$6/2*(1-'1 - Titoli e shock'!$B$8),0)</f>
        <v>0</v>
      </c>
      <c r="U420" s="20">
        <f>IF(AND($B$40&lt;='1 - Titoli e shock'!$B$17,$C420&lt;='1 - Titoli e shock'!$B$17),$D$40*U$6/2*(1-'1 - Titoli e shock'!$B$8),0)</f>
        <v>0</v>
      </c>
    </row>
    <row r="421" spans="1:21">
      <c r="A421" s="15" t="s">
        <v>267</v>
      </c>
      <c r="B421" s="22" t="str">
        <f>A40</f>
        <v>BTP 4,35% nov 2033</v>
      </c>
      <c r="C421" s="13">
        <f>EDATE($B$40,6*10)</f>
        <v>50710</v>
      </c>
      <c r="D421" s="23">
        <f>MAX(1,(YEAR(C421)-YEAR('1 - Titoli e shock'!$B$6))+IF(MONTH(C421)*100+DAY(C421)&gt;MONTH('1 - Titoli e shock'!$B$6)*100+DAY('1 - Titoli e shock'!$B$6),1,0))</f>
        <v>13</v>
      </c>
      <c r="F421" s="20">
        <f>IF(AND($B$40&lt;='1 - Titoli e shock'!$B$17,$C421&lt;='1 - Titoli e shock'!$B$17),$D$40*F$6/2*(1-'1 - Titoli e shock'!$B$8),0)</f>
        <v>0</v>
      </c>
      <c r="G421" s="20">
        <f>IF(AND($B$40&lt;='1 - Titoli e shock'!$B$17,$C421&lt;='1 - Titoli e shock'!$B$17),$D$40*G$6/2*(1-'1 - Titoli e shock'!$B$8),0)</f>
        <v>0</v>
      </c>
      <c r="H421" s="20">
        <f>IF(AND($B$40&lt;='1 - Titoli e shock'!$B$17,$C421&lt;='1 - Titoli e shock'!$B$17),$D$40*H$6/2*(1-'1 - Titoli e shock'!$B$8),0)</f>
        <v>0</v>
      </c>
      <c r="I421" s="20">
        <f>IF(AND($B$40&lt;='1 - Titoli e shock'!$B$17,$C421&lt;='1 - Titoli e shock'!$B$17),$D$40*I$6/2*(1-'1 - Titoli e shock'!$B$8),0)</f>
        <v>0</v>
      </c>
      <c r="J421" s="20">
        <f>IF(AND($B$40&lt;='1 - Titoli e shock'!$B$17,$C421&lt;='1 - Titoli e shock'!$B$17),$D$40*J$6/2*(1-'1 - Titoli e shock'!$B$8),0)</f>
        <v>0</v>
      </c>
      <c r="K421" s="20">
        <f>IF(AND($B$40&lt;='1 - Titoli e shock'!$B$17,$C421&lt;='1 - Titoli e shock'!$B$17),$D$40*K$6/2*(1-'1 - Titoli e shock'!$B$8),0)</f>
        <v>0</v>
      </c>
      <c r="L421" s="20">
        <f>IF(AND($B$40&lt;='1 - Titoli e shock'!$B$17,$C421&lt;='1 - Titoli e shock'!$B$17),$D$40*L$6/2*(1-'1 - Titoli e shock'!$B$8),0)</f>
        <v>0</v>
      </c>
      <c r="M421" s="20">
        <f>IF(AND($B$40&lt;='1 - Titoli e shock'!$B$17,$C421&lt;='1 - Titoli e shock'!$B$17),$D$40*M$6/2*(1-'1 - Titoli e shock'!$B$8),0)</f>
        <v>0</v>
      </c>
      <c r="N421" s="20">
        <f>IF(AND($B$40&lt;='1 - Titoli e shock'!$B$17,$C421&lt;='1 - Titoli e shock'!$B$17),$D$40*N$6/2*(1-'1 - Titoli e shock'!$B$8),0)</f>
        <v>0</v>
      </c>
      <c r="O421" s="20">
        <f>IF(AND($B$40&lt;='1 - Titoli e shock'!$B$17,$C421&lt;='1 - Titoli e shock'!$B$17),$D$40*O$6/2*(1-'1 - Titoli e shock'!$B$8),0)</f>
        <v>0</v>
      </c>
      <c r="P421" s="20">
        <f>IF(AND($B$40&lt;='1 - Titoli e shock'!$B$17,$C421&lt;='1 - Titoli e shock'!$B$17),$D$40*P$6/2*(1-'1 - Titoli e shock'!$B$8),0)</f>
        <v>0</v>
      </c>
      <c r="Q421" s="20">
        <f>IF(AND($B$40&lt;='1 - Titoli e shock'!$B$17,$C421&lt;='1 - Titoli e shock'!$B$17),$D$40*Q$6/2*(1-'1 - Titoli e shock'!$B$8),0)</f>
        <v>0</v>
      </c>
      <c r="R421" s="20">
        <f>IF(AND($B$40&lt;='1 - Titoli e shock'!$B$17,$C421&lt;='1 - Titoli e shock'!$B$17),$D$40*R$6/2*(1-'1 - Titoli e shock'!$B$8),0)</f>
        <v>0</v>
      </c>
      <c r="S421" s="20">
        <f>IF(AND($B$40&lt;='1 - Titoli e shock'!$B$17,$C421&lt;='1 - Titoli e shock'!$B$17),$D$40*S$6/2*(1-'1 - Titoli e shock'!$B$8),0)</f>
        <v>0</v>
      </c>
      <c r="T421" s="20">
        <f>IF(AND($B$40&lt;='1 - Titoli e shock'!$B$17,$C421&lt;='1 - Titoli e shock'!$B$17),$D$40*T$6/2*(1-'1 - Titoli e shock'!$B$8),0)</f>
        <v>0</v>
      </c>
      <c r="U421" s="20">
        <f>IF(AND($B$40&lt;='1 - Titoli e shock'!$B$17,$C421&lt;='1 - Titoli e shock'!$B$17),$D$40*U$6/2*(1-'1 - Titoli e shock'!$B$8),0)</f>
        <v>0</v>
      </c>
    </row>
    <row r="422" spans="1:21">
      <c r="A422" s="15" t="s">
        <v>267</v>
      </c>
      <c r="B422" s="22" t="str">
        <f>A40</f>
        <v>BTP 4,35% nov 2033</v>
      </c>
      <c r="C422" s="13">
        <f>EDATE($B$40,6*11)</f>
        <v>50891</v>
      </c>
      <c r="D422" s="23">
        <f>MAX(1,(YEAR(C422)-YEAR('1 - Titoli e shock'!$B$6))+IF(MONTH(C422)*100+DAY(C422)&gt;MONTH('1 - Titoli e shock'!$B$6)*100+DAY('1 - Titoli e shock'!$B$6),1,0))</f>
        <v>13</v>
      </c>
      <c r="F422" s="20">
        <f>IF(AND($B$40&lt;='1 - Titoli e shock'!$B$17,$C422&lt;='1 - Titoli e shock'!$B$17),$D$40*F$6/2*(1-'1 - Titoli e shock'!$B$8),0)</f>
        <v>0</v>
      </c>
      <c r="G422" s="20">
        <f>IF(AND($B$40&lt;='1 - Titoli e shock'!$B$17,$C422&lt;='1 - Titoli e shock'!$B$17),$D$40*G$6/2*(1-'1 - Titoli e shock'!$B$8),0)</f>
        <v>0</v>
      </c>
      <c r="H422" s="20">
        <f>IF(AND($B$40&lt;='1 - Titoli e shock'!$B$17,$C422&lt;='1 - Titoli e shock'!$B$17),$D$40*H$6/2*(1-'1 - Titoli e shock'!$B$8),0)</f>
        <v>0</v>
      </c>
      <c r="I422" s="20">
        <f>IF(AND($B$40&lt;='1 - Titoli e shock'!$B$17,$C422&lt;='1 - Titoli e shock'!$B$17),$D$40*I$6/2*(1-'1 - Titoli e shock'!$B$8),0)</f>
        <v>0</v>
      </c>
      <c r="J422" s="20">
        <f>IF(AND($B$40&lt;='1 - Titoli e shock'!$B$17,$C422&lt;='1 - Titoli e shock'!$B$17),$D$40*J$6/2*(1-'1 - Titoli e shock'!$B$8),0)</f>
        <v>0</v>
      </c>
      <c r="K422" s="20">
        <f>IF(AND($B$40&lt;='1 - Titoli e shock'!$B$17,$C422&lt;='1 - Titoli e shock'!$B$17),$D$40*K$6/2*(1-'1 - Titoli e shock'!$B$8),0)</f>
        <v>0</v>
      </c>
      <c r="L422" s="20">
        <f>IF(AND($B$40&lt;='1 - Titoli e shock'!$B$17,$C422&lt;='1 - Titoli e shock'!$B$17),$D$40*L$6/2*(1-'1 - Titoli e shock'!$B$8),0)</f>
        <v>0</v>
      </c>
      <c r="M422" s="20">
        <f>IF(AND($B$40&lt;='1 - Titoli e shock'!$B$17,$C422&lt;='1 - Titoli e shock'!$B$17),$D$40*M$6/2*(1-'1 - Titoli e shock'!$B$8),0)</f>
        <v>0</v>
      </c>
      <c r="N422" s="20">
        <f>IF(AND($B$40&lt;='1 - Titoli e shock'!$B$17,$C422&lt;='1 - Titoli e shock'!$B$17),$D$40*N$6/2*(1-'1 - Titoli e shock'!$B$8),0)</f>
        <v>0</v>
      </c>
      <c r="O422" s="20">
        <f>IF(AND($B$40&lt;='1 - Titoli e shock'!$B$17,$C422&lt;='1 - Titoli e shock'!$B$17),$D$40*O$6/2*(1-'1 - Titoli e shock'!$B$8),0)</f>
        <v>0</v>
      </c>
      <c r="P422" s="20">
        <f>IF(AND($B$40&lt;='1 - Titoli e shock'!$B$17,$C422&lt;='1 - Titoli e shock'!$B$17),$D$40*P$6/2*(1-'1 - Titoli e shock'!$B$8),0)</f>
        <v>0</v>
      </c>
      <c r="Q422" s="20">
        <f>IF(AND($B$40&lt;='1 - Titoli e shock'!$B$17,$C422&lt;='1 - Titoli e shock'!$B$17),$D$40*Q$6/2*(1-'1 - Titoli e shock'!$B$8),0)</f>
        <v>0</v>
      </c>
      <c r="R422" s="20">
        <f>IF(AND($B$40&lt;='1 - Titoli e shock'!$B$17,$C422&lt;='1 - Titoli e shock'!$B$17),$D$40*R$6/2*(1-'1 - Titoli e shock'!$B$8),0)</f>
        <v>0</v>
      </c>
      <c r="S422" s="20">
        <f>IF(AND($B$40&lt;='1 - Titoli e shock'!$B$17,$C422&lt;='1 - Titoli e shock'!$B$17),$D$40*S$6/2*(1-'1 - Titoli e shock'!$B$8),0)</f>
        <v>0</v>
      </c>
      <c r="T422" s="20">
        <f>IF(AND($B$40&lt;='1 - Titoli e shock'!$B$17,$C422&lt;='1 - Titoli e shock'!$B$17),$D$40*T$6/2*(1-'1 - Titoli e shock'!$B$8),0)</f>
        <v>0</v>
      </c>
      <c r="U422" s="20">
        <f>IF(AND($B$40&lt;='1 - Titoli e shock'!$B$17,$C422&lt;='1 - Titoli e shock'!$B$17),$D$40*U$6/2*(1-'1 - Titoli e shock'!$B$8),0)</f>
        <v>0</v>
      </c>
    </row>
    <row r="423" spans="1:21">
      <c r="A423" s="15" t="s">
        <v>267</v>
      </c>
      <c r="B423" s="22" t="str">
        <f>A40</f>
        <v>BTP 4,35% nov 2033</v>
      </c>
      <c r="C423" s="13">
        <f>EDATE($B$40,6*12)</f>
        <v>51075</v>
      </c>
      <c r="D423" s="23">
        <f>MAX(1,(YEAR(C423)-YEAR('1 - Titoli e shock'!$B$6))+IF(MONTH(C423)*100+DAY(C423)&gt;MONTH('1 - Titoli e shock'!$B$6)*100+DAY('1 - Titoli e shock'!$B$6),1,0))</f>
        <v>14</v>
      </c>
      <c r="F423" s="20">
        <f>IF(AND($B$40&lt;='1 - Titoli e shock'!$B$17,$C423&lt;='1 - Titoli e shock'!$B$17),$D$40*F$6/2*(1-'1 - Titoli e shock'!$B$8),0)</f>
        <v>0</v>
      </c>
      <c r="G423" s="20">
        <f>IF(AND($B$40&lt;='1 - Titoli e shock'!$B$17,$C423&lt;='1 - Titoli e shock'!$B$17),$D$40*G$6/2*(1-'1 - Titoli e shock'!$B$8),0)</f>
        <v>0</v>
      </c>
      <c r="H423" s="20">
        <f>IF(AND($B$40&lt;='1 - Titoli e shock'!$B$17,$C423&lt;='1 - Titoli e shock'!$B$17),$D$40*H$6/2*(1-'1 - Titoli e shock'!$B$8),0)</f>
        <v>0</v>
      </c>
      <c r="I423" s="20">
        <f>IF(AND($B$40&lt;='1 - Titoli e shock'!$B$17,$C423&lt;='1 - Titoli e shock'!$B$17),$D$40*I$6/2*(1-'1 - Titoli e shock'!$B$8),0)</f>
        <v>0</v>
      </c>
      <c r="J423" s="20">
        <f>IF(AND($B$40&lt;='1 - Titoli e shock'!$B$17,$C423&lt;='1 - Titoli e shock'!$B$17),$D$40*J$6/2*(1-'1 - Titoli e shock'!$B$8),0)</f>
        <v>0</v>
      </c>
      <c r="K423" s="20">
        <f>IF(AND($B$40&lt;='1 - Titoli e shock'!$B$17,$C423&lt;='1 - Titoli e shock'!$B$17),$D$40*K$6/2*(1-'1 - Titoli e shock'!$B$8),0)</f>
        <v>0</v>
      </c>
      <c r="L423" s="20">
        <f>IF(AND($B$40&lt;='1 - Titoli e shock'!$B$17,$C423&lt;='1 - Titoli e shock'!$B$17),$D$40*L$6/2*(1-'1 - Titoli e shock'!$B$8),0)</f>
        <v>0</v>
      </c>
      <c r="M423" s="20">
        <f>IF(AND($B$40&lt;='1 - Titoli e shock'!$B$17,$C423&lt;='1 - Titoli e shock'!$B$17),$D$40*M$6/2*(1-'1 - Titoli e shock'!$B$8),0)</f>
        <v>0</v>
      </c>
      <c r="N423" s="20">
        <f>IF(AND($B$40&lt;='1 - Titoli e shock'!$B$17,$C423&lt;='1 - Titoli e shock'!$B$17),$D$40*N$6/2*(1-'1 - Titoli e shock'!$B$8),0)</f>
        <v>0</v>
      </c>
      <c r="O423" s="20">
        <f>IF(AND($B$40&lt;='1 - Titoli e shock'!$B$17,$C423&lt;='1 - Titoli e shock'!$B$17),$D$40*O$6/2*(1-'1 - Titoli e shock'!$B$8),0)</f>
        <v>0</v>
      </c>
      <c r="P423" s="20">
        <f>IF(AND($B$40&lt;='1 - Titoli e shock'!$B$17,$C423&lt;='1 - Titoli e shock'!$B$17),$D$40*P$6/2*(1-'1 - Titoli e shock'!$B$8),0)</f>
        <v>0</v>
      </c>
      <c r="Q423" s="20">
        <f>IF(AND($B$40&lt;='1 - Titoli e shock'!$B$17,$C423&lt;='1 - Titoli e shock'!$B$17),$D$40*Q$6/2*(1-'1 - Titoli e shock'!$B$8),0)</f>
        <v>0</v>
      </c>
      <c r="R423" s="20">
        <f>IF(AND($B$40&lt;='1 - Titoli e shock'!$B$17,$C423&lt;='1 - Titoli e shock'!$B$17),$D$40*R$6/2*(1-'1 - Titoli e shock'!$B$8),0)</f>
        <v>0</v>
      </c>
      <c r="S423" s="20">
        <f>IF(AND($B$40&lt;='1 - Titoli e shock'!$B$17,$C423&lt;='1 - Titoli e shock'!$B$17),$D$40*S$6/2*(1-'1 - Titoli e shock'!$B$8),0)</f>
        <v>0</v>
      </c>
      <c r="T423" s="20">
        <f>IF(AND($B$40&lt;='1 - Titoli e shock'!$B$17,$C423&lt;='1 - Titoli e shock'!$B$17),$D$40*T$6/2*(1-'1 - Titoli e shock'!$B$8),0)</f>
        <v>0</v>
      </c>
      <c r="U423" s="20">
        <f>IF(AND($B$40&lt;='1 - Titoli e shock'!$B$17,$C423&lt;='1 - Titoli e shock'!$B$17),$D$40*U$6/2*(1-'1 - Titoli e shock'!$B$8),0)</f>
        <v>0</v>
      </c>
    </row>
    <row r="424" spans="1:21">
      <c r="A424" s="15" t="s">
        <v>267</v>
      </c>
      <c r="B424" s="22" t="str">
        <f>A40</f>
        <v>BTP 4,35% nov 2033</v>
      </c>
      <c r="C424" s="13">
        <f>EDATE($B$40,6*13)</f>
        <v>51257</v>
      </c>
      <c r="D424" s="23">
        <f>MAX(1,(YEAR(C424)-YEAR('1 - Titoli e shock'!$B$6))+IF(MONTH(C424)*100+DAY(C424)&gt;MONTH('1 - Titoli e shock'!$B$6)*100+DAY('1 - Titoli e shock'!$B$6),1,0))</f>
        <v>14</v>
      </c>
      <c r="F424" s="20">
        <f>IF(AND($B$40&lt;='1 - Titoli e shock'!$B$17,$C424&lt;='1 - Titoli e shock'!$B$17),$D$40*F$6/2*(1-'1 - Titoli e shock'!$B$8),0)</f>
        <v>0</v>
      </c>
      <c r="G424" s="20">
        <f>IF(AND($B$40&lt;='1 - Titoli e shock'!$B$17,$C424&lt;='1 - Titoli e shock'!$B$17),$D$40*G$6/2*(1-'1 - Titoli e shock'!$B$8),0)</f>
        <v>0</v>
      </c>
      <c r="H424" s="20">
        <f>IF(AND($B$40&lt;='1 - Titoli e shock'!$B$17,$C424&lt;='1 - Titoli e shock'!$B$17),$D$40*H$6/2*(1-'1 - Titoli e shock'!$B$8),0)</f>
        <v>0</v>
      </c>
      <c r="I424" s="20">
        <f>IF(AND($B$40&lt;='1 - Titoli e shock'!$B$17,$C424&lt;='1 - Titoli e shock'!$B$17),$D$40*I$6/2*(1-'1 - Titoli e shock'!$B$8),0)</f>
        <v>0</v>
      </c>
      <c r="J424" s="20">
        <f>IF(AND($B$40&lt;='1 - Titoli e shock'!$B$17,$C424&lt;='1 - Titoli e shock'!$B$17),$D$40*J$6/2*(1-'1 - Titoli e shock'!$B$8),0)</f>
        <v>0</v>
      </c>
      <c r="K424" s="20">
        <f>IF(AND($B$40&lt;='1 - Titoli e shock'!$B$17,$C424&lt;='1 - Titoli e shock'!$B$17),$D$40*K$6/2*(1-'1 - Titoli e shock'!$B$8),0)</f>
        <v>0</v>
      </c>
      <c r="L424" s="20">
        <f>IF(AND($B$40&lt;='1 - Titoli e shock'!$B$17,$C424&lt;='1 - Titoli e shock'!$B$17),$D$40*L$6/2*(1-'1 - Titoli e shock'!$B$8),0)</f>
        <v>0</v>
      </c>
      <c r="M424" s="20">
        <f>IF(AND($B$40&lt;='1 - Titoli e shock'!$B$17,$C424&lt;='1 - Titoli e shock'!$B$17),$D$40*M$6/2*(1-'1 - Titoli e shock'!$B$8),0)</f>
        <v>0</v>
      </c>
      <c r="N424" s="20">
        <f>IF(AND($B$40&lt;='1 - Titoli e shock'!$B$17,$C424&lt;='1 - Titoli e shock'!$B$17),$D$40*N$6/2*(1-'1 - Titoli e shock'!$B$8),0)</f>
        <v>0</v>
      </c>
      <c r="O424" s="20">
        <f>IF(AND($B$40&lt;='1 - Titoli e shock'!$B$17,$C424&lt;='1 - Titoli e shock'!$B$17),$D$40*O$6/2*(1-'1 - Titoli e shock'!$B$8),0)</f>
        <v>0</v>
      </c>
      <c r="P424" s="20">
        <f>IF(AND($B$40&lt;='1 - Titoli e shock'!$B$17,$C424&lt;='1 - Titoli e shock'!$B$17),$D$40*P$6/2*(1-'1 - Titoli e shock'!$B$8),0)</f>
        <v>0</v>
      </c>
      <c r="Q424" s="20">
        <f>IF(AND($B$40&lt;='1 - Titoli e shock'!$B$17,$C424&lt;='1 - Titoli e shock'!$B$17),$D$40*Q$6/2*(1-'1 - Titoli e shock'!$B$8),0)</f>
        <v>0</v>
      </c>
      <c r="R424" s="20">
        <f>IF(AND($B$40&lt;='1 - Titoli e shock'!$B$17,$C424&lt;='1 - Titoli e shock'!$B$17),$D$40*R$6/2*(1-'1 - Titoli e shock'!$B$8),0)</f>
        <v>0</v>
      </c>
      <c r="S424" s="20">
        <f>IF(AND($B$40&lt;='1 - Titoli e shock'!$B$17,$C424&lt;='1 - Titoli e shock'!$B$17),$D$40*S$6/2*(1-'1 - Titoli e shock'!$B$8),0)</f>
        <v>0</v>
      </c>
      <c r="T424" s="20">
        <f>IF(AND($B$40&lt;='1 - Titoli e shock'!$B$17,$C424&lt;='1 - Titoli e shock'!$B$17),$D$40*T$6/2*(1-'1 - Titoli e shock'!$B$8),0)</f>
        <v>0</v>
      </c>
      <c r="U424" s="20">
        <f>IF(AND($B$40&lt;='1 - Titoli e shock'!$B$17,$C424&lt;='1 - Titoli e shock'!$B$17),$D$40*U$6/2*(1-'1 - Titoli e shock'!$B$8),0)</f>
        <v>0</v>
      </c>
    </row>
    <row r="425" spans="1:21">
      <c r="A425" s="15" t="s">
        <v>267</v>
      </c>
      <c r="B425" s="22" t="str">
        <f>A40</f>
        <v>BTP 4,35% nov 2033</v>
      </c>
      <c r="C425" s="13">
        <f>EDATE($B$40,6*14)</f>
        <v>51441</v>
      </c>
      <c r="D425" s="23">
        <f>MAX(1,(YEAR(C425)-YEAR('1 - Titoli e shock'!$B$6))+IF(MONTH(C425)*100+DAY(C425)&gt;MONTH('1 - Titoli e shock'!$B$6)*100+DAY('1 - Titoli e shock'!$B$6),1,0))</f>
        <v>15</v>
      </c>
      <c r="F425" s="20">
        <f>IF(AND($B$40&lt;='1 - Titoli e shock'!$B$17,$C425&lt;='1 - Titoli e shock'!$B$17),$D$40*F$6/2*(1-'1 - Titoli e shock'!$B$8),0)</f>
        <v>0</v>
      </c>
      <c r="G425" s="20">
        <f>IF(AND($B$40&lt;='1 - Titoli e shock'!$B$17,$C425&lt;='1 - Titoli e shock'!$B$17),$D$40*G$6/2*(1-'1 - Titoli e shock'!$B$8),0)</f>
        <v>0</v>
      </c>
      <c r="H425" s="20">
        <f>IF(AND($B$40&lt;='1 - Titoli e shock'!$B$17,$C425&lt;='1 - Titoli e shock'!$B$17),$D$40*H$6/2*(1-'1 - Titoli e shock'!$B$8),0)</f>
        <v>0</v>
      </c>
      <c r="I425" s="20">
        <f>IF(AND($B$40&lt;='1 - Titoli e shock'!$B$17,$C425&lt;='1 - Titoli e shock'!$B$17),$D$40*I$6/2*(1-'1 - Titoli e shock'!$B$8),0)</f>
        <v>0</v>
      </c>
      <c r="J425" s="20">
        <f>IF(AND($B$40&lt;='1 - Titoli e shock'!$B$17,$C425&lt;='1 - Titoli e shock'!$B$17),$D$40*J$6/2*(1-'1 - Titoli e shock'!$B$8),0)</f>
        <v>0</v>
      </c>
      <c r="K425" s="20">
        <f>IF(AND($B$40&lt;='1 - Titoli e shock'!$B$17,$C425&lt;='1 - Titoli e shock'!$B$17),$D$40*K$6/2*(1-'1 - Titoli e shock'!$B$8),0)</f>
        <v>0</v>
      </c>
      <c r="L425" s="20">
        <f>IF(AND($B$40&lt;='1 - Titoli e shock'!$B$17,$C425&lt;='1 - Titoli e shock'!$B$17),$D$40*L$6/2*(1-'1 - Titoli e shock'!$B$8),0)</f>
        <v>0</v>
      </c>
      <c r="M425" s="20">
        <f>IF(AND($B$40&lt;='1 - Titoli e shock'!$B$17,$C425&lt;='1 - Titoli e shock'!$B$17),$D$40*M$6/2*(1-'1 - Titoli e shock'!$B$8),0)</f>
        <v>0</v>
      </c>
      <c r="N425" s="20">
        <f>IF(AND($B$40&lt;='1 - Titoli e shock'!$B$17,$C425&lt;='1 - Titoli e shock'!$B$17),$D$40*N$6/2*(1-'1 - Titoli e shock'!$B$8),0)</f>
        <v>0</v>
      </c>
      <c r="O425" s="20">
        <f>IF(AND($B$40&lt;='1 - Titoli e shock'!$B$17,$C425&lt;='1 - Titoli e shock'!$B$17),$D$40*O$6/2*(1-'1 - Titoli e shock'!$B$8),0)</f>
        <v>0</v>
      </c>
      <c r="P425" s="20">
        <f>IF(AND($B$40&lt;='1 - Titoli e shock'!$B$17,$C425&lt;='1 - Titoli e shock'!$B$17),$D$40*P$6/2*(1-'1 - Titoli e shock'!$B$8),0)</f>
        <v>0</v>
      </c>
      <c r="Q425" s="20">
        <f>IF(AND($B$40&lt;='1 - Titoli e shock'!$B$17,$C425&lt;='1 - Titoli e shock'!$B$17),$D$40*Q$6/2*(1-'1 - Titoli e shock'!$B$8),0)</f>
        <v>0</v>
      </c>
      <c r="R425" s="20">
        <f>IF(AND($B$40&lt;='1 - Titoli e shock'!$B$17,$C425&lt;='1 - Titoli e shock'!$B$17),$D$40*R$6/2*(1-'1 - Titoli e shock'!$B$8),0)</f>
        <v>0</v>
      </c>
      <c r="S425" s="20">
        <f>IF(AND($B$40&lt;='1 - Titoli e shock'!$B$17,$C425&lt;='1 - Titoli e shock'!$B$17),$D$40*S$6/2*(1-'1 - Titoli e shock'!$B$8),0)</f>
        <v>0</v>
      </c>
      <c r="T425" s="20">
        <f>IF(AND($B$40&lt;='1 - Titoli e shock'!$B$17,$C425&lt;='1 - Titoli e shock'!$B$17),$D$40*T$6/2*(1-'1 - Titoli e shock'!$B$8),0)</f>
        <v>0</v>
      </c>
      <c r="U425" s="20">
        <f>IF(AND($B$40&lt;='1 - Titoli e shock'!$B$17,$C425&lt;='1 - Titoli e shock'!$B$17),$D$40*U$6/2*(1-'1 - Titoli e shock'!$B$8),0)</f>
        <v>0</v>
      </c>
    </row>
    <row r="426" spans="1:21">
      <c r="A426" s="15" t="s">
        <v>267</v>
      </c>
      <c r="B426" s="22" t="str">
        <f>A40</f>
        <v>BTP 4,35% nov 2033</v>
      </c>
      <c r="C426" s="13">
        <f>EDATE($B$40,6*15)</f>
        <v>51622</v>
      </c>
      <c r="D426" s="23">
        <f>MAX(1,(YEAR(C426)-YEAR('1 - Titoli e shock'!$B$6))+IF(MONTH(C426)*100+DAY(C426)&gt;MONTH('1 - Titoli e shock'!$B$6)*100+DAY('1 - Titoli e shock'!$B$6),1,0))</f>
        <v>15</v>
      </c>
      <c r="F426" s="20">
        <f>IF(AND($B$40&lt;='1 - Titoli e shock'!$B$17,$C426&lt;='1 - Titoli e shock'!$B$17),$D$40*F$6/2*(1-'1 - Titoli e shock'!$B$8),0)</f>
        <v>0</v>
      </c>
      <c r="G426" s="20">
        <f>IF(AND($B$40&lt;='1 - Titoli e shock'!$B$17,$C426&lt;='1 - Titoli e shock'!$B$17),$D$40*G$6/2*(1-'1 - Titoli e shock'!$B$8),0)</f>
        <v>0</v>
      </c>
      <c r="H426" s="20">
        <f>IF(AND($B$40&lt;='1 - Titoli e shock'!$B$17,$C426&lt;='1 - Titoli e shock'!$B$17),$D$40*H$6/2*(1-'1 - Titoli e shock'!$B$8),0)</f>
        <v>0</v>
      </c>
      <c r="I426" s="20">
        <f>IF(AND($B$40&lt;='1 - Titoli e shock'!$B$17,$C426&lt;='1 - Titoli e shock'!$B$17),$D$40*I$6/2*(1-'1 - Titoli e shock'!$B$8),0)</f>
        <v>0</v>
      </c>
      <c r="J426" s="20">
        <f>IF(AND($B$40&lt;='1 - Titoli e shock'!$B$17,$C426&lt;='1 - Titoli e shock'!$B$17),$D$40*J$6/2*(1-'1 - Titoli e shock'!$B$8),0)</f>
        <v>0</v>
      </c>
      <c r="K426" s="20">
        <f>IF(AND($B$40&lt;='1 - Titoli e shock'!$B$17,$C426&lt;='1 - Titoli e shock'!$B$17),$D$40*K$6/2*(1-'1 - Titoli e shock'!$B$8),0)</f>
        <v>0</v>
      </c>
      <c r="L426" s="20">
        <f>IF(AND($B$40&lt;='1 - Titoli e shock'!$B$17,$C426&lt;='1 - Titoli e shock'!$B$17),$D$40*L$6/2*(1-'1 - Titoli e shock'!$B$8),0)</f>
        <v>0</v>
      </c>
      <c r="M426" s="20">
        <f>IF(AND($B$40&lt;='1 - Titoli e shock'!$B$17,$C426&lt;='1 - Titoli e shock'!$B$17),$D$40*M$6/2*(1-'1 - Titoli e shock'!$B$8),0)</f>
        <v>0</v>
      </c>
      <c r="N426" s="20">
        <f>IF(AND($B$40&lt;='1 - Titoli e shock'!$B$17,$C426&lt;='1 - Titoli e shock'!$B$17),$D$40*N$6/2*(1-'1 - Titoli e shock'!$B$8),0)</f>
        <v>0</v>
      </c>
      <c r="O426" s="20">
        <f>IF(AND($B$40&lt;='1 - Titoli e shock'!$B$17,$C426&lt;='1 - Titoli e shock'!$B$17),$D$40*O$6/2*(1-'1 - Titoli e shock'!$B$8),0)</f>
        <v>0</v>
      </c>
      <c r="P426" s="20">
        <f>IF(AND($B$40&lt;='1 - Titoli e shock'!$B$17,$C426&lt;='1 - Titoli e shock'!$B$17),$D$40*P$6/2*(1-'1 - Titoli e shock'!$B$8),0)</f>
        <v>0</v>
      </c>
      <c r="Q426" s="20">
        <f>IF(AND($B$40&lt;='1 - Titoli e shock'!$B$17,$C426&lt;='1 - Titoli e shock'!$B$17),$D$40*Q$6/2*(1-'1 - Titoli e shock'!$B$8),0)</f>
        <v>0</v>
      </c>
      <c r="R426" s="20">
        <f>IF(AND($B$40&lt;='1 - Titoli e shock'!$B$17,$C426&lt;='1 - Titoli e shock'!$B$17),$D$40*R$6/2*(1-'1 - Titoli e shock'!$B$8),0)</f>
        <v>0</v>
      </c>
      <c r="S426" s="20">
        <f>IF(AND($B$40&lt;='1 - Titoli e shock'!$B$17,$C426&lt;='1 - Titoli e shock'!$B$17),$D$40*S$6/2*(1-'1 - Titoli e shock'!$B$8),0)</f>
        <v>0</v>
      </c>
      <c r="T426" s="20">
        <f>IF(AND($B$40&lt;='1 - Titoli e shock'!$B$17,$C426&lt;='1 - Titoli e shock'!$B$17),$D$40*T$6/2*(1-'1 - Titoli e shock'!$B$8),0)</f>
        <v>0</v>
      </c>
      <c r="U426" s="20">
        <f>IF(AND($B$40&lt;='1 - Titoli e shock'!$B$17,$C426&lt;='1 - Titoli e shock'!$B$17),$D$40*U$6/2*(1-'1 - Titoli e shock'!$B$8),0)</f>
        <v>0</v>
      </c>
    </row>
    <row r="427" spans="1:21">
      <c r="A427" s="15" t="s">
        <v>267</v>
      </c>
      <c r="B427" s="22" t="str">
        <f>A40</f>
        <v>BTP 4,35% nov 2033</v>
      </c>
      <c r="C427" s="13">
        <f>EDATE($B$40,6*16)</f>
        <v>51806</v>
      </c>
      <c r="D427" s="23">
        <f>MAX(1,(YEAR(C427)-YEAR('1 - Titoli e shock'!$B$6))+IF(MONTH(C427)*100+DAY(C427)&gt;MONTH('1 - Titoli e shock'!$B$6)*100+DAY('1 - Titoli e shock'!$B$6),1,0))</f>
        <v>16</v>
      </c>
      <c r="F427" s="20">
        <f>IF(AND($B$40&lt;='1 - Titoli e shock'!$B$17,$C427&lt;='1 - Titoli e shock'!$B$17),$D$40*F$6/2*(1-'1 - Titoli e shock'!$B$8),0)</f>
        <v>0</v>
      </c>
      <c r="G427" s="20">
        <f>IF(AND($B$40&lt;='1 - Titoli e shock'!$B$17,$C427&lt;='1 - Titoli e shock'!$B$17),$D$40*G$6/2*(1-'1 - Titoli e shock'!$B$8),0)</f>
        <v>0</v>
      </c>
      <c r="H427" s="20">
        <f>IF(AND($B$40&lt;='1 - Titoli e shock'!$B$17,$C427&lt;='1 - Titoli e shock'!$B$17),$D$40*H$6/2*(1-'1 - Titoli e shock'!$B$8),0)</f>
        <v>0</v>
      </c>
      <c r="I427" s="20">
        <f>IF(AND($B$40&lt;='1 - Titoli e shock'!$B$17,$C427&lt;='1 - Titoli e shock'!$B$17),$D$40*I$6/2*(1-'1 - Titoli e shock'!$B$8),0)</f>
        <v>0</v>
      </c>
      <c r="J427" s="20">
        <f>IF(AND($B$40&lt;='1 - Titoli e shock'!$B$17,$C427&lt;='1 - Titoli e shock'!$B$17),$D$40*J$6/2*(1-'1 - Titoli e shock'!$B$8),0)</f>
        <v>0</v>
      </c>
      <c r="K427" s="20">
        <f>IF(AND($B$40&lt;='1 - Titoli e shock'!$B$17,$C427&lt;='1 - Titoli e shock'!$B$17),$D$40*K$6/2*(1-'1 - Titoli e shock'!$B$8),0)</f>
        <v>0</v>
      </c>
      <c r="L427" s="20">
        <f>IF(AND($B$40&lt;='1 - Titoli e shock'!$B$17,$C427&lt;='1 - Titoli e shock'!$B$17),$D$40*L$6/2*(1-'1 - Titoli e shock'!$B$8),0)</f>
        <v>0</v>
      </c>
      <c r="M427" s="20">
        <f>IF(AND($B$40&lt;='1 - Titoli e shock'!$B$17,$C427&lt;='1 - Titoli e shock'!$B$17),$D$40*M$6/2*(1-'1 - Titoli e shock'!$B$8),0)</f>
        <v>0</v>
      </c>
      <c r="N427" s="20">
        <f>IF(AND($B$40&lt;='1 - Titoli e shock'!$B$17,$C427&lt;='1 - Titoli e shock'!$B$17),$D$40*N$6/2*(1-'1 - Titoli e shock'!$B$8),0)</f>
        <v>0</v>
      </c>
      <c r="O427" s="20">
        <f>IF(AND($B$40&lt;='1 - Titoli e shock'!$B$17,$C427&lt;='1 - Titoli e shock'!$B$17),$D$40*O$6/2*(1-'1 - Titoli e shock'!$B$8),0)</f>
        <v>0</v>
      </c>
      <c r="P427" s="20">
        <f>IF(AND($B$40&lt;='1 - Titoli e shock'!$B$17,$C427&lt;='1 - Titoli e shock'!$B$17),$D$40*P$6/2*(1-'1 - Titoli e shock'!$B$8),0)</f>
        <v>0</v>
      </c>
      <c r="Q427" s="20">
        <f>IF(AND($B$40&lt;='1 - Titoli e shock'!$B$17,$C427&lt;='1 - Titoli e shock'!$B$17),$D$40*Q$6/2*(1-'1 - Titoli e shock'!$B$8),0)</f>
        <v>0</v>
      </c>
      <c r="R427" s="20">
        <f>IF(AND($B$40&lt;='1 - Titoli e shock'!$B$17,$C427&lt;='1 - Titoli e shock'!$B$17),$D$40*R$6/2*(1-'1 - Titoli e shock'!$B$8),0)</f>
        <v>0</v>
      </c>
      <c r="S427" s="20">
        <f>IF(AND($B$40&lt;='1 - Titoli e shock'!$B$17,$C427&lt;='1 - Titoli e shock'!$B$17),$D$40*S$6/2*(1-'1 - Titoli e shock'!$B$8),0)</f>
        <v>0</v>
      </c>
      <c r="T427" s="20">
        <f>IF(AND($B$40&lt;='1 - Titoli e shock'!$B$17,$C427&lt;='1 - Titoli e shock'!$B$17),$D$40*T$6/2*(1-'1 - Titoli e shock'!$B$8),0)</f>
        <v>0</v>
      </c>
      <c r="U427" s="20">
        <f>IF(AND($B$40&lt;='1 - Titoli e shock'!$B$17,$C427&lt;='1 - Titoli e shock'!$B$17),$D$40*U$6/2*(1-'1 - Titoli e shock'!$B$8),0)</f>
        <v>0</v>
      </c>
    </row>
    <row r="428" spans="1:21">
      <c r="A428" s="15" t="s">
        <v>267</v>
      </c>
      <c r="B428" s="22" t="str">
        <f>A40</f>
        <v>BTP 4,35% nov 2033</v>
      </c>
      <c r="C428" s="13">
        <f>EDATE($B$40,6*17)</f>
        <v>51987</v>
      </c>
      <c r="D428" s="23">
        <f>MAX(1,(YEAR(C428)-YEAR('1 - Titoli e shock'!$B$6))+IF(MONTH(C428)*100+DAY(C428)&gt;MONTH('1 - Titoli e shock'!$B$6)*100+DAY('1 - Titoli e shock'!$B$6),1,0))</f>
        <v>16</v>
      </c>
      <c r="F428" s="20">
        <f>IF(AND($B$40&lt;='1 - Titoli e shock'!$B$17,$C428&lt;='1 - Titoli e shock'!$B$17),$D$40*F$6/2*(1-'1 - Titoli e shock'!$B$8),0)</f>
        <v>0</v>
      </c>
      <c r="G428" s="20">
        <f>IF(AND($B$40&lt;='1 - Titoli e shock'!$B$17,$C428&lt;='1 - Titoli e shock'!$B$17),$D$40*G$6/2*(1-'1 - Titoli e shock'!$B$8),0)</f>
        <v>0</v>
      </c>
      <c r="H428" s="20">
        <f>IF(AND($B$40&lt;='1 - Titoli e shock'!$B$17,$C428&lt;='1 - Titoli e shock'!$B$17),$D$40*H$6/2*(1-'1 - Titoli e shock'!$B$8),0)</f>
        <v>0</v>
      </c>
      <c r="I428" s="20">
        <f>IF(AND($B$40&lt;='1 - Titoli e shock'!$B$17,$C428&lt;='1 - Titoli e shock'!$B$17),$D$40*I$6/2*(1-'1 - Titoli e shock'!$B$8),0)</f>
        <v>0</v>
      </c>
      <c r="J428" s="20">
        <f>IF(AND($B$40&lt;='1 - Titoli e shock'!$B$17,$C428&lt;='1 - Titoli e shock'!$B$17),$D$40*J$6/2*(1-'1 - Titoli e shock'!$B$8),0)</f>
        <v>0</v>
      </c>
      <c r="K428" s="20">
        <f>IF(AND($B$40&lt;='1 - Titoli e shock'!$B$17,$C428&lt;='1 - Titoli e shock'!$B$17),$D$40*K$6/2*(1-'1 - Titoli e shock'!$B$8),0)</f>
        <v>0</v>
      </c>
      <c r="L428" s="20">
        <f>IF(AND($B$40&lt;='1 - Titoli e shock'!$B$17,$C428&lt;='1 - Titoli e shock'!$B$17),$D$40*L$6/2*(1-'1 - Titoli e shock'!$B$8),0)</f>
        <v>0</v>
      </c>
      <c r="M428" s="20">
        <f>IF(AND($B$40&lt;='1 - Titoli e shock'!$B$17,$C428&lt;='1 - Titoli e shock'!$B$17),$D$40*M$6/2*(1-'1 - Titoli e shock'!$B$8),0)</f>
        <v>0</v>
      </c>
      <c r="N428" s="20">
        <f>IF(AND($B$40&lt;='1 - Titoli e shock'!$B$17,$C428&lt;='1 - Titoli e shock'!$B$17),$D$40*N$6/2*(1-'1 - Titoli e shock'!$B$8),0)</f>
        <v>0</v>
      </c>
      <c r="O428" s="20">
        <f>IF(AND($B$40&lt;='1 - Titoli e shock'!$B$17,$C428&lt;='1 - Titoli e shock'!$B$17),$D$40*O$6/2*(1-'1 - Titoli e shock'!$B$8),0)</f>
        <v>0</v>
      </c>
      <c r="P428" s="20">
        <f>IF(AND($B$40&lt;='1 - Titoli e shock'!$B$17,$C428&lt;='1 - Titoli e shock'!$B$17),$D$40*P$6/2*(1-'1 - Titoli e shock'!$B$8),0)</f>
        <v>0</v>
      </c>
      <c r="Q428" s="20">
        <f>IF(AND($B$40&lt;='1 - Titoli e shock'!$B$17,$C428&lt;='1 - Titoli e shock'!$B$17),$D$40*Q$6/2*(1-'1 - Titoli e shock'!$B$8),0)</f>
        <v>0</v>
      </c>
      <c r="R428" s="20">
        <f>IF(AND($B$40&lt;='1 - Titoli e shock'!$B$17,$C428&lt;='1 - Titoli e shock'!$B$17),$D$40*R$6/2*(1-'1 - Titoli e shock'!$B$8),0)</f>
        <v>0</v>
      </c>
      <c r="S428" s="20">
        <f>IF(AND($B$40&lt;='1 - Titoli e shock'!$B$17,$C428&lt;='1 - Titoli e shock'!$B$17),$D$40*S$6/2*(1-'1 - Titoli e shock'!$B$8),0)</f>
        <v>0</v>
      </c>
      <c r="T428" s="20">
        <f>IF(AND($B$40&lt;='1 - Titoli e shock'!$B$17,$C428&lt;='1 - Titoli e shock'!$B$17),$D$40*T$6/2*(1-'1 - Titoli e shock'!$B$8),0)</f>
        <v>0</v>
      </c>
      <c r="U428" s="20">
        <f>IF(AND($B$40&lt;='1 - Titoli e shock'!$B$17,$C428&lt;='1 - Titoli e shock'!$B$17),$D$40*U$6/2*(1-'1 - Titoli e shock'!$B$8),0)</f>
        <v>0</v>
      </c>
    </row>
    <row r="429" spans="1:21">
      <c r="A429" s="15" t="s">
        <v>267</v>
      </c>
      <c r="B429" s="22" t="str">
        <f>A40</f>
        <v>BTP 4,35% nov 2033</v>
      </c>
      <c r="C429" s="13">
        <f>EDATE($B$40,6*18)</f>
        <v>52171</v>
      </c>
      <c r="D429" s="23">
        <f>MAX(1,(YEAR(C429)-YEAR('1 - Titoli e shock'!$B$6))+IF(MONTH(C429)*100+DAY(C429)&gt;MONTH('1 - Titoli e shock'!$B$6)*100+DAY('1 - Titoli e shock'!$B$6),1,0))</f>
        <v>17</v>
      </c>
      <c r="F429" s="20">
        <f>IF(AND($B$40&lt;='1 - Titoli e shock'!$B$17,$C429&lt;='1 - Titoli e shock'!$B$17),$D$40*F$6/2*(1-'1 - Titoli e shock'!$B$8),0)</f>
        <v>0</v>
      </c>
      <c r="G429" s="20">
        <f>IF(AND($B$40&lt;='1 - Titoli e shock'!$B$17,$C429&lt;='1 - Titoli e shock'!$B$17),$D$40*G$6/2*(1-'1 - Titoli e shock'!$B$8),0)</f>
        <v>0</v>
      </c>
      <c r="H429" s="20">
        <f>IF(AND($B$40&lt;='1 - Titoli e shock'!$B$17,$C429&lt;='1 - Titoli e shock'!$B$17),$D$40*H$6/2*(1-'1 - Titoli e shock'!$B$8),0)</f>
        <v>0</v>
      </c>
      <c r="I429" s="20">
        <f>IF(AND($B$40&lt;='1 - Titoli e shock'!$B$17,$C429&lt;='1 - Titoli e shock'!$B$17),$D$40*I$6/2*(1-'1 - Titoli e shock'!$B$8),0)</f>
        <v>0</v>
      </c>
      <c r="J429" s="20">
        <f>IF(AND($B$40&lt;='1 - Titoli e shock'!$B$17,$C429&lt;='1 - Titoli e shock'!$B$17),$D$40*J$6/2*(1-'1 - Titoli e shock'!$B$8),0)</f>
        <v>0</v>
      </c>
      <c r="K429" s="20">
        <f>IF(AND($B$40&lt;='1 - Titoli e shock'!$B$17,$C429&lt;='1 - Titoli e shock'!$B$17),$D$40*K$6/2*(1-'1 - Titoli e shock'!$B$8),0)</f>
        <v>0</v>
      </c>
      <c r="L429" s="20">
        <f>IF(AND($B$40&lt;='1 - Titoli e shock'!$B$17,$C429&lt;='1 - Titoli e shock'!$B$17),$D$40*L$6/2*(1-'1 - Titoli e shock'!$B$8),0)</f>
        <v>0</v>
      </c>
      <c r="M429" s="20">
        <f>IF(AND($B$40&lt;='1 - Titoli e shock'!$B$17,$C429&lt;='1 - Titoli e shock'!$B$17),$D$40*M$6/2*(1-'1 - Titoli e shock'!$B$8),0)</f>
        <v>0</v>
      </c>
      <c r="N429" s="20">
        <f>IF(AND($B$40&lt;='1 - Titoli e shock'!$B$17,$C429&lt;='1 - Titoli e shock'!$B$17),$D$40*N$6/2*(1-'1 - Titoli e shock'!$B$8),0)</f>
        <v>0</v>
      </c>
      <c r="O429" s="20">
        <f>IF(AND($B$40&lt;='1 - Titoli e shock'!$B$17,$C429&lt;='1 - Titoli e shock'!$B$17),$D$40*O$6/2*(1-'1 - Titoli e shock'!$B$8),0)</f>
        <v>0</v>
      </c>
      <c r="P429" s="20">
        <f>IF(AND($B$40&lt;='1 - Titoli e shock'!$B$17,$C429&lt;='1 - Titoli e shock'!$B$17),$D$40*P$6/2*(1-'1 - Titoli e shock'!$B$8),0)</f>
        <v>0</v>
      </c>
      <c r="Q429" s="20">
        <f>IF(AND($B$40&lt;='1 - Titoli e shock'!$B$17,$C429&lt;='1 - Titoli e shock'!$B$17),$D$40*Q$6/2*(1-'1 - Titoli e shock'!$B$8),0)</f>
        <v>0</v>
      </c>
      <c r="R429" s="20">
        <f>IF(AND($B$40&lt;='1 - Titoli e shock'!$B$17,$C429&lt;='1 - Titoli e shock'!$B$17),$D$40*R$6/2*(1-'1 - Titoli e shock'!$B$8),0)</f>
        <v>0</v>
      </c>
      <c r="S429" s="20">
        <f>IF(AND($B$40&lt;='1 - Titoli e shock'!$B$17,$C429&lt;='1 - Titoli e shock'!$B$17),$D$40*S$6/2*(1-'1 - Titoli e shock'!$B$8),0)</f>
        <v>0</v>
      </c>
      <c r="T429" s="20">
        <f>IF(AND($B$40&lt;='1 - Titoli e shock'!$B$17,$C429&lt;='1 - Titoli e shock'!$B$17),$D$40*T$6/2*(1-'1 - Titoli e shock'!$B$8),0)</f>
        <v>0</v>
      </c>
      <c r="U429" s="20">
        <f>IF(AND($B$40&lt;='1 - Titoli e shock'!$B$17,$C429&lt;='1 - Titoli e shock'!$B$17),$D$40*U$6/2*(1-'1 - Titoli e shock'!$B$8),0)</f>
        <v>0</v>
      </c>
    </row>
    <row r="430" spans="1:21">
      <c r="A430" s="15" t="s">
        <v>267</v>
      </c>
      <c r="B430" s="22" t="str">
        <f>A40</f>
        <v>BTP 4,35% nov 2033</v>
      </c>
      <c r="C430" s="13">
        <f>EDATE($B$40,6*19)</f>
        <v>52352</v>
      </c>
      <c r="D430" s="23">
        <f>MAX(1,(YEAR(C430)-YEAR('1 - Titoli e shock'!$B$6))+IF(MONTH(C430)*100+DAY(C430)&gt;MONTH('1 - Titoli e shock'!$B$6)*100+DAY('1 - Titoli e shock'!$B$6),1,0))</f>
        <v>17</v>
      </c>
      <c r="F430" s="20">
        <f>IF(AND($B$40&lt;='1 - Titoli e shock'!$B$17,$C430&lt;='1 - Titoli e shock'!$B$17),$D$40*F$6/2*(1-'1 - Titoli e shock'!$B$8),0)</f>
        <v>0</v>
      </c>
      <c r="G430" s="20">
        <f>IF(AND($B$40&lt;='1 - Titoli e shock'!$B$17,$C430&lt;='1 - Titoli e shock'!$B$17),$D$40*G$6/2*(1-'1 - Titoli e shock'!$B$8),0)</f>
        <v>0</v>
      </c>
      <c r="H430" s="20">
        <f>IF(AND($B$40&lt;='1 - Titoli e shock'!$B$17,$C430&lt;='1 - Titoli e shock'!$B$17),$D$40*H$6/2*(1-'1 - Titoli e shock'!$B$8),0)</f>
        <v>0</v>
      </c>
      <c r="I430" s="20">
        <f>IF(AND($B$40&lt;='1 - Titoli e shock'!$B$17,$C430&lt;='1 - Titoli e shock'!$B$17),$D$40*I$6/2*(1-'1 - Titoli e shock'!$B$8),0)</f>
        <v>0</v>
      </c>
      <c r="J430" s="20">
        <f>IF(AND($B$40&lt;='1 - Titoli e shock'!$B$17,$C430&lt;='1 - Titoli e shock'!$B$17),$D$40*J$6/2*(1-'1 - Titoli e shock'!$B$8),0)</f>
        <v>0</v>
      </c>
      <c r="K430" s="20">
        <f>IF(AND($B$40&lt;='1 - Titoli e shock'!$B$17,$C430&lt;='1 - Titoli e shock'!$B$17),$D$40*K$6/2*(1-'1 - Titoli e shock'!$B$8),0)</f>
        <v>0</v>
      </c>
      <c r="L430" s="20">
        <f>IF(AND($B$40&lt;='1 - Titoli e shock'!$B$17,$C430&lt;='1 - Titoli e shock'!$B$17),$D$40*L$6/2*(1-'1 - Titoli e shock'!$B$8),0)</f>
        <v>0</v>
      </c>
      <c r="M430" s="20">
        <f>IF(AND($B$40&lt;='1 - Titoli e shock'!$B$17,$C430&lt;='1 - Titoli e shock'!$B$17),$D$40*M$6/2*(1-'1 - Titoli e shock'!$B$8),0)</f>
        <v>0</v>
      </c>
      <c r="N430" s="20">
        <f>IF(AND($B$40&lt;='1 - Titoli e shock'!$B$17,$C430&lt;='1 - Titoli e shock'!$B$17),$D$40*N$6/2*(1-'1 - Titoli e shock'!$B$8),0)</f>
        <v>0</v>
      </c>
      <c r="O430" s="20">
        <f>IF(AND($B$40&lt;='1 - Titoli e shock'!$B$17,$C430&lt;='1 - Titoli e shock'!$B$17),$D$40*O$6/2*(1-'1 - Titoli e shock'!$B$8),0)</f>
        <v>0</v>
      </c>
      <c r="P430" s="20">
        <f>IF(AND($B$40&lt;='1 - Titoli e shock'!$B$17,$C430&lt;='1 - Titoli e shock'!$B$17),$D$40*P$6/2*(1-'1 - Titoli e shock'!$B$8),0)</f>
        <v>0</v>
      </c>
      <c r="Q430" s="20">
        <f>IF(AND($B$40&lt;='1 - Titoli e shock'!$B$17,$C430&lt;='1 - Titoli e shock'!$B$17),$D$40*Q$6/2*(1-'1 - Titoli e shock'!$B$8),0)</f>
        <v>0</v>
      </c>
      <c r="R430" s="20">
        <f>IF(AND($B$40&lt;='1 - Titoli e shock'!$B$17,$C430&lt;='1 - Titoli e shock'!$B$17),$D$40*R$6/2*(1-'1 - Titoli e shock'!$B$8),0)</f>
        <v>0</v>
      </c>
      <c r="S430" s="20">
        <f>IF(AND($B$40&lt;='1 - Titoli e shock'!$B$17,$C430&lt;='1 - Titoli e shock'!$B$17),$D$40*S$6/2*(1-'1 - Titoli e shock'!$B$8),0)</f>
        <v>0</v>
      </c>
      <c r="T430" s="20">
        <f>IF(AND($B$40&lt;='1 - Titoli e shock'!$B$17,$C430&lt;='1 - Titoli e shock'!$B$17),$D$40*T$6/2*(1-'1 - Titoli e shock'!$B$8),0)</f>
        <v>0</v>
      </c>
      <c r="U430" s="20">
        <f>IF(AND($B$40&lt;='1 - Titoli e shock'!$B$17,$C430&lt;='1 - Titoli e shock'!$B$17),$D$40*U$6/2*(1-'1 - Titoli e shock'!$B$8),0)</f>
        <v>0</v>
      </c>
    </row>
    <row r="431" spans="1:21">
      <c r="A431" s="15" t="s">
        <v>267</v>
      </c>
      <c r="B431" s="22" t="str">
        <f>A40</f>
        <v>BTP 4,35% nov 2033</v>
      </c>
      <c r="C431" s="13">
        <f>EDATE($B$40,6*20)</f>
        <v>52536</v>
      </c>
      <c r="D431" s="23">
        <f>MAX(1,(YEAR(C431)-YEAR('1 - Titoli e shock'!$B$6))+IF(MONTH(C431)*100+DAY(C431)&gt;MONTH('1 - Titoli e shock'!$B$6)*100+DAY('1 - Titoli e shock'!$B$6),1,0))</f>
        <v>18</v>
      </c>
      <c r="F431" s="20">
        <f>IF(AND($B$40&lt;='1 - Titoli e shock'!$B$17,$C431&lt;='1 - Titoli e shock'!$B$17),$D$40*F$6/2*(1-'1 - Titoli e shock'!$B$8),0)</f>
        <v>0</v>
      </c>
      <c r="G431" s="20">
        <f>IF(AND($B$40&lt;='1 - Titoli e shock'!$B$17,$C431&lt;='1 - Titoli e shock'!$B$17),$D$40*G$6/2*(1-'1 - Titoli e shock'!$B$8),0)</f>
        <v>0</v>
      </c>
      <c r="H431" s="20">
        <f>IF(AND($B$40&lt;='1 - Titoli e shock'!$B$17,$C431&lt;='1 - Titoli e shock'!$B$17),$D$40*H$6/2*(1-'1 - Titoli e shock'!$B$8),0)</f>
        <v>0</v>
      </c>
      <c r="I431" s="20">
        <f>IF(AND($B$40&lt;='1 - Titoli e shock'!$B$17,$C431&lt;='1 - Titoli e shock'!$B$17),$D$40*I$6/2*(1-'1 - Titoli e shock'!$B$8),0)</f>
        <v>0</v>
      </c>
      <c r="J431" s="20">
        <f>IF(AND($B$40&lt;='1 - Titoli e shock'!$B$17,$C431&lt;='1 - Titoli e shock'!$B$17),$D$40*J$6/2*(1-'1 - Titoli e shock'!$B$8),0)</f>
        <v>0</v>
      </c>
      <c r="K431" s="20">
        <f>IF(AND($B$40&lt;='1 - Titoli e shock'!$B$17,$C431&lt;='1 - Titoli e shock'!$B$17),$D$40*K$6/2*(1-'1 - Titoli e shock'!$B$8),0)</f>
        <v>0</v>
      </c>
      <c r="L431" s="20">
        <f>IF(AND($B$40&lt;='1 - Titoli e shock'!$B$17,$C431&lt;='1 - Titoli e shock'!$B$17),$D$40*L$6/2*(1-'1 - Titoli e shock'!$B$8),0)</f>
        <v>0</v>
      </c>
      <c r="M431" s="20">
        <f>IF(AND($B$40&lt;='1 - Titoli e shock'!$B$17,$C431&lt;='1 - Titoli e shock'!$B$17),$D$40*M$6/2*(1-'1 - Titoli e shock'!$B$8),0)</f>
        <v>0</v>
      </c>
      <c r="N431" s="20">
        <f>IF(AND($B$40&lt;='1 - Titoli e shock'!$B$17,$C431&lt;='1 - Titoli e shock'!$B$17),$D$40*N$6/2*(1-'1 - Titoli e shock'!$B$8),0)</f>
        <v>0</v>
      </c>
      <c r="O431" s="20">
        <f>IF(AND($B$40&lt;='1 - Titoli e shock'!$B$17,$C431&lt;='1 - Titoli e shock'!$B$17),$D$40*O$6/2*(1-'1 - Titoli e shock'!$B$8),0)</f>
        <v>0</v>
      </c>
      <c r="P431" s="20">
        <f>IF(AND($B$40&lt;='1 - Titoli e shock'!$B$17,$C431&lt;='1 - Titoli e shock'!$B$17),$D$40*P$6/2*(1-'1 - Titoli e shock'!$B$8),0)</f>
        <v>0</v>
      </c>
      <c r="Q431" s="20">
        <f>IF(AND($B$40&lt;='1 - Titoli e shock'!$B$17,$C431&lt;='1 - Titoli e shock'!$B$17),$D$40*Q$6/2*(1-'1 - Titoli e shock'!$B$8),0)</f>
        <v>0</v>
      </c>
      <c r="R431" s="20">
        <f>IF(AND($B$40&lt;='1 - Titoli e shock'!$B$17,$C431&lt;='1 - Titoli e shock'!$B$17),$D$40*R$6/2*(1-'1 - Titoli e shock'!$B$8),0)</f>
        <v>0</v>
      </c>
      <c r="S431" s="20">
        <f>IF(AND($B$40&lt;='1 - Titoli e shock'!$B$17,$C431&lt;='1 - Titoli e shock'!$B$17),$D$40*S$6/2*(1-'1 - Titoli e shock'!$B$8),0)</f>
        <v>0</v>
      </c>
      <c r="T431" s="20">
        <f>IF(AND($B$40&lt;='1 - Titoli e shock'!$B$17,$C431&lt;='1 - Titoli e shock'!$B$17),$D$40*T$6/2*(1-'1 - Titoli e shock'!$B$8),0)</f>
        <v>0</v>
      </c>
      <c r="U431" s="20">
        <f>IF(AND($B$40&lt;='1 - Titoli e shock'!$B$17,$C431&lt;='1 - Titoli e shock'!$B$17),$D$40*U$6/2*(1-'1 - Titoli e shock'!$B$8),0)</f>
        <v>0</v>
      </c>
    </row>
    <row r="432" spans="1:21">
      <c r="A432" s="15" t="s">
        <v>268</v>
      </c>
      <c r="B432" s="22" t="str">
        <f>A40</f>
        <v>BTP 4,35% nov 2033</v>
      </c>
      <c r="C432" s="13">
        <f>EDATE($B$40,120)</f>
        <v>52536</v>
      </c>
      <c r="D432" s="23">
        <f>MAX(1,(YEAR(C432)-YEAR('1 - Titoli e shock'!$B$6))+IF(MONTH(C432)*100+DAY(C432)&gt;MONTH('1 - Titoli e shock'!$B$6)*100+DAY('1 - Titoli e shock'!$B$6),1,0))</f>
        <v>18</v>
      </c>
      <c r="F432" s="20">
        <f>IF(AND($B$40&lt;='1 - Titoli e shock'!$B$17,$C432&lt;='1 - Titoli e shock'!$B$17),$D$40,0)</f>
        <v>0</v>
      </c>
      <c r="G432" s="20">
        <f>IF(AND($B$40&lt;='1 - Titoli e shock'!$B$17,$C432&lt;='1 - Titoli e shock'!$B$17),$D$40,0)</f>
        <v>0</v>
      </c>
      <c r="H432" s="20">
        <f>IF(AND($B$40&lt;='1 - Titoli e shock'!$B$17,$C432&lt;='1 - Titoli e shock'!$B$17),$D$40,0)</f>
        <v>0</v>
      </c>
      <c r="I432" s="20">
        <f>IF(AND($B$40&lt;='1 - Titoli e shock'!$B$17,$C432&lt;='1 - Titoli e shock'!$B$17),$D$40,0)</f>
        <v>0</v>
      </c>
      <c r="J432" s="20">
        <f>IF(AND($B$40&lt;='1 - Titoli e shock'!$B$17,$C432&lt;='1 - Titoli e shock'!$B$17),$D$40,0)</f>
        <v>0</v>
      </c>
      <c r="K432" s="20">
        <f>IF(AND($B$40&lt;='1 - Titoli e shock'!$B$17,$C432&lt;='1 - Titoli e shock'!$B$17),$D$40,0)</f>
        <v>0</v>
      </c>
      <c r="L432" s="20">
        <f>IF(AND($B$40&lt;='1 - Titoli e shock'!$B$17,$C432&lt;='1 - Titoli e shock'!$B$17),$D$40,0)</f>
        <v>0</v>
      </c>
      <c r="M432" s="20">
        <f>IF(AND($B$40&lt;='1 - Titoli e shock'!$B$17,$C432&lt;='1 - Titoli e shock'!$B$17),$D$40,0)</f>
        <v>0</v>
      </c>
      <c r="N432" s="20">
        <f>IF(AND($B$40&lt;='1 - Titoli e shock'!$B$17,$C432&lt;='1 - Titoli e shock'!$B$17),$D$40,0)</f>
        <v>0</v>
      </c>
      <c r="O432" s="20">
        <f>IF(AND($B$40&lt;='1 - Titoli e shock'!$B$17,$C432&lt;='1 - Titoli e shock'!$B$17),$D$40,0)</f>
        <v>0</v>
      </c>
      <c r="P432" s="20">
        <f>IF(AND($B$40&lt;='1 - Titoli e shock'!$B$17,$C432&lt;='1 - Titoli e shock'!$B$17),$D$40,0)</f>
        <v>0</v>
      </c>
      <c r="Q432" s="20">
        <f>IF(AND($B$40&lt;='1 - Titoli e shock'!$B$17,$C432&lt;='1 - Titoli e shock'!$B$17),$D$40,0)</f>
        <v>0</v>
      </c>
      <c r="R432" s="20">
        <f>IF(AND($B$40&lt;='1 - Titoli e shock'!$B$17,$C432&lt;='1 - Titoli e shock'!$B$17),$D$40,0)</f>
        <v>0</v>
      </c>
      <c r="S432" s="20">
        <f>IF(AND($B$40&lt;='1 - Titoli e shock'!$B$17,$C432&lt;='1 - Titoli e shock'!$B$17),$D$40,0)</f>
        <v>0</v>
      </c>
      <c r="T432" s="20">
        <f>IF(AND($B$40&lt;='1 - Titoli e shock'!$B$17,$C432&lt;='1 - Titoli e shock'!$B$17),$D$40,0)</f>
        <v>0</v>
      </c>
      <c r="U432" s="20">
        <f>IF(AND($B$40&lt;='1 - Titoli e shock'!$B$17,$C432&lt;='1 - Titoli e shock'!$B$17),$D$40,0)</f>
        <v>0</v>
      </c>
    </row>
    <row r="433" spans="1:21">
      <c r="A433" s="15" t="s">
        <v>267</v>
      </c>
      <c r="B433" s="22" t="str">
        <f>A41</f>
        <v>BTP 3,85% feb 2035</v>
      </c>
      <c r="C433" s="13">
        <f>EDATE($B$41,6*1)</f>
        <v>49522</v>
      </c>
      <c r="D433" s="23">
        <f>MAX(1,(YEAR(C433)-YEAR('1 - Titoli e shock'!$B$6))+IF(MONTH(C433)*100+DAY(C433)&gt;MONTH('1 - Titoli e shock'!$B$6)*100+DAY('1 - Titoli e shock'!$B$6),1,0))</f>
        <v>9</v>
      </c>
      <c r="F433" s="20">
        <f>IF(AND($B$41&lt;='1 - Titoli e shock'!$B$17,$C433&lt;='1 - Titoli e shock'!$B$17),$D$41*F$6/2*(1-'1 - Titoli e shock'!$B$8),0)</f>
        <v>308.39183702941705</v>
      </c>
      <c r="G433" s="20">
        <f>IF(AND($B$41&lt;='1 - Titoli e shock'!$B$17,$C433&lt;='1 - Titoli e shock'!$B$17),$D$41*G$6/2*(1-'1 - Titoli e shock'!$B$8),0)</f>
        <v>395.84596697163568</v>
      </c>
      <c r="H433" s="20">
        <f>IF(AND($B$41&lt;='1 - Titoli e shock'!$B$17,$C433&lt;='1 - Titoli e shock'!$B$17),$D$41*H$6/2*(1-'1 - Titoli e shock'!$B$8),0)</f>
        <v>482.88259960086395</v>
      </c>
      <c r="I433" s="20">
        <f>IF(AND($B$41&lt;='1 - Titoli e shock'!$B$17,$C433&lt;='1 - Titoli e shock'!$B$17),$D$41*I$6/2*(1-'1 - Titoli e shock'!$B$8),0)</f>
        <v>569.50765770621263</v>
      </c>
      <c r="J433" s="20">
        <f>IF(AND($B$41&lt;='1 - Titoli e shock'!$B$17,$C433&lt;='1 - Titoli e shock'!$B$17),$D$41*J$6/2*(1-'1 - Titoli e shock'!$B$8),0)</f>
        <v>417.64403172874518</v>
      </c>
      <c r="K433" s="20">
        <f>IF(AND($B$41&lt;='1 - Titoli e shock'!$B$17,$C433&lt;='1 - Titoli e shock'!$B$17),$D$41*K$6/2*(1-'1 - Titoli e shock'!$B$8),0)</f>
        <v>439.4160969704804</v>
      </c>
      <c r="L433" s="20">
        <f>IF(AND($B$41&lt;='1 - Titoli e shock'!$B$17,$C433&lt;='1 - Titoli e shock'!$B$17),$D$41*L$6/2*(1-'1 - Titoli e shock'!$B$8),0)</f>
        <v>448.1176640110869</v>
      </c>
      <c r="M433" s="20">
        <f>IF(AND($B$41&lt;='1 - Titoli e shock'!$B$17,$C433&lt;='1 - Titoli e shock'!$B$17),$D$41*M$6/2*(1-'1 - Titoli e shock'!$B$8),0)</f>
        <v>456.81509190031994</v>
      </c>
      <c r="N433" s="20">
        <f>IF(AND($B$41&lt;='1 - Titoli e shock'!$B$17,$C433&lt;='1 - Titoli e shock'!$B$17),$D$41*N$6/2*(1-'1 - Titoli e shock'!$B$8),0)</f>
        <v>465.50838653929054</v>
      </c>
      <c r="O433" s="20">
        <f>IF(AND($B$41&lt;='1 - Titoli e shock'!$B$17,$C433&lt;='1 - Titoli e shock'!$B$17),$D$41*O$6/2*(1-'1 - Titoli e shock'!$B$8),0)</f>
        <v>474.1975538150898</v>
      </c>
      <c r="P433" s="20">
        <f>IF(AND($B$41&lt;='1 - Titoli e shock'!$B$17,$C433&lt;='1 - Titoli e shock'!$B$17),$D$41*P$6/2*(1-'1 - Titoli e shock'!$B$8),0)</f>
        <v>491.56352975582291</v>
      </c>
      <c r="Q433" s="20">
        <f>IF(AND($B$41&lt;='1 - Titoli e shock'!$B$17,$C433&lt;='1 - Titoli e shock'!$B$17),$D$41*Q$6/2*(1-'1 - Titoli e shock'!$B$8),0)</f>
        <v>500.24035012533062</v>
      </c>
      <c r="R433" s="20">
        <f>IF(AND($B$41&lt;='1 - Titoli e shock'!$B$17,$C433&lt;='1 - Titoli e shock'!$B$17),$D$41*R$6/2*(1-'1 - Titoli e shock'!$B$8),0)</f>
        <v>508.9130665409017</v>
      </c>
      <c r="S433" s="20">
        <f>IF(AND($B$41&lt;='1 - Titoli e shock'!$B$17,$C433&lt;='1 - Titoli e shock'!$B$17),$D$41*S$6/2*(1-'1 - Titoli e shock'!$B$8),0)</f>
        <v>517.58168482029214</v>
      </c>
      <c r="T433" s="20">
        <f>IF(AND($B$41&lt;='1 - Titoli e shock'!$B$17,$C433&lt;='1 - Titoli e shock'!$B$17),$D$41*T$6/2*(1-'1 - Titoli e shock'!$B$8),0)</f>
        <v>526.2462107675193</v>
      </c>
      <c r="U433" s="20">
        <f>IF(AND($B$41&lt;='1 - Titoli e shock'!$B$17,$C433&lt;='1 - Titoli e shock'!$B$17),$D$41*U$6/2*(1-'1 - Titoli e shock'!$B$8),0)</f>
        <v>655.72692534874705</v>
      </c>
    </row>
    <row r="434" spans="1:21">
      <c r="A434" s="15" t="s">
        <v>267</v>
      </c>
      <c r="B434" s="22" t="str">
        <f>A41</f>
        <v>BTP 3,85% feb 2035</v>
      </c>
      <c r="C434" s="13">
        <f>EDATE($B$41,6*2)</f>
        <v>49706</v>
      </c>
      <c r="D434" s="23">
        <f>MAX(1,(YEAR(C434)-YEAR('1 - Titoli e shock'!$B$6))+IF(MONTH(C434)*100+DAY(C434)&gt;MONTH('1 - Titoli e shock'!$B$6)*100+DAY('1 - Titoli e shock'!$B$6),1,0))</f>
        <v>10</v>
      </c>
      <c r="F434" s="20">
        <f>IF(AND($B$41&lt;='1 - Titoli e shock'!$B$17,$C434&lt;='1 - Titoli e shock'!$B$17),$D$41*F$6/2*(1-'1 - Titoli e shock'!$B$8),0)</f>
        <v>308.39183702941705</v>
      </c>
      <c r="G434" s="20">
        <f>IF(AND($B$41&lt;='1 - Titoli e shock'!$B$17,$C434&lt;='1 - Titoli e shock'!$B$17),$D$41*G$6/2*(1-'1 - Titoli e shock'!$B$8),0)</f>
        <v>395.84596697163568</v>
      </c>
      <c r="H434" s="20">
        <f>IF(AND($B$41&lt;='1 - Titoli e shock'!$B$17,$C434&lt;='1 - Titoli e shock'!$B$17),$D$41*H$6/2*(1-'1 - Titoli e shock'!$B$8),0)</f>
        <v>482.88259960086395</v>
      </c>
      <c r="I434" s="20">
        <f>IF(AND($B$41&lt;='1 - Titoli e shock'!$B$17,$C434&lt;='1 - Titoli e shock'!$B$17),$D$41*I$6/2*(1-'1 - Titoli e shock'!$B$8),0)</f>
        <v>569.50765770621263</v>
      </c>
      <c r="J434" s="20">
        <f>IF(AND($B$41&lt;='1 - Titoli e shock'!$B$17,$C434&lt;='1 - Titoli e shock'!$B$17),$D$41*J$6/2*(1-'1 - Titoli e shock'!$B$8),0)</f>
        <v>417.64403172874518</v>
      </c>
      <c r="K434" s="20">
        <f>IF(AND($B$41&lt;='1 - Titoli e shock'!$B$17,$C434&lt;='1 - Titoli e shock'!$B$17),$D$41*K$6/2*(1-'1 - Titoli e shock'!$B$8),0)</f>
        <v>439.4160969704804</v>
      </c>
      <c r="L434" s="20">
        <f>IF(AND($B$41&lt;='1 - Titoli e shock'!$B$17,$C434&lt;='1 - Titoli e shock'!$B$17),$D$41*L$6/2*(1-'1 - Titoli e shock'!$B$8),0)</f>
        <v>448.1176640110869</v>
      </c>
      <c r="M434" s="20">
        <f>IF(AND($B$41&lt;='1 - Titoli e shock'!$B$17,$C434&lt;='1 - Titoli e shock'!$B$17),$D$41*M$6/2*(1-'1 - Titoli e shock'!$B$8),0)</f>
        <v>456.81509190031994</v>
      </c>
      <c r="N434" s="20">
        <f>IF(AND($B$41&lt;='1 - Titoli e shock'!$B$17,$C434&lt;='1 - Titoli e shock'!$B$17),$D$41*N$6/2*(1-'1 - Titoli e shock'!$B$8),0)</f>
        <v>465.50838653929054</v>
      </c>
      <c r="O434" s="20">
        <f>IF(AND($B$41&lt;='1 - Titoli e shock'!$B$17,$C434&lt;='1 - Titoli e shock'!$B$17),$D$41*O$6/2*(1-'1 - Titoli e shock'!$B$8),0)</f>
        <v>474.1975538150898</v>
      </c>
      <c r="P434" s="20">
        <f>IF(AND($B$41&lt;='1 - Titoli e shock'!$B$17,$C434&lt;='1 - Titoli e shock'!$B$17),$D$41*P$6/2*(1-'1 - Titoli e shock'!$B$8),0)</f>
        <v>491.56352975582291</v>
      </c>
      <c r="Q434" s="20">
        <f>IF(AND($B$41&lt;='1 - Titoli e shock'!$B$17,$C434&lt;='1 - Titoli e shock'!$B$17),$D$41*Q$6/2*(1-'1 - Titoli e shock'!$B$8),0)</f>
        <v>500.24035012533062</v>
      </c>
      <c r="R434" s="20">
        <f>IF(AND($B$41&lt;='1 - Titoli e shock'!$B$17,$C434&lt;='1 - Titoli e shock'!$B$17),$D$41*R$6/2*(1-'1 - Titoli e shock'!$B$8),0)</f>
        <v>508.9130665409017</v>
      </c>
      <c r="S434" s="20">
        <f>IF(AND($B$41&lt;='1 - Titoli e shock'!$B$17,$C434&lt;='1 - Titoli e shock'!$B$17),$D$41*S$6/2*(1-'1 - Titoli e shock'!$B$8),0)</f>
        <v>517.58168482029214</v>
      </c>
      <c r="T434" s="20">
        <f>IF(AND($B$41&lt;='1 - Titoli e shock'!$B$17,$C434&lt;='1 - Titoli e shock'!$B$17),$D$41*T$6/2*(1-'1 - Titoli e shock'!$B$8),0)</f>
        <v>526.2462107675193</v>
      </c>
      <c r="U434" s="20">
        <f>IF(AND($B$41&lt;='1 - Titoli e shock'!$B$17,$C434&lt;='1 - Titoli e shock'!$B$17),$D$41*U$6/2*(1-'1 - Titoli e shock'!$B$8),0)</f>
        <v>655.72692534874705</v>
      </c>
    </row>
    <row r="435" spans="1:21">
      <c r="A435" s="15" t="s">
        <v>267</v>
      </c>
      <c r="B435" s="22" t="str">
        <f>A41</f>
        <v>BTP 3,85% feb 2035</v>
      </c>
      <c r="C435" s="13">
        <f>EDATE($B$41,6*3)</f>
        <v>49888</v>
      </c>
      <c r="D435" s="23">
        <f>MAX(1,(YEAR(C435)-YEAR('1 - Titoli e shock'!$B$6))+IF(MONTH(C435)*100+DAY(C435)&gt;MONTH('1 - Titoli e shock'!$B$6)*100+DAY('1 - Titoli e shock'!$B$6),1,0))</f>
        <v>10</v>
      </c>
      <c r="F435" s="20">
        <f>IF(AND($B$41&lt;='1 - Titoli e shock'!$B$17,$C435&lt;='1 - Titoli e shock'!$B$17),$D$41*F$6/2*(1-'1 - Titoli e shock'!$B$8),0)</f>
        <v>308.39183702941705</v>
      </c>
      <c r="G435" s="20">
        <f>IF(AND($B$41&lt;='1 - Titoli e shock'!$B$17,$C435&lt;='1 - Titoli e shock'!$B$17),$D$41*G$6/2*(1-'1 - Titoli e shock'!$B$8),0)</f>
        <v>395.84596697163568</v>
      </c>
      <c r="H435" s="20">
        <f>IF(AND($B$41&lt;='1 - Titoli e shock'!$B$17,$C435&lt;='1 - Titoli e shock'!$B$17),$D$41*H$6/2*(1-'1 - Titoli e shock'!$B$8),0)</f>
        <v>482.88259960086395</v>
      </c>
      <c r="I435" s="20">
        <f>IF(AND($B$41&lt;='1 - Titoli e shock'!$B$17,$C435&lt;='1 - Titoli e shock'!$B$17),$D$41*I$6/2*(1-'1 - Titoli e shock'!$B$8),0)</f>
        <v>569.50765770621263</v>
      </c>
      <c r="J435" s="20">
        <f>IF(AND($B$41&lt;='1 - Titoli e shock'!$B$17,$C435&lt;='1 - Titoli e shock'!$B$17),$D$41*J$6/2*(1-'1 - Titoli e shock'!$B$8),0)</f>
        <v>417.64403172874518</v>
      </c>
      <c r="K435" s="20">
        <f>IF(AND($B$41&lt;='1 - Titoli e shock'!$B$17,$C435&lt;='1 - Titoli e shock'!$B$17),$D$41*K$6/2*(1-'1 - Titoli e shock'!$B$8),0)</f>
        <v>439.4160969704804</v>
      </c>
      <c r="L435" s="20">
        <f>IF(AND($B$41&lt;='1 - Titoli e shock'!$B$17,$C435&lt;='1 - Titoli e shock'!$B$17),$D$41*L$6/2*(1-'1 - Titoli e shock'!$B$8),0)</f>
        <v>448.1176640110869</v>
      </c>
      <c r="M435" s="20">
        <f>IF(AND($B$41&lt;='1 - Titoli e shock'!$B$17,$C435&lt;='1 - Titoli e shock'!$B$17),$D$41*M$6/2*(1-'1 - Titoli e shock'!$B$8),0)</f>
        <v>456.81509190031994</v>
      </c>
      <c r="N435" s="20">
        <f>IF(AND($B$41&lt;='1 - Titoli e shock'!$B$17,$C435&lt;='1 - Titoli e shock'!$B$17),$D$41*N$6/2*(1-'1 - Titoli e shock'!$B$8),0)</f>
        <v>465.50838653929054</v>
      </c>
      <c r="O435" s="20">
        <f>IF(AND($B$41&lt;='1 - Titoli e shock'!$B$17,$C435&lt;='1 - Titoli e shock'!$B$17),$D$41*O$6/2*(1-'1 - Titoli e shock'!$B$8),0)</f>
        <v>474.1975538150898</v>
      </c>
      <c r="P435" s="20">
        <f>IF(AND($B$41&lt;='1 - Titoli e shock'!$B$17,$C435&lt;='1 - Titoli e shock'!$B$17),$D$41*P$6/2*(1-'1 - Titoli e shock'!$B$8),0)</f>
        <v>491.56352975582291</v>
      </c>
      <c r="Q435" s="20">
        <f>IF(AND($B$41&lt;='1 - Titoli e shock'!$B$17,$C435&lt;='1 - Titoli e shock'!$B$17),$D$41*Q$6/2*(1-'1 - Titoli e shock'!$B$8),0)</f>
        <v>500.24035012533062</v>
      </c>
      <c r="R435" s="20">
        <f>IF(AND($B$41&lt;='1 - Titoli e shock'!$B$17,$C435&lt;='1 - Titoli e shock'!$B$17),$D$41*R$6/2*(1-'1 - Titoli e shock'!$B$8),0)</f>
        <v>508.9130665409017</v>
      </c>
      <c r="S435" s="20">
        <f>IF(AND($B$41&lt;='1 - Titoli e shock'!$B$17,$C435&lt;='1 - Titoli e shock'!$B$17),$D$41*S$6/2*(1-'1 - Titoli e shock'!$B$8),0)</f>
        <v>517.58168482029214</v>
      </c>
      <c r="T435" s="20">
        <f>IF(AND($B$41&lt;='1 - Titoli e shock'!$B$17,$C435&lt;='1 - Titoli e shock'!$B$17),$D$41*T$6/2*(1-'1 - Titoli e shock'!$B$8),0)</f>
        <v>526.2462107675193</v>
      </c>
      <c r="U435" s="20">
        <f>IF(AND($B$41&lt;='1 - Titoli e shock'!$B$17,$C435&lt;='1 - Titoli e shock'!$B$17),$D$41*U$6/2*(1-'1 - Titoli e shock'!$B$8),0)</f>
        <v>655.72692534874705</v>
      </c>
    </row>
    <row r="436" spans="1:21">
      <c r="A436" s="15" t="s">
        <v>267</v>
      </c>
      <c r="B436" s="22" t="str">
        <f>A41</f>
        <v>BTP 3,85% feb 2035</v>
      </c>
      <c r="C436" s="13">
        <f>EDATE($B$41,6*4)</f>
        <v>50072</v>
      </c>
      <c r="D436" s="23">
        <f>MAX(1,(YEAR(C436)-YEAR('1 - Titoli e shock'!$B$6))+IF(MONTH(C436)*100+DAY(C436)&gt;MONTH('1 - Titoli e shock'!$B$6)*100+DAY('1 - Titoli e shock'!$B$6),1,0))</f>
        <v>11</v>
      </c>
      <c r="F436" s="20">
        <f>IF(AND($B$41&lt;='1 - Titoli e shock'!$B$17,$C436&lt;='1 - Titoli e shock'!$B$17),$D$41*F$6/2*(1-'1 - Titoli e shock'!$B$8),0)</f>
        <v>0</v>
      </c>
      <c r="G436" s="20">
        <f>IF(AND($B$41&lt;='1 - Titoli e shock'!$B$17,$C436&lt;='1 - Titoli e shock'!$B$17),$D$41*G$6/2*(1-'1 - Titoli e shock'!$B$8),0)</f>
        <v>0</v>
      </c>
      <c r="H436" s="20">
        <f>IF(AND($B$41&lt;='1 - Titoli e shock'!$B$17,$C436&lt;='1 - Titoli e shock'!$B$17),$D$41*H$6/2*(1-'1 - Titoli e shock'!$B$8),0)</f>
        <v>0</v>
      </c>
      <c r="I436" s="20">
        <f>IF(AND($B$41&lt;='1 - Titoli e shock'!$B$17,$C436&lt;='1 - Titoli e shock'!$B$17),$D$41*I$6/2*(1-'1 - Titoli e shock'!$B$8),0)</f>
        <v>0</v>
      </c>
      <c r="J436" s="20">
        <f>IF(AND($B$41&lt;='1 - Titoli e shock'!$B$17,$C436&lt;='1 - Titoli e shock'!$B$17),$D$41*J$6/2*(1-'1 - Titoli e shock'!$B$8),0)</f>
        <v>0</v>
      </c>
      <c r="K436" s="20">
        <f>IF(AND($B$41&lt;='1 - Titoli e shock'!$B$17,$C436&lt;='1 - Titoli e shock'!$B$17),$D$41*K$6/2*(1-'1 - Titoli e shock'!$B$8),0)</f>
        <v>0</v>
      </c>
      <c r="L436" s="20">
        <f>IF(AND($B$41&lt;='1 - Titoli e shock'!$B$17,$C436&lt;='1 - Titoli e shock'!$B$17),$D$41*L$6/2*(1-'1 - Titoli e shock'!$B$8),0)</f>
        <v>0</v>
      </c>
      <c r="M436" s="20">
        <f>IF(AND($B$41&lt;='1 - Titoli e shock'!$B$17,$C436&lt;='1 - Titoli e shock'!$B$17),$D$41*M$6/2*(1-'1 - Titoli e shock'!$B$8),0)</f>
        <v>0</v>
      </c>
      <c r="N436" s="20">
        <f>IF(AND($B$41&lt;='1 - Titoli e shock'!$B$17,$C436&lt;='1 - Titoli e shock'!$B$17),$D$41*N$6/2*(1-'1 - Titoli e shock'!$B$8),0)</f>
        <v>0</v>
      </c>
      <c r="O436" s="20">
        <f>IF(AND($B$41&lt;='1 - Titoli e shock'!$B$17,$C436&lt;='1 - Titoli e shock'!$B$17),$D$41*O$6/2*(1-'1 - Titoli e shock'!$B$8),0)</f>
        <v>0</v>
      </c>
      <c r="P436" s="20">
        <f>IF(AND($B$41&lt;='1 - Titoli e shock'!$B$17,$C436&lt;='1 - Titoli e shock'!$B$17),$D$41*P$6/2*(1-'1 - Titoli e shock'!$B$8),0)</f>
        <v>0</v>
      </c>
      <c r="Q436" s="20">
        <f>IF(AND($B$41&lt;='1 - Titoli e shock'!$B$17,$C436&lt;='1 - Titoli e shock'!$B$17),$D$41*Q$6/2*(1-'1 - Titoli e shock'!$B$8),0)</f>
        <v>0</v>
      </c>
      <c r="R436" s="20">
        <f>IF(AND($B$41&lt;='1 - Titoli e shock'!$B$17,$C436&lt;='1 - Titoli e shock'!$B$17),$D$41*R$6/2*(1-'1 - Titoli e shock'!$B$8),0)</f>
        <v>0</v>
      </c>
      <c r="S436" s="20">
        <f>IF(AND($B$41&lt;='1 - Titoli e shock'!$B$17,$C436&lt;='1 - Titoli e shock'!$B$17),$D$41*S$6/2*(1-'1 - Titoli e shock'!$B$8),0)</f>
        <v>0</v>
      </c>
      <c r="T436" s="20">
        <f>IF(AND($B$41&lt;='1 - Titoli e shock'!$B$17,$C436&lt;='1 - Titoli e shock'!$B$17),$D$41*T$6/2*(1-'1 - Titoli e shock'!$B$8),0)</f>
        <v>0</v>
      </c>
      <c r="U436" s="20">
        <f>IF(AND($B$41&lt;='1 - Titoli e shock'!$B$17,$C436&lt;='1 - Titoli e shock'!$B$17),$D$41*U$6/2*(1-'1 - Titoli e shock'!$B$8),0)</f>
        <v>0</v>
      </c>
    </row>
    <row r="437" spans="1:21">
      <c r="A437" s="15" t="s">
        <v>267</v>
      </c>
      <c r="B437" s="22" t="str">
        <f>A41</f>
        <v>BTP 3,85% feb 2035</v>
      </c>
      <c r="C437" s="13">
        <f>EDATE($B$41,6*5)</f>
        <v>50253</v>
      </c>
      <c r="D437" s="23">
        <f>MAX(1,(YEAR(C437)-YEAR('1 - Titoli e shock'!$B$6))+IF(MONTH(C437)*100+DAY(C437)&gt;MONTH('1 - Titoli e shock'!$B$6)*100+DAY('1 - Titoli e shock'!$B$6),1,0))</f>
        <v>11</v>
      </c>
      <c r="F437" s="20">
        <f>IF(AND($B$41&lt;='1 - Titoli e shock'!$B$17,$C437&lt;='1 - Titoli e shock'!$B$17),$D$41*F$6/2*(1-'1 - Titoli e shock'!$B$8),0)</f>
        <v>0</v>
      </c>
      <c r="G437" s="20">
        <f>IF(AND($B$41&lt;='1 - Titoli e shock'!$B$17,$C437&lt;='1 - Titoli e shock'!$B$17),$D$41*G$6/2*(1-'1 - Titoli e shock'!$B$8),0)</f>
        <v>0</v>
      </c>
      <c r="H437" s="20">
        <f>IF(AND($B$41&lt;='1 - Titoli e shock'!$B$17,$C437&lt;='1 - Titoli e shock'!$B$17),$D$41*H$6/2*(1-'1 - Titoli e shock'!$B$8),0)</f>
        <v>0</v>
      </c>
      <c r="I437" s="20">
        <f>IF(AND($B$41&lt;='1 - Titoli e shock'!$B$17,$C437&lt;='1 - Titoli e shock'!$B$17),$D$41*I$6/2*(1-'1 - Titoli e shock'!$B$8),0)</f>
        <v>0</v>
      </c>
      <c r="J437" s="20">
        <f>IF(AND($B$41&lt;='1 - Titoli e shock'!$B$17,$C437&lt;='1 - Titoli e shock'!$B$17),$D$41*J$6/2*(1-'1 - Titoli e shock'!$B$8),0)</f>
        <v>0</v>
      </c>
      <c r="K437" s="20">
        <f>IF(AND($B$41&lt;='1 - Titoli e shock'!$B$17,$C437&lt;='1 - Titoli e shock'!$B$17),$D$41*K$6/2*(1-'1 - Titoli e shock'!$B$8),0)</f>
        <v>0</v>
      </c>
      <c r="L437" s="20">
        <f>IF(AND($B$41&lt;='1 - Titoli e shock'!$B$17,$C437&lt;='1 - Titoli e shock'!$B$17),$D$41*L$6/2*(1-'1 - Titoli e shock'!$B$8),0)</f>
        <v>0</v>
      </c>
      <c r="M437" s="20">
        <f>IF(AND($B$41&lt;='1 - Titoli e shock'!$B$17,$C437&lt;='1 - Titoli e shock'!$B$17),$D$41*M$6/2*(1-'1 - Titoli e shock'!$B$8),0)</f>
        <v>0</v>
      </c>
      <c r="N437" s="20">
        <f>IF(AND($B$41&lt;='1 - Titoli e shock'!$B$17,$C437&lt;='1 - Titoli e shock'!$B$17),$D$41*N$6/2*(1-'1 - Titoli e shock'!$B$8),0)</f>
        <v>0</v>
      </c>
      <c r="O437" s="20">
        <f>IF(AND($B$41&lt;='1 - Titoli e shock'!$B$17,$C437&lt;='1 - Titoli e shock'!$B$17),$D$41*O$6/2*(1-'1 - Titoli e shock'!$B$8),0)</f>
        <v>0</v>
      </c>
      <c r="P437" s="20">
        <f>IF(AND($B$41&lt;='1 - Titoli e shock'!$B$17,$C437&lt;='1 - Titoli e shock'!$B$17),$D$41*P$6/2*(1-'1 - Titoli e shock'!$B$8),0)</f>
        <v>0</v>
      </c>
      <c r="Q437" s="20">
        <f>IF(AND($B$41&lt;='1 - Titoli e shock'!$B$17,$C437&lt;='1 - Titoli e shock'!$B$17),$D$41*Q$6/2*(1-'1 - Titoli e shock'!$B$8),0)</f>
        <v>0</v>
      </c>
      <c r="R437" s="20">
        <f>IF(AND($B$41&lt;='1 - Titoli e shock'!$B$17,$C437&lt;='1 - Titoli e shock'!$B$17),$D$41*R$6/2*(1-'1 - Titoli e shock'!$B$8),0)</f>
        <v>0</v>
      </c>
      <c r="S437" s="20">
        <f>IF(AND($B$41&lt;='1 - Titoli e shock'!$B$17,$C437&lt;='1 - Titoli e shock'!$B$17),$D$41*S$6/2*(1-'1 - Titoli e shock'!$B$8),0)</f>
        <v>0</v>
      </c>
      <c r="T437" s="20">
        <f>IF(AND($B$41&lt;='1 - Titoli e shock'!$B$17,$C437&lt;='1 - Titoli e shock'!$B$17),$D$41*T$6/2*(1-'1 - Titoli e shock'!$B$8),0)</f>
        <v>0</v>
      </c>
      <c r="U437" s="20">
        <f>IF(AND($B$41&lt;='1 - Titoli e shock'!$B$17,$C437&lt;='1 - Titoli e shock'!$B$17),$D$41*U$6/2*(1-'1 - Titoli e shock'!$B$8),0)</f>
        <v>0</v>
      </c>
    </row>
    <row r="438" spans="1:21">
      <c r="A438" s="15" t="s">
        <v>267</v>
      </c>
      <c r="B438" s="22" t="str">
        <f>A41</f>
        <v>BTP 3,85% feb 2035</v>
      </c>
      <c r="C438" s="13">
        <f>EDATE($B$41,6*6)</f>
        <v>50437</v>
      </c>
      <c r="D438" s="23">
        <f>MAX(1,(YEAR(C438)-YEAR('1 - Titoli e shock'!$B$6))+IF(MONTH(C438)*100+DAY(C438)&gt;MONTH('1 - Titoli e shock'!$B$6)*100+DAY('1 - Titoli e shock'!$B$6),1,0))</f>
        <v>12</v>
      </c>
      <c r="F438" s="20">
        <f>IF(AND($B$41&lt;='1 - Titoli e shock'!$B$17,$C438&lt;='1 - Titoli e shock'!$B$17),$D$41*F$6/2*(1-'1 - Titoli e shock'!$B$8),0)</f>
        <v>0</v>
      </c>
      <c r="G438" s="20">
        <f>IF(AND($B$41&lt;='1 - Titoli e shock'!$B$17,$C438&lt;='1 - Titoli e shock'!$B$17),$D$41*G$6/2*(1-'1 - Titoli e shock'!$B$8),0)</f>
        <v>0</v>
      </c>
      <c r="H438" s="20">
        <f>IF(AND($B$41&lt;='1 - Titoli e shock'!$B$17,$C438&lt;='1 - Titoli e shock'!$B$17),$D$41*H$6/2*(1-'1 - Titoli e shock'!$B$8),0)</f>
        <v>0</v>
      </c>
      <c r="I438" s="20">
        <f>IF(AND($B$41&lt;='1 - Titoli e shock'!$B$17,$C438&lt;='1 - Titoli e shock'!$B$17),$D$41*I$6/2*(1-'1 - Titoli e shock'!$B$8),0)</f>
        <v>0</v>
      </c>
      <c r="J438" s="20">
        <f>IF(AND($B$41&lt;='1 - Titoli e shock'!$B$17,$C438&lt;='1 - Titoli e shock'!$B$17),$D$41*J$6/2*(1-'1 - Titoli e shock'!$B$8),0)</f>
        <v>0</v>
      </c>
      <c r="K438" s="20">
        <f>IF(AND($B$41&lt;='1 - Titoli e shock'!$B$17,$C438&lt;='1 - Titoli e shock'!$B$17),$D$41*K$6/2*(1-'1 - Titoli e shock'!$B$8),0)</f>
        <v>0</v>
      </c>
      <c r="L438" s="20">
        <f>IF(AND($B$41&lt;='1 - Titoli e shock'!$B$17,$C438&lt;='1 - Titoli e shock'!$B$17),$D$41*L$6/2*(1-'1 - Titoli e shock'!$B$8),0)</f>
        <v>0</v>
      </c>
      <c r="M438" s="20">
        <f>IF(AND($B$41&lt;='1 - Titoli e shock'!$B$17,$C438&lt;='1 - Titoli e shock'!$B$17),$D$41*M$6/2*(1-'1 - Titoli e shock'!$B$8),0)</f>
        <v>0</v>
      </c>
      <c r="N438" s="20">
        <f>IF(AND($B$41&lt;='1 - Titoli e shock'!$B$17,$C438&lt;='1 - Titoli e shock'!$B$17),$D$41*N$6/2*(1-'1 - Titoli e shock'!$B$8),0)</f>
        <v>0</v>
      </c>
      <c r="O438" s="20">
        <f>IF(AND($B$41&lt;='1 - Titoli e shock'!$B$17,$C438&lt;='1 - Titoli e shock'!$B$17),$D$41*O$6/2*(1-'1 - Titoli e shock'!$B$8),0)</f>
        <v>0</v>
      </c>
      <c r="P438" s="20">
        <f>IF(AND($B$41&lt;='1 - Titoli e shock'!$B$17,$C438&lt;='1 - Titoli e shock'!$B$17),$D$41*P$6/2*(1-'1 - Titoli e shock'!$B$8),0)</f>
        <v>0</v>
      </c>
      <c r="Q438" s="20">
        <f>IF(AND($B$41&lt;='1 - Titoli e shock'!$B$17,$C438&lt;='1 - Titoli e shock'!$B$17),$D$41*Q$6/2*(1-'1 - Titoli e shock'!$B$8),0)</f>
        <v>0</v>
      </c>
      <c r="R438" s="20">
        <f>IF(AND($B$41&lt;='1 - Titoli e shock'!$B$17,$C438&lt;='1 - Titoli e shock'!$B$17),$D$41*R$6/2*(1-'1 - Titoli e shock'!$B$8),0)</f>
        <v>0</v>
      </c>
      <c r="S438" s="20">
        <f>IF(AND($B$41&lt;='1 - Titoli e shock'!$B$17,$C438&lt;='1 - Titoli e shock'!$B$17),$D$41*S$6/2*(1-'1 - Titoli e shock'!$B$8),0)</f>
        <v>0</v>
      </c>
      <c r="T438" s="20">
        <f>IF(AND($B$41&lt;='1 - Titoli e shock'!$B$17,$C438&lt;='1 - Titoli e shock'!$B$17),$D$41*T$6/2*(1-'1 - Titoli e shock'!$B$8),0)</f>
        <v>0</v>
      </c>
      <c r="U438" s="20">
        <f>IF(AND($B$41&lt;='1 - Titoli e shock'!$B$17,$C438&lt;='1 - Titoli e shock'!$B$17),$D$41*U$6/2*(1-'1 - Titoli e shock'!$B$8),0)</f>
        <v>0</v>
      </c>
    </row>
    <row r="439" spans="1:21">
      <c r="A439" s="15" t="s">
        <v>267</v>
      </c>
      <c r="B439" s="22" t="str">
        <f>A41</f>
        <v>BTP 3,85% feb 2035</v>
      </c>
      <c r="C439" s="13">
        <f>EDATE($B$41,6*7)</f>
        <v>50618</v>
      </c>
      <c r="D439" s="23">
        <f>MAX(1,(YEAR(C439)-YEAR('1 - Titoli e shock'!$B$6))+IF(MONTH(C439)*100+DAY(C439)&gt;MONTH('1 - Titoli e shock'!$B$6)*100+DAY('1 - Titoli e shock'!$B$6),1,0))</f>
        <v>12</v>
      </c>
      <c r="F439" s="20">
        <f>IF(AND($B$41&lt;='1 - Titoli e shock'!$B$17,$C439&lt;='1 - Titoli e shock'!$B$17),$D$41*F$6/2*(1-'1 - Titoli e shock'!$B$8),0)</f>
        <v>0</v>
      </c>
      <c r="G439" s="20">
        <f>IF(AND($B$41&lt;='1 - Titoli e shock'!$B$17,$C439&lt;='1 - Titoli e shock'!$B$17),$D$41*G$6/2*(1-'1 - Titoli e shock'!$B$8),0)</f>
        <v>0</v>
      </c>
      <c r="H439" s="20">
        <f>IF(AND($B$41&lt;='1 - Titoli e shock'!$B$17,$C439&lt;='1 - Titoli e shock'!$B$17),$D$41*H$6/2*(1-'1 - Titoli e shock'!$B$8),0)</f>
        <v>0</v>
      </c>
      <c r="I439" s="20">
        <f>IF(AND($B$41&lt;='1 - Titoli e shock'!$B$17,$C439&lt;='1 - Titoli e shock'!$B$17),$D$41*I$6/2*(1-'1 - Titoli e shock'!$B$8),0)</f>
        <v>0</v>
      </c>
      <c r="J439" s="20">
        <f>IF(AND($B$41&lt;='1 - Titoli e shock'!$B$17,$C439&lt;='1 - Titoli e shock'!$B$17),$D$41*J$6/2*(1-'1 - Titoli e shock'!$B$8),0)</f>
        <v>0</v>
      </c>
      <c r="K439" s="20">
        <f>IF(AND($B$41&lt;='1 - Titoli e shock'!$B$17,$C439&lt;='1 - Titoli e shock'!$B$17),$D$41*K$6/2*(1-'1 - Titoli e shock'!$B$8),0)</f>
        <v>0</v>
      </c>
      <c r="L439" s="20">
        <f>IF(AND($B$41&lt;='1 - Titoli e shock'!$B$17,$C439&lt;='1 - Titoli e shock'!$B$17),$D$41*L$6/2*(1-'1 - Titoli e shock'!$B$8),0)</f>
        <v>0</v>
      </c>
      <c r="M439" s="20">
        <f>IF(AND($B$41&lt;='1 - Titoli e shock'!$B$17,$C439&lt;='1 - Titoli e shock'!$B$17),$D$41*M$6/2*(1-'1 - Titoli e shock'!$B$8),0)</f>
        <v>0</v>
      </c>
      <c r="N439" s="20">
        <f>IF(AND($B$41&lt;='1 - Titoli e shock'!$B$17,$C439&lt;='1 - Titoli e shock'!$B$17),$D$41*N$6/2*(1-'1 - Titoli e shock'!$B$8),0)</f>
        <v>0</v>
      </c>
      <c r="O439" s="20">
        <f>IF(AND($B$41&lt;='1 - Titoli e shock'!$B$17,$C439&lt;='1 - Titoli e shock'!$B$17),$D$41*O$6/2*(1-'1 - Titoli e shock'!$B$8),0)</f>
        <v>0</v>
      </c>
      <c r="P439" s="20">
        <f>IF(AND($B$41&lt;='1 - Titoli e shock'!$B$17,$C439&lt;='1 - Titoli e shock'!$B$17),$D$41*P$6/2*(1-'1 - Titoli e shock'!$B$8),0)</f>
        <v>0</v>
      </c>
      <c r="Q439" s="20">
        <f>IF(AND($B$41&lt;='1 - Titoli e shock'!$B$17,$C439&lt;='1 - Titoli e shock'!$B$17),$D$41*Q$6/2*(1-'1 - Titoli e shock'!$B$8),0)</f>
        <v>0</v>
      </c>
      <c r="R439" s="20">
        <f>IF(AND($B$41&lt;='1 - Titoli e shock'!$B$17,$C439&lt;='1 - Titoli e shock'!$B$17),$D$41*R$6/2*(1-'1 - Titoli e shock'!$B$8),0)</f>
        <v>0</v>
      </c>
      <c r="S439" s="20">
        <f>IF(AND($B$41&lt;='1 - Titoli e shock'!$B$17,$C439&lt;='1 - Titoli e shock'!$B$17),$D$41*S$6/2*(1-'1 - Titoli e shock'!$B$8),0)</f>
        <v>0</v>
      </c>
      <c r="T439" s="20">
        <f>IF(AND($B$41&lt;='1 - Titoli e shock'!$B$17,$C439&lt;='1 - Titoli e shock'!$B$17),$D$41*T$6/2*(1-'1 - Titoli e shock'!$B$8),0)</f>
        <v>0</v>
      </c>
      <c r="U439" s="20">
        <f>IF(AND($B$41&lt;='1 - Titoli e shock'!$B$17,$C439&lt;='1 - Titoli e shock'!$B$17),$D$41*U$6/2*(1-'1 - Titoli e shock'!$B$8),0)</f>
        <v>0</v>
      </c>
    </row>
    <row r="440" spans="1:21">
      <c r="A440" s="15" t="s">
        <v>267</v>
      </c>
      <c r="B440" s="22" t="str">
        <f>A41</f>
        <v>BTP 3,85% feb 2035</v>
      </c>
      <c r="C440" s="13">
        <f>EDATE($B$41,6*8)</f>
        <v>50802</v>
      </c>
      <c r="D440" s="23">
        <f>MAX(1,(YEAR(C440)-YEAR('1 - Titoli e shock'!$B$6))+IF(MONTH(C440)*100+DAY(C440)&gt;MONTH('1 - Titoli e shock'!$B$6)*100+DAY('1 - Titoli e shock'!$B$6),1,0))</f>
        <v>13</v>
      </c>
      <c r="F440" s="20">
        <f>IF(AND($B$41&lt;='1 - Titoli e shock'!$B$17,$C440&lt;='1 - Titoli e shock'!$B$17),$D$41*F$6/2*(1-'1 - Titoli e shock'!$B$8),0)</f>
        <v>0</v>
      </c>
      <c r="G440" s="20">
        <f>IF(AND($B$41&lt;='1 - Titoli e shock'!$B$17,$C440&lt;='1 - Titoli e shock'!$B$17),$D$41*G$6/2*(1-'1 - Titoli e shock'!$B$8),0)</f>
        <v>0</v>
      </c>
      <c r="H440" s="20">
        <f>IF(AND($B$41&lt;='1 - Titoli e shock'!$B$17,$C440&lt;='1 - Titoli e shock'!$B$17),$D$41*H$6/2*(1-'1 - Titoli e shock'!$B$8),0)</f>
        <v>0</v>
      </c>
      <c r="I440" s="20">
        <f>IF(AND($B$41&lt;='1 - Titoli e shock'!$B$17,$C440&lt;='1 - Titoli e shock'!$B$17),$D$41*I$6/2*(1-'1 - Titoli e shock'!$B$8),0)</f>
        <v>0</v>
      </c>
      <c r="J440" s="20">
        <f>IF(AND($B$41&lt;='1 - Titoli e shock'!$B$17,$C440&lt;='1 - Titoli e shock'!$B$17),$D$41*J$6/2*(1-'1 - Titoli e shock'!$B$8),0)</f>
        <v>0</v>
      </c>
      <c r="K440" s="20">
        <f>IF(AND($B$41&lt;='1 - Titoli e shock'!$B$17,$C440&lt;='1 - Titoli e shock'!$B$17),$D$41*K$6/2*(1-'1 - Titoli e shock'!$B$8),0)</f>
        <v>0</v>
      </c>
      <c r="L440" s="20">
        <f>IF(AND($B$41&lt;='1 - Titoli e shock'!$B$17,$C440&lt;='1 - Titoli e shock'!$B$17),$D$41*L$6/2*(1-'1 - Titoli e shock'!$B$8),0)</f>
        <v>0</v>
      </c>
      <c r="M440" s="20">
        <f>IF(AND($B$41&lt;='1 - Titoli e shock'!$B$17,$C440&lt;='1 - Titoli e shock'!$B$17),$D$41*M$6/2*(1-'1 - Titoli e shock'!$B$8),0)</f>
        <v>0</v>
      </c>
      <c r="N440" s="20">
        <f>IF(AND($B$41&lt;='1 - Titoli e shock'!$B$17,$C440&lt;='1 - Titoli e shock'!$B$17),$D$41*N$6/2*(1-'1 - Titoli e shock'!$B$8),0)</f>
        <v>0</v>
      </c>
      <c r="O440" s="20">
        <f>IF(AND($B$41&lt;='1 - Titoli e shock'!$B$17,$C440&lt;='1 - Titoli e shock'!$B$17),$D$41*O$6/2*(1-'1 - Titoli e shock'!$B$8),0)</f>
        <v>0</v>
      </c>
      <c r="P440" s="20">
        <f>IF(AND($B$41&lt;='1 - Titoli e shock'!$B$17,$C440&lt;='1 - Titoli e shock'!$B$17),$D$41*P$6/2*(1-'1 - Titoli e shock'!$B$8),0)</f>
        <v>0</v>
      </c>
      <c r="Q440" s="20">
        <f>IF(AND($B$41&lt;='1 - Titoli e shock'!$B$17,$C440&lt;='1 - Titoli e shock'!$B$17),$D$41*Q$6/2*(1-'1 - Titoli e shock'!$B$8),0)</f>
        <v>0</v>
      </c>
      <c r="R440" s="20">
        <f>IF(AND($B$41&lt;='1 - Titoli e shock'!$B$17,$C440&lt;='1 - Titoli e shock'!$B$17),$D$41*R$6/2*(1-'1 - Titoli e shock'!$B$8),0)</f>
        <v>0</v>
      </c>
      <c r="S440" s="20">
        <f>IF(AND($B$41&lt;='1 - Titoli e shock'!$B$17,$C440&lt;='1 - Titoli e shock'!$B$17),$D$41*S$6/2*(1-'1 - Titoli e shock'!$B$8),0)</f>
        <v>0</v>
      </c>
      <c r="T440" s="20">
        <f>IF(AND($B$41&lt;='1 - Titoli e shock'!$B$17,$C440&lt;='1 - Titoli e shock'!$B$17),$D$41*T$6/2*(1-'1 - Titoli e shock'!$B$8),0)</f>
        <v>0</v>
      </c>
      <c r="U440" s="20">
        <f>IF(AND($B$41&lt;='1 - Titoli e shock'!$B$17,$C440&lt;='1 - Titoli e shock'!$B$17),$D$41*U$6/2*(1-'1 - Titoli e shock'!$B$8),0)</f>
        <v>0</v>
      </c>
    </row>
    <row r="441" spans="1:21">
      <c r="A441" s="15" t="s">
        <v>267</v>
      </c>
      <c r="B441" s="22" t="str">
        <f>A41</f>
        <v>BTP 3,85% feb 2035</v>
      </c>
      <c r="C441" s="13">
        <f>EDATE($B$41,6*9)</f>
        <v>50983</v>
      </c>
      <c r="D441" s="23">
        <f>MAX(1,(YEAR(C441)-YEAR('1 - Titoli e shock'!$B$6))+IF(MONTH(C441)*100+DAY(C441)&gt;MONTH('1 - Titoli e shock'!$B$6)*100+DAY('1 - Titoli e shock'!$B$6),1,0))</f>
        <v>13</v>
      </c>
      <c r="F441" s="20">
        <f>IF(AND($B$41&lt;='1 - Titoli e shock'!$B$17,$C441&lt;='1 - Titoli e shock'!$B$17),$D$41*F$6/2*(1-'1 - Titoli e shock'!$B$8),0)</f>
        <v>0</v>
      </c>
      <c r="G441" s="20">
        <f>IF(AND($B$41&lt;='1 - Titoli e shock'!$B$17,$C441&lt;='1 - Titoli e shock'!$B$17),$D$41*G$6/2*(1-'1 - Titoli e shock'!$B$8),0)</f>
        <v>0</v>
      </c>
      <c r="H441" s="20">
        <f>IF(AND($B$41&lt;='1 - Titoli e shock'!$B$17,$C441&lt;='1 - Titoli e shock'!$B$17),$D$41*H$6/2*(1-'1 - Titoli e shock'!$B$8),0)</f>
        <v>0</v>
      </c>
      <c r="I441" s="20">
        <f>IF(AND($B$41&lt;='1 - Titoli e shock'!$B$17,$C441&lt;='1 - Titoli e shock'!$B$17),$D$41*I$6/2*(1-'1 - Titoli e shock'!$B$8),0)</f>
        <v>0</v>
      </c>
      <c r="J441" s="20">
        <f>IF(AND($B$41&lt;='1 - Titoli e shock'!$B$17,$C441&lt;='1 - Titoli e shock'!$B$17),$D$41*J$6/2*(1-'1 - Titoli e shock'!$B$8),0)</f>
        <v>0</v>
      </c>
      <c r="K441" s="20">
        <f>IF(AND($B$41&lt;='1 - Titoli e shock'!$B$17,$C441&lt;='1 - Titoli e shock'!$B$17),$D$41*K$6/2*(1-'1 - Titoli e shock'!$B$8),0)</f>
        <v>0</v>
      </c>
      <c r="L441" s="20">
        <f>IF(AND($B$41&lt;='1 - Titoli e shock'!$B$17,$C441&lt;='1 - Titoli e shock'!$B$17),$D$41*L$6/2*(1-'1 - Titoli e shock'!$B$8),0)</f>
        <v>0</v>
      </c>
      <c r="M441" s="20">
        <f>IF(AND($B$41&lt;='1 - Titoli e shock'!$B$17,$C441&lt;='1 - Titoli e shock'!$B$17),$D$41*M$6/2*(1-'1 - Titoli e shock'!$B$8),0)</f>
        <v>0</v>
      </c>
      <c r="N441" s="20">
        <f>IF(AND($B$41&lt;='1 - Titoli e shock'!$B$17,$C441&lt;='1 - Titoli e shock'!$B$17),$D$41*N$6/2*(1-'1 - Titoli e shock'!$B$8),0)</f>
        <v>0</v>
      </c>
      <c r="O441" s="20">
        <f>IF(AND($B$41&lt;='1 - Titoli e shock'!$B$17,$C441&lt;='1 - Titoli e shock'!$B$17),$D$41*O$6/2*(1-'1 - Titoli e shock'!$B$8),0)</f>
        <v>0</v>
      </c>
      <c r="P441" s="20">
        <f>IF(AND($B$41&lt;='1 - Titoli e shock'!$B$17,$C441&lt;='1 - Titoli e shock'!$B$17),$D$41*P$6/2*(1-'1 - Titoli e shock'!$B$8),0)</f>
        <v>0</v>
      </c>
      <c r="Q441" s="20">
        <f>IF(AND($B$41&lt;='1 - Titoli e shock'!$B$17,$C441&lt;='1 - Titoli e shock'!$B$17),$D$41*Q$6/2*(1-'1 - Titoli e shock'!$B$8),0)</f>
        <v>0</v>
      </c>
      <c r="R441" s="20">
        <f>IF(AND($B$41&lt;='1 - Titoli e shock'!$B$17,$C441&lt;='1 - Titoli e shock'!$B$17),$D$41*R$6/2*(1-'1 - Titoli e shock'!$B$8),0)</f>
        <v>0</v>
      </c>
      <c r="S441" s="20">
        <f>IF(AND($B$41&lt;='1 - Titoli e shock'!$B$17,$C441&lt;='1 - Titoli e shock'!$B$17),$D$41*S$6/2*(1-'1 - Titoli e shock'!$B$8),0)</f>
        <v>0</v>
      </c>
      <c r="T441" s="20">
        <f>IF(AND($B$41&lt;='1 - Titoli e shock'!$B$17,$C441&lt;='1 - Titoli e shock'!$B$17),$D$41*T$6/2*(1-'1 - Titoli e shock'!$B$8),0)</f>
        <v>0</v>
      </c>
      <c r="U441" s="20">
        <f>IF(AND($B$41&lt;='1 - Titoli e shock'!$B$17,$C441&lt;='1 - Titoli e shock'!$B$17),$D$41*U$6/2*(1-'1 - Titoli e shock'!$B$8),0)</f>
        <v>0</v>
      </c>
    </row>
    <row r="442" spans="1:21">
      <c r="A442" s="15" t="s">
        <v>267</v>
      </c>
      <c r="B442" s="22" t="str">
        <f>A41</f>
        <v>BTP 3,85% feb 2035</v>
      </c>
      <c r="C442" s="13">
        <f>EDATE($B$41,6*10)</f>
        <v>51167</v>
      </c>
      <c r="D442" s="23">
        <f>MAX(1,(YEAR(C442)-YEAR('1 - Titoli e shock'!$B$6))+IF(MONTH(C442)*100+DAY(C442)&gt;MONTH('1 - Titoli e shock'!$B$6)*100+DAY('1 - Titoli e shock'!$B$6),1,0))</f>
        <v>14</v>
      </c>
      <c r="F442" s="20">
        <f>IF(AND($B$41&lt;='1 - Titoli e shock'!$B$17,$C442&lt;='1 - Titoli e shock'!$B$17),$D$41*F$6/2*(1-'1 - Titoli e shock'!$B$8),0)</f>
        <v>0</v>
      </c>
      <c r="G442" s="20">
        <f>IF(AND($B$41&lt;='1 - Titoli e shock'!$B$17,$C442&lt;='1 - Titoli e shock'!$B$17),$D$41*G$6/2*(1-'1 - Titoli e shock'!$B$8),0)</f>
        <v>0</v>
      </c>
      <c r="H442" s="20">
        <f>IF(AND($B$41&lt;='1 - Titoli e shock'!$B$17,$C442&lt;='1 - Titoli e shock'!$B$17),$D$41*H$6/2*(1-'1 - Titoli e shock'!$B$8),0)</f>
        <v>0</v>
      </c>
      <c r="I442" s="20">
        <f>IF(AND($B$41&lt;='1 - Titoli e shock'!$B$17,$C442&lt;='1 - Titoli e shock'!$B$17),$D$41*I$6/2*(1-'1 - Titoli e shock'!$B$8),0)</f>
        <v>0</v>
      </c>
      <c r="J442" s="20">
        <f>IF(AND($B$41&lt;='1 - Titoli e shock'!$B$17,$C442&lt;='1 - Titoli e shock'!$B$17),$D$41*J$6/2*(1-'1 - Titoli e shock'!$B$8),0)</f>
        <v>0</v>
      </c>
      <c r="K442" s="20">
        <f>IF(AND($B$41&lt;='1 - Titoli e shock'!$B$17,$C442&lt;='1 - Titoli e shock'!$B$17),$D$41*K$6/2*(1-'1 - Titoli e shock'!$B$8),0)</f>
        <v>0</v>
      </c>
      <c r="L442" s="20">
        <f>IF(AND($B$41&lt;='1 - Titoli e shock'!$B$17,$C442&lt;='1 - Titoli e shock'!$B$17),$D$41*L$6/2*(1-'1 - Titoli e shock'!$B$8),0)</f>
        <v>0</v>
      </c>
      <c r="M442" s="20">
        <f>IF(AND($B$41&lt;='1 - Titoli e shock'!$B$17,$C442&lt;='1 - Titoli e shock'!$B$17),$D$41*M$6/2*(1-'1 - Titoli e shock'!$B$8),0)</f>
        <v>0</v>
      </c>
      <c r="N442" s="20">
        <f>IF(AND($B$41&lt;='1 - Titoli e shock'!$B$17,$C442&lt;='1 - Titoli e shock'!$B$17),$D$41*N$6/2*(1-'1 - Titoli e shock'!$B$8),0)</f>
        <v>0</v>
      </c>
      <c r="O442" s="20">
        <f>IF(AND($B$41&lt;='1 - Titoli e shock'!$B$17,$C442&lt;='1 - Titoli e shock'!$B$17),$D$41*O$6/2*(1-'1 - Titoli e shock'!$B$8),0)</f>
        <v>0</v>
      </c>
      <c r="P442" s="20">
        <f>IF(AND($B$41&lt;='1 - Titoli e shock'!$B$17,$C442&lt;='1 - Titoli e shock'!$B$17),$D$41*P$6/2*(1-'1 - Titoli e shock'!$B$8),0)</f>
        <v>0</v>
      </c>
      <c r="Q442" s="20">
        <f>IF(AND($B$41&lt;='1 - Titoli e shock'!$B$17,$C442&lt;='1 - Titoli e shock'!$B$17),$D$41*Q$6/2*(1-'1 - Titoli e shock'!$B$8),0)</f>
        <v>0</v>
      </c>
      <c r="R442" s="20">
        <f>IF(AND($B$41&lt;='1 - Titoli e shock'!$B$17,$C442&lt;='1 - Titoli e shock'!$B$17),$D$41*R$6/2*(1-'1 - Titoli e shock'!$B$8),0)</f>
        <v>0</v>
      </c>
      <c r="S442" s="20">
        <f>IF(AND($B$41&lt;='1 - Titoli e shock'!$B$17,$C442&lt;='1 - Titoli e shock'!$B$17),$D$41*S$6/2*(1-'1 - Titoli e shock'!$B$8),0)</f>
        <v>0</v>
      </c>
      <c r="T442" s="20">
        <f>IF(AND($B$41&lt;='1 - Titoli e shock'!$B$17,$C442&lt;='1 - Titoli e shock'!$B$17),$D$41*T$6/2*(1-'1 - Titoli e shock'!$B$8),0)</f>
        <v>0</v>
      </c>
      <c r="U442" s="20">
        <f>IF(AND($B$41&lt;='1 - Titoli e shock'!$B$17,$C442&lt;='1 - Titoli e shock'!$B$17),$D$41*U$6/2*(1-'1 - Titoli e shock'!$B$8),0)</f>
        <v>0</v>
      </c>
    </row>
    <row r="443" spans="1:21">
      <c r="A443" s="15" t="s">
        <v>267</v>
      </c>
      <c r="B443" s="22" t="str">
        <f>A41</f>
        <v>BTP 3,85% feb 2035</v>
      </c>
      <c r="C443" s="13">
        <f>EDATE($B$41,6*11)</f>
        <v>51349</v>
      </c>
      <c r="D443" s="23">
        <f>MAX(1,(YEAR(C443)-YEAR('1 - Titoli e shock'!$B$6))+IF(MONTH(C443)*100+DAY(C443)&gt;MONTH('1 - Titoli e shock'!$B$6)*100+DAY('1 - Titoli e shock'!$B$6),1,0))</f>
        <v>14</v>
      </c>
      <c r="F443" s="20">
        <f>IF(AND($B$41&lt;='1 - Titoli e shock'!$B$17,$C443&lt;='1 - Titoli e shock'!$B$17),$D$41*F$6/2*(1-'1 - Titoli e shock'!$B$8),0)</f>
        <v>0</v>
      </c>
      <c r="G443" s="20">
        <f>IF(AND($B$41&lt;='1 - Titoli e shock'!$B$17,$C443&lt;='1 - Titoli e shock'!$B$17),$D$41*G$6/2*(1-'1 - Titoli e shock'!$B$8),0)</f>
        <v>0</v>
      </c>
      <c r="H443" s="20">
        <f>IF(AND($B$41&lt;='1 - Titoli e shock'!$B$17,$C443&lt;='1 - Titoli e shock'!$B$17),$D$41*H$6/2*(1-'1 - Titoli e shock'!$B$8),0)</f>
        <v>0</v>
      </c>
      <c r="I443" s="20">
        <f>IF(AND($B$41&lt;='1 - Titoli e shock'!$B$17,$C443&lt;='1 - Titoli e shock'!$B$17),$D$41*I$6/2*(1-'1 - Titoli e shock'!$B$8),0)</f>
        <v>0</v>
      </c>
      <c r="J443" s="20">
        <f>IF(AND($B$41&lt;='1 - Titoli e shock'!$B$17,$C443&lt;='1 - Titoli e shock'!$B$17),$D$41*J$6/2*(1-'1 - Titoli e shock'!$B$8),0)</f>
        <v>0</v>
      </c>
      <c r="K443" s="20">
        <f>IF(AND($B$41&lt;='1 - Titoli e shock'!$B$17,$C443&lt;='1 - Titoli e shock'!$B$17),$D$41*K$6/2*(1-'1 - Titoli e shock'!$B$8),0)</f>
        <v>0</v>
      </c>
      <c r="L443" s="20">
        <f>IF(AND($B$41&lt;='1 - Titoli e shock'!$B$17,$C443&lt;='1 - Titoli e shock'!$B$17),$D$41*L$6/2*(1-'1 - Titoli e shock'!$B$8),0)</f>
        <v>0</v>
      </c>
      <c r="M443" s="20">
        <f>IF(AND($B$41&lt;='1 - Titoli e shock'!$B$17,$C443&lt;='1 - Titoli e shock'!$B$17),$D$41*M$6/2*(1-'1 - Titoli e shock'!$B$8),0)</f>
        <v>0</v>
      </c>
      <c r="N443" s="20">
        <f>IF(AND($B$41&lt;='1 - Titoli e shock'!$B$17,$C443&lt;='1 - Titoli e shock'!$B$17),$D$41*N$6/2*(1-'1 - Titoli e shock'!$B$8),0)</f>
        <v>0</v>
      </c>
      <c r="O443" s="20">
        <f>IF(AND($B$41&lt;='1 - Titoli e shock'!$B$17,$C443&lt;='1 - Titoli e shock'!$B$17),$D$41*O$6/2*(1-'1 - Titoli e shock'!$B$8),0)</f>
        <v>0</v>
      </c>
      <c r="P443" s="20">
        <f>IF(AND($B$41&lt;='1 - Titoli e shock'!$B$17,$C443&lt;='1 - Titoli e shock'!$B$17),$D$41*P$6/2*(1-'1 - Titoli e shock'!$B$8),0)</f>
        <v>0</v>
      </c>
      <c r="Q443" s="20">
        <f>IF(AND($B$41&lt;='1 - Titoli e shock'!$B$17,$C443&lt;='1 - Titoli e shock'!$B$17),$D$41*Q$6/2*(1-'1 - Titoli e shock'!$B$8),0)</f>
        <v>0</v>
      </c>
      <c r="R443" s="20">
        <f>IF(AND($B$41&lt;='1 - Titoli e shock'!$B$17,$C443&lt;='1 - Titoli e shock'!$B$17),$D$41*R$6/2*(1-'1 - Titoli e shock'!$B$8),0)</f>
        <v>0</v>
      </c>
      <c r="S443" s="20">
        <f>IF(AND($B$41&lt;='1 - Titoli e shock'!$B$17,$C443&lt;='1 - Titoli e shock'!$B$17),$D$41*S$6/2*(1-'1 - Titoli e shock'!$B$8),0)</f>
        <v>0</v>
      </c>
      <c r="T443" s="20">
        <f>IF(AND($B$41&lt;='1 - Titoli e shock'!$B$17,$C443&lt;='1 - Titoli e shock'!$B$17),$D$41*T$6/2*(1-'1 - Titoli e shock'!$B$8),0)</f>
        <v>0</v>
      </c>
      <c r="U443" s="20">
        <f>IF(AND($B$41&lt;='1 - Titoli e shock'!$B$17,$C443&lt;='1 - Titoli e shock'!$B$17),$D$41*U$6/2*(1-'1 - Titoli e shock'!$B$8),0)</f>
        <v>0</v>
      </c>
    </row>
    <row r="444" spans="1:21">
      <c r="A444" s="15" t="s">
        <v>267</v>
      </c>
      <c r="B444" s="22" t="str">
        <f>A41</f>
        <v>BTP 3,85% feb 2035</v>
      </c>
      <c r="C444" s="13">
        <f>EDATE($B$41,6*12)</f>
        <v>51533</v>
      </c>
      <c r="D444" s="23">
        <f>MAX(1,(YEAR(C444)-YEAR('1 - Titoli e shock'!$B$6))+IF(MONTH(C444)*100+DAY(C444)&gt;MONTH('1 - Titoli e shock'!$B$6)*100+DAY('1 - Titoli e shock'!$B$6),1,0))</f>
        <v>15</v>
      </c>
      <c r="F444" s="20">
        <f>IF(AND($B$41&lt;='1 - Titoli e shock'!$B$17,$C444&lt;='1 - Titoli e shock'!$B$17),$D$41*F$6/2*(1-'1 - Titoli e shock'!$B$8),0)</f>
        <v>0</v>
      </c>
      <c r="G444" s="20">
        <f>IF(AND($B$41&lt;='1 - Titoli e shock'!$B$17,$C444&lt;='1 - Titoli e shock'!$B$17),$D$41*G$6/2*(1-'1 - Titoli e shock'!$B$8),0)</f>
        <v>0</v>
      </c>
      <c r="H444" s="20">
        <f>IF(AND($B$41&lt;='1 - Titoli e shock'!$B$17,$C444&lt;='1 - Titoli e shock'!$B$17),$D$41*H$6/2*(1-'1 - Titoli e shock'!$B$8),0)</f>
        <v>0</v>
      </c>
      <c r="I444" s="20">
        <f>IF(AND($B$41&lt;='1 - Titoli e shock'!$B$17,$C444&lt;='1 - Titoli e shock'!$B$17),$D$41*I$6/2*(1-'1 - Titoli e shock'!$B$8),0)</f>
        <v>0</v>
      </c>
      <c r="J444" s="20">
        <f>IF(AND($B$41&lt;='1 - Titoli e shock'!$B$17,$C444&lt;='1 - Titoli e shock'!$B$17),$D$41*J$6/2*(1-'1 - Titoli e shock'!$B$8),0)</f>
        <v>0</v>
      </c>
      <c r="K444" s="20">
        <f>IF(AND($B$41&lt;='1 - Titoli e shock'!$B$17,$C444&lt;='1 - Titoli e shock'!$B$17),$D$41*K$6/2*(1-'1 - Titoli e shock'!$B$8),0)</f>
        <v>0</v>
      </c>
      <c r="L444" s="20">
        <f>IF(AND($B$41&lt;='1 - Titoli e shock'!$B$17,$C444&lt;='1 - Titoli e shock'!$B$17),$D$41*L$6/2*(1-'1 - Titoli e shock'!$B$8),0)</f>
        <v>0</v>
      </c>
      <c r="M444" s="20">
        <f>IF(AND($B$41&lt;='1 - Titoli e shock'!$B$17,$C444&lt;='1 - Titoli e shock'!$B$17),$D$41*M$6/2*(1-'1 - Titoli e shock'!$B$8),0)</f>
        <v>0</v>
      </c>
      <c r="N444" s="20">
        <f>IF(AND($B$41&lt;='1 - Titoli e shock'!$B$17,$C444&lt;='1 - Titoli e shock'!$B$17),$D$41*N$6/2*(1-'1 - Titoli e shock'!$B$8),0)</f>
        <v>0</v>
      </c>
      <c r="O444" s="20">
        <f>IF(AND($B$41&lt;='1 - Titoli e shock'!$B$17,$C444&lt;='1 - Titoli e shock'!$B$17),$D$41*O$6/2*(1-'1 - Titoli e shock'!$B$8),0)</f>
        <v>0</v>
      </c>
      <c r="P444" s="20">
        <f>IF(AND($B$41&lt;='1 - Titoli e shock'!$B$17,$C444&lt;='1 - Titoli e shock'!$B$17),$D$41*P$6/2*(1-'1 - Titoli e shock'!$B$8),0)</f>
        <v>0</v>
      </c>
      <c r="Q444" s="20">
        <f>IF(AND($B$41&lt;='1 - Titoli e shock'!$B$17,$C444&lt;='1 - Titoli e shock'!$B$17),$D$41*Q$6/2*(1-'1 - Titoli e shock'!$B$8),0)</f>
        <v>0</v>
      </c>
      <c r="R444" s="20">
        <f>IF(AND($B$41&lt;='1 - Titoli e shock'!$B$17,$C444&lt;='1 - Titoli e shock'!$B$17),$D$41*R$6/2*(1-'1 - Titoli e shock'!$B$8),0)</f>
        <v>0</v>
      </c>
      <c r="S444" s="20">
        <f>IF(AND($B$41&lt;='1 - Titoli e shock'!$B$17,$C444&lt;='1 - Titoli e shock'!$B$17),$D$41*S$6/2*(1-'1 - Titoli e shock'!$B$8),0)</f>
        <v>0</v>
      </c>
      <c r="T444" s="20">
        <f>IF(AND($B$41&lt;='1 - Titoli e shock'!$B$17,$C444&lt;='1 - Titoli e shock'!$B$17),$D$41*T$6/2*(1-'1 - Titoli e shock'!$B$8),0)</f>
        <v>0</v>
      </c>
      <c r="U444" s="20">
        <f>IF(AND($B$41&lt;='1 - Titoli e shock'!$B$17,$C444&lt;='1 - Titoli e shock'!$B$17),$D$41*U$6/2*(1-'1 - Titoli e shock'!$B$8),0)</f>
        <v>0</v>
      </c>
    </row>
    <row r="445" spans="1:21">
      <c r="A445" s="15" t="s">
        <v>267</v>
      </c>
      <c r="B445" s="22" t="str">
        <f>A41</f>
        <v>BTP 3,85% feb 2035</v>
      </c>
      <c r="C445" s="13">
        <f>EDATE($B$41,6*13)</f>
        <v>51714</v>
      </c>
      <c r="D445" s="23">
        <f>MAX(1,(YEAR(C445)-YEAR('1 - Titoli e shock'!$B$6))+IF(MONTH(C445)*100+DAY(C445)&gt;MONTH('1 - Titoli e shock'!$B$6)*100+DAY('1 - Titoli e shock'!$B$6),1,0))</f>
        <v>15</v>
      </c>
      <c r="F445" s="20">
        <f>IF(AND($B$41&lt;='1 - Titoli e shock'!$B$17,$C445&lt;='1 - Titoli e shock'!$B$17),$D$41*F$6/2*(1-'1 - Titoli e shock'!$B$8),0)</f>
        <v>0</v>
      </c>
      <c r="G445" s="20">
        <f>IF(AND($B$41&lt;='1 - Titoli e shock'!$B$17,$C445&lt;='1 - Titoli e shock'!$B$17),$D$41*G$6/2*(1-'1 - Titoli e shock'!$B$8),0)</f>
        <v>0</v>
      </c>
      <c r="H445" s="20">
        <f>IF(AND($B$41&lt;='1 - Titoli e shock'!$B$17,$C445&lt;='1 - Titoli e shock'!$B$17),$D$41*H$6/2*(1-'1 - Titoli e shock'!$B$8),0)</f>
        <v>0</v>
      </c>
      <c r="I445" s="20">
        <f>IF(AND($B$41&lt;='1 - Titoli e shock'!$B$17,$C445&lt;='1 - Titoli e shock'!$B$17),$D$41*I$6/2*(1-'1 - Titoli e shock'!$B$8),0)</f>
        <v>0</v>
      </c>
      <c r="J445" s="20">
        <f>IF(AND($B$41&lt;='1 - Titoli e shock'!$B$17,$C445&lt;='1 - Titoli e shock'!$B$17),$D$41*J$6/2*(1-'1 - Titoli e shock'!$B$8),0)</f>
        <v>0</v>
      </c>
      <c r="K445" s="20">
        <f>IF(AND($B$41&lt;='1 - Titoli e shock'!$B$17,$C445&lt;='1 - Titoli e shock'!$B$17),$D$41*K$6/2*(1-'1 - Titoli e shock'!$B$8),0)</f>
        <v>0</v>
      </c>
      <c r="L445" s="20">
        <f>IF(AND($B$41&lt;='1 - Titoli e shock'!$B$17,$C445&lt;='1 - Titoli e shock'!$B$17),$D$41*L$6/2*(1-'1 - Titoli e shock'!$B$8),0)</f>
        <v>0</v>
      </c>
      <c r="M445" s="20">
        <f>IF(AND($B$41&lt;='1 - Titoli e shock'!$B$17,$C445&lt;='1 - Titoli e shock'!$B$17),$D$41*M$6/2*(1-'1 - Titoli e shock'!$B$8),0)</f>
        <v>0</v>
      </c>
      <c r="N445" s="20">
        <f>IF(AND($B$41&lt;='1 - Titoli e shock'!$B$17,$C445&lt;='1 - Titoli e shock'!$B$17),$D$41*N$6/2*(1-'1 - Titoli e shock'!$B$8),0)</f>
        <v>0</v>
      </c>
      <c r="O445" s="20">
        <f>IF(AND($B$41&lt;='1 - Titoli e shock'!$B$17,$C445&lt;='1 - Titoli e shock'!$B$17),$D$41*O$6/2*(1-'1 - Titoli e shock'!$B$8),0)</f>
        <v>0</v>
      </c>
      <c r="P445" s="20">
        <f>IF(AND($B$41&lt;='1 - Titoli e shock'!$B$17,$C445&lt;='1 - Titoli e shock'!$B$17),$D$41*P$6/2*(1-'1 - Titoli e shock'!$B$8),0)</f>
        <v>0</v>
      </c>
      <c r="Q445" s="20">
        <f>IF(AND($B$41&lt;='1 - Titoli e shock'!$B$17,$C445&lt;='1 - Titoli e shock'!$B$17),$D$41*Q$6/2*(1-'1 - Titoli e shock'!$B$8),0)</f>
        <v>0</v>
      </c>
      <c r="R445" s="20">
        <f>IF(AND($B$41&lt;='1 - Titoli e shock'!$B$17,$C445&lt;='1 - Titoli e shock'!$B$17),$D$41*R$6/2*(1-'1 - Titoli e shock'!$B$8),0)</f>
        <v>0</v>
      </c>
      <c r="S445" s="20">
        <f>IF(AND($B$41&lt;='1 - Titoli e shock'!$B$17,$C445&lt;='1 - Titoli e shock'!$B$17),$D$41*S$6/2*(1-'1 - Titoli e shock'!$B$8),0)</f>
        <v>0</v>
      </c>
      <c r="T445" s="20">
        <f>IF(AND($B$41&lt;='1 - Titoli e shock'!$B$17,$C445&lt;='1 - Titoli e shock'!$B$17),$D$41*T$6/2*(1-'1 - Titoli e shock'!$B$8),0)</f>
        <v>0</v>
      </c>
      <c r="U445" s="20">
        <f>IF(AND($B$41&lt;='1 - Titoli e shock'!$B$17,$C445&lt;='1 - Titoli e shock'!$B$17),$D$41*U$6/2*(1-'1 - Titoli e shock'!$B$8),0)</f>
        <v>0</v>
      </c>
    </row>
    <row r="446" spans="1:21">
      <c r="A446" s="15" t="s">
        <v>267</v>
      </c>
      <c r="B446" s="22" t="str">
        <f>A41</f>
        <v>BTP 3,85% feb 2035</v>
      </c>
      <c r="C446" s="13">
        <f>EDATE($B$41,6*14)</f>
        <v>51898</v>
      </c>
      <c r="D446" s="23">
        <f>MAX(1,(YEAR(C446)-YEAR('1 - Titoli e shock'!$B$6))+IF(MONTH(C446)*100+DAY(C446)&gt;MONTH('1 - Titoli e shock'!$B$6)*100+DAY('1 - Titoli e shock'!$B$6),1,0))</f>
        <v>16</v>
      </c>
      <c r="F446" s="20">
        <f>IF(AND($B$41&lt;='1 - Titoli e shock'!$B$17,$C446&lt;='1 - Titoli e shock'!$B$17),$D$41*F$6/2*(1-'1 - Titoli e shock'!$B$8),0)</f>
        <v>0</v>
      </c>
      <c r="G446" s="20">
        <f>IF(AND($B$41&lt;='1 - Titoli e shock'!$B$17,$C446&lt;='1 - Titoli e shock'!$B$17),$D$41*G$6/2*(1-'1 - Titoli e shock'!$B$8),0)</f>
        <v>0</v>
      </c>
      <c r="H446" s="20">
        <f>IF(AND($B$41&lt;='1 - Titoli e shock'!$B$17,$C446&lt;='1 - Titoli e shock'!$B$17),$D$41*H$6/2*(1-'1 - Titoli e shock'!$B$8),0)</f>
        <v>0</v>
      </c>
      <c r="I446" s="20">
        <f>IF(AND($B$41&lt;='1 - Titoli e shock'!$B$17,$C446&lt;='1 - Titoli e shock'!$B$17),$D$41*I$6/2*(1-'1 - Titoli e shock'!$B$8),0)</f>
        <v>0</v>
      </c>
      <c r="J446" s="20">
        <f>IF(AND($B$41&lt;='1 - Titoli e shock'!$B$17,$C446&lt;='1 - Titoli e shock'!$B$17),$D$41*J$6/2*(1-'1 - Titoli e shock'!$B$8),0)</f>
        <v>0</v>
      </c>
      <c r="K446" s="20">
        <f>IF(AND($B$41&lt;='1 - Titoli e shock'!$B$17,$C446&lt;='1 - Titoli e shock'!$B$17),$D$41*K$6/2*(1-'1 - Titoli e shock'!$B$8),0)</f>
        <v>0</v>
      </c>
      <c r="L446" s="20">
        <f>IF(AND($B$41&lt;='1 - Titoli e shock'!$B$17,$C446&lt;='1 - Titoli e shock'!$B$17),$D$41*L$6/2*(1-'1 - Titoli e shock'!$B$8),0)</f>
        <v>0</v>
      </c>
      <c r="M446" s="20">
        <f>IF(AND($B$41&lt;='1 - Titoli e shock'!$B$17,$C446&lt;='1 - Titoli e shock'!$B$17),$D$41*M$6/2*(1-'1 - Titoli e shock'!$B$8),0)</f>
        <v>0</v>
      </c>
      <c r="N446" s="20">
        <f>IF(AND($B$41&lt;='1 - Titoli e shock'!$B$17,$C446&lt;='1 - Titoli e shock'!$B$17),$D$41*N$6/2*(1-'1 - Titoli e shock'!$B$8),0)</f>
        <v>0</v>
      </c>
      <c r="O446" s="20">
        <f>IF(AND($B$41&lt;='1 - Titoli e shock'!$B$17,$C446&lt;='1 - Titoli e shock'!$B$17),$D$41*O$6/2*(1-'1 - Titoli e shock'!$B$8),0)</f>
        <v>0</v>
      </c>
      <c r="P446" s="20">
        <f>IF(AND($B$41&lt;='1 - Titoli e shock'!$B$17,$C446&lt;='1 - Titoli e shock'!$B$17),$D$41*P$6/2*(1-'1 - Titoli e shock'!$B$8),0)</f>
        <v>0</v>
      </c>
      <c r="Q446" s="20">
        <f>IF(AND($B$41&lt;='1 - Titoli e shock'!$B$17,$C446&lt;='1 - Titoli e shock'!$B$17),$D$41*Q$6/2*(1-'1 - Titoli e shock'!$B$8),0)</f>
        <v>0</v>
      </c>
      <c r="R446" s="20">
        <f>IF(AND($B$41&lt;='1 - Titoli e shock'!$B$17,$C446&lt;='1 - Titoli e shock'!$B$17),$D$41*R$6/2*(1-'1 - Titoli e shock'!$B$8),0)</f>
        <v>0</v>
      </c>
      <c r="S446" s="20">
        <f>IF(AND($B$41&lt;='1 - Titoli e shock'!$B$17,$C446&lt;='1 - Titoli e shock'!$B$17),$D$41*S$6/2*(1-'1 - Titoli e shock'!$B$8),0)</f>
        <v>0</v>
      </c>
      <c r="T446" s="20">
        <f>IF(AND($B$41&lt;='1 - Titoli e shock'!$B$17,$C446&lt;='1 - Titoli e shock'!$B$17),$D$41*T$6/2*(1-'1 - Titoli e shock'!$B$8),0)</f>
        <v>0</v>
      </c>
      <c r="U446" s="20">
        <f>IF(AND($B$41&lt;='1 - Titoli e shock'!$B$17,$C446&lt;='1 - Titoli e shock'!$B$17),$D$41*U$6/2*(1-'1 - Titoli e shock'!$B$8),0)</f>
        <v>0</v>
      </c>
    </row>
    <row r="447" spans="1:21">
      <c r="A447" s="15" t="s">
        <v>267</v>
      </c>
      <c r="B447" s="22" t="str">
        <f>A41</f>
        <v>BTP 3,85% feb 2035</v>
      </c>
      <c r="C447" s="13">
        <f>EDATE($B$41,6*15)</f>
        <v>52079</v>
      </c>
      <c r="D447" s="23">
        <f>MAX(1,(YEAR(C447)-YEAR('1 - Titoli e shock'!$B$6))+IF(MONTH(C447)*100+DAY(C447)&gt;MONTH('1 - Titoli e shock'!$B$6)*100+DAY('1 - Titoli e shock'!$B$6),1,0))</f>
        <v>16</v>
      </c>
      <c r="F447" s="20">
        <f>IF(AND($B$41&lt;='1 - Titoli e shock'!$B$17,$C447&lt;='1 - Titoli e shock'!$B$17),$D$41*F$6/2*(1-'1 - Titoli e shock'!$B$8),0)</f>
        <v>0</v>
      </c>
      <c r="G447" s="20">
        <f>IF(AND($B$41&lt;='1 - Titoli e shock'!$B$17,$C447&lt;='1 - Titoli e shock'!$B$17),$D$41*G$6/2*(1-'1 - Titoli e shock'!$B$8),0)</f>
        <v>0</v>
      </c>
      <c r="H447" s="20">
        <f>IF(AND($B$41&lt;='1 - Titoli e shock'!$B$17,$C447&lt;='1 - Titoli e shock'!$B$17),$D$41*H$6/2*(1-'1 - Titoli e shock'!$B$8),0)</f>
        <v>0</v>
      </c>
      <c r="I447" s="20">
        <f>IF(AND($B$41&lt;='1 - Titoli e shock'!$B$17,$C447&lt;='1 - Titoli e shock'!$B$17),$D$41*I$6/2*(1-'1 - Titoli e shock'!$B$8),0)</f>
        <v>0</v>
      </c>
      <c r="J447" s="20">
        <f>IF(AND($B$41&lt;='1 - Titoli e shock'!$B$17,$C447&lt;='1 - Titoli e shock'!$B$17),$D$41*J$6/2*(1-'1 - Titoli e shock'!$B$8),0)</f>
        <v>0</v>
      </c>
      <c r="K447" s="20">
        <f>IF(AND($B$41&lt;='1 - Titoli e shock'!$B$17,$C447&lt;='1 - Titoli e shock'!$B$17),$D$41*K$6/2*(1-'1 - Titoli e shock'!$B$8),0)</f>
        <v>0</v>
      </c>
      <c r="L447" s="20">
        <f>IF(AND($B$41&lt;='1 - Titoli e shock'!$B$17,$C447&lt;='1 - Titoli e shock'!$B$17),$D$41*L$6/2*(1-'1 - Titoli e shock'!$B$8),0)</f>
        <v>0</v>
      </c>
      <c r="M447" s="20">
        <f>IF(AND($B$41&lt;='1 - Titoli e shock'!$B$17,$C447&lt;='1 - Titoli e shock'!$B$17),$D$41*M$6/2*(1-'1 - Titoli e shock'!$B$8),0)</f>
        <v>0</v>
      </c>
      <c r="N447" s="20">
        <f>IF(AND($B$41&lt;='1 - Titoli e shock'!$B$17,$C447&lt;='1 - Titoli e shock'!$B$17),$D$41*N$6/2*(1-'1 - Titoli e shock'!$B$8),0)</f>
        <v>0</v>
      </c>
      <c r="O447" s="20">
        <f>IF(AND($B$41&lt;='1 - Titoli e shock'!$B$17,$C447&lt;='1 - Titoli e shock'!$B$17),$D$41*O$6/2*(1-'1 - Titoli e shock'!$B$8),0)</f>
        <v>0</v>
      </c>
      <c r="P447" s="20">
        <f>IF(AND($B$41&lt;='1 - Titoli e shock'!$B$17,$C447&lt;='1 - Titoli e shock'!$B$17),$D$41*P$6/2*(1-'1 - Titoli e shock'!$B$8),0)</f>
        <v>0</v>
      </c>
      <c r="Q447" s="20">
        <f>IF(AND($B$41&lt;='1 - Titoli e shock'!$B$17,$C447&lt;='1 - Titoli e shock'!$B$17),$D$41*Q$6/2*(1-'1 - Titoli e shock'!$B$8),0)</f>
        <v>0</v>
      </c>
      <c r="R447" s="20">
        <f>IF(AND($B$41&lt;='1 - Titoli e shock'!$B$17,$C447&lt;='1 - Titoli e shock'!$B$17),$D$41*R$6/2*(1-'1 - Titoli e shock'!$B$8),0)</f>
        <v>0</v>
      </c>
      <c r="S447" s="20">
        <f>IF(AND($B$41&lt;='1 - Titoli e shock'!$B$17,$C447&lt;='1 - Titoli e shock'!$B$17),$D$41*S$6/2*(1-'1 - Titoli e shock'!$B$8),0)</f>
        <v>0</v>
      </c>
      <c r="T447" s="20">
        <f>IF(AND($B$41&lt;='1 - Titoli e shock'!$B$17,$C447&lt;='1 - Titoli e shock'!$B$17),$D$41*T$6/2*(1-'1 - Titoli e shock'!$B$8),0)</f>
        <v>0</v>
      </c>
      <c r="U447" s="20">
        <f>IF(AND($B$41&lt;='1 - Titoli e shock'!$B$17,$C447&lt;='1 - Titoli e shock'!$B$17),$D$41*U$6/2*(1-'1 - Titoli e shock'!$B$8),0)</f>
        <v>0</v>
      </c>
    </row>
    <row r="448" spans="1:21">
      <c r="A448" s="15" t="s">
        <v>267</v>
      </c>
      <c r="B448" s="22" t="str">
        <f>A41</f>
        <v>BTP 3,85% feb 2035</v>
      </c>
      <c r="C448" s="13">
        <f>EDATE($B$41,6*16)</f>
        <v>52263</v>
      </c>
      <c r="D448" s="23">
        <f>MAX(1,(YEAR(C448)-YEAR('1 - Titoli e shock'!$B$6))+IF(MONTH(C448)*100+DAY(C448)&gt;MONTH('1 - Titoli e shock'!$B$6)*100+DAY('1 - Titoli e shock'!$B$6),1,0))</f>
        <v>17</v>
      </c>
      <c r="F448" s="20">
        <f>IF(AND($B$41&lt;='1 - Titoli e shock'!$B$17,$C448&lt;='1 - Titoli e shock'!$B$17),$D$41*F$6/2*(1-'1 - Titoli e shock'!$B$8),0)</f>
        <v>0</v>
      </c>
      <c r="G448" s="20">
        <f>IF(AND($B$41&lt;='1 - Titoli e shock'!$B$17,$C448&lt;='1 - Titoli e shock'!$B$17),$D$41*G$6/2*(1-'1 - Titoli e shock'!$B$8),0)</f>
        <v>0</v>
      </c>
      <c r="H448" s="20">
        <f>IF(AND($B$41&lt;='1 - Titoli e shock'!$B$17,$C448&lt;='1 - Titoli e shock'!$B$17),$D$41*H$6/2*(1-'1 - Titoli e shock'!$B$8),0)</f>
        <v>0</v>
      </c>
      <c r="I448" s="20">
        <f>IF(AND($B$41&lt;='1 - Titoli e shock'!$B$17,$C448&lt;='1 - Titoli e shock'!$B$17),$D$41*I$6/2*(1-'1 - Titoli e shock'!$B$8),0)</f>
        <v>0</v>
      </c>
      <c r="J448" s="20">
        <f>IF(AND($B$41&lt;='1 - Titoli e shock'!$B$17,$C448&lt;='1 - Titoli e shock'!$B$17),$D$41*J$6/2*(1-'1 - Titoli e shock'!$B$8),0)</f>
        <v>0</v>
      </c>
      <c r="K448" s="20">
        <f>IF(AND($B$41&lt;='1 - Titoli e shock'!$B$17,$C448&lt;='1 - Titoli e shock'!$B$17),$D$41*K$6/2*(1-'1 - Titoli e shock'!$B$8),0)</f>
        <v>0</v>
      </c>
      <c r="L448" s="20">
        <f>IF(AND($B$41&lt;='1 - Titoli e shock'!$B$17,$C448&lt;='1 - Titoli e shock'!$B$17),$D$41*L$6/2*(1-'1 - Titoli e shock'!$B$8),0)</f>
        <v>0</v>
      </c>
      <c r="M448" s="20">
        <f>IF(AND($B$41&lt;='1 - Titoli e shock'!$B$17,$C448&lt;='1 - Titoli e shock'!$B$17),$D$41*M$6/2*(1-'1 - Titoli e shock'!$B$8),0)</f>
        <v>0</v>
      </c>
      <c r="N448" s="20">
        <f>IF(AND($B$41&lt;='1 - Titoli e shock'!$B$17,$C448&lt;='1 - Titoli e shock'!$B$17),$D$41*N$6/2*(1-'1 - Titoli e shock'!$B$8),0)</f>
        <v>0</v>
      </c>
      <c r="O448" s="20">
        <f>IF(AND($B$41&lt;='1 - Titoli e shock'!$B$17,$C448&lt;='1 - Titoli e shock'!$B$17),$D$41*O$6/2*(1-'1 - Titoli e shock'!$B$8),0)</f>
        <v>0</v>
      </c>
      <c r="P448" s="20">
        <f>IF(AND($B$41&lt;='1 - Titoli e shock'!$B$17,$C448&lt;='1 - Titoli e shock'!$B$17),$D$41*P$6/2*(1-'1 - Titoli e shock'!$B$8),0)</f>
        <v>0</v>
      </c>
      <c r="Q448" s="20">
        <f>IF(AND($B$41&lt;='1 - Titoli e shock'!$B$17,$C448&lt;='1 - Titoli e shock'!$B$17),$D$41*Q$6/2*(1-'1 - Titoli e shock'!$B$8),0)</f>
        <v>0</v>
      </c>
      <c r="R448" s="20">
        <f>IF(AND($B$41&lt;='1 - Titoli e shock'!$B$17,$C448&lt;='1 - Titoli e shock'!$B$17),$D$41*R$6/2*(1-'1 - Titoli e shock'!$B$8),0)</f>
        <v>0</v>
      </c>
      <c r="S448" s="20">
        <f>IF(AND($B$41&lt;='1 - Titoli e shock'!$B$17,$C448&lt;='1 - Titoli e shock'!$B$17),$D$41*S$6/2*(1-'1 - Titoli e shock'!$B$8),0)</f>
        <v>0</v>
      </c>
      <c r="T448" s="20">
        <f>IF(AND($B$41&lt;='1 - Titoli e shock'!$B$17,$C448&lt;='1 - Titoli e shock'!$B$17),$D$41*T$6/2*(1-'1 - Titoli e shock'!$B$8),0)</f>
        <v>0</v>
      </c>
      <c r="U448" s="20">
        <f>IF(AND($B$41&lt;='1 - Titoli e shock'!$B$17,$C448&lt;='1 - Titoli e shock'!$B$17),$D$41*U$6/2*(1-'1 - Titoli e shock'!$B$8),0)</f>
        <v>0</v>
      </c>
    </row>
    <row r="449" spans="1:21">
      <c r="A449" s="15" t="s">
        <v>267</v>
      </c>
      <c r="B449" s="22" t="str">
        <f>A41</f>
        <v>BTP 3,85% feb 2035</v>
      </c>
      <c r="C449" s="13">
        <f>EDATE($B$41,6*17)</f>
        <v>52444</v>
      </c>
      <c r="D449" s="23">
        <f>MAX(1,(YEAR(C449)-YEAR('1 - Titoli e shock'!$B$6))+IF(MONTH(C449)*100+DAY(C449)&gt;MONTH('1 - Titoli e shock'!$B$6)*100+DAY('1 - Titoli e shock'!$B$6),1,0))</f>
        <v>17</v>
      </c>
      <c r="F449" s="20">
        <f>IF(AND($B$41&lt;='1 - Titoli e shock'!$B$17,$C449&lt;='1 - Titoli e shock'!$B$17),$D$41*F$6/2*(1-'1 - Titoli e shock'!$B$8),0)</f>
        <v>0</v>
      </c>
      <c r="G449" s="20">
        <f>IF(AND($B$41&lt;='1 - Titoli e shock'!$B$17,$C449&lt;='1 - Titoli e shock'!$B$17),$D$41*G$6/2*(1-'1 - Titoli e shock'!$B$8),0)</f>
        <v>0</v>
      </c>
      <c r="H449" s="20">
        <f>IF(AND($B$41&lt;='1 - Titoli e shock'!$B$17,$C449&lt;='1 - Titoli e shock'!$B$17),$D$41*H$6/2*(1-'1 - Titoli e shock'!$B$8),0)</f>
        <v>0</v>
      </c>
      <c r="I449" s="20">
        <f>IF(AND($B$41&lt;='1 - Titoli e shock'!$B$17,$C449&lt;='1 - Titoli e shock'!$B$17),$D$41*I$6/2*(1-'1 - Titoli e shock'!$B$8),0)</f>
        <v>0</v>
      </c>
      <c r="J449" s="20">
        <f>IF(AND($B$41&lt;='1 - Titoli e shock'!$B$17,$C449&lt;='1 - Titoli e shock'!$B$17),$D$41*J$6/2*(1-'1 - Titoli e shock'!$B$8),0)</f>
        <v>0</v>
      </c>
      <c r="K449" s="20">
        <f>IF(AND($B$41&lt;='1 - Titoli e shock'!$B$17,$C449&lt;='1 - Titoli e shock'!$B$17),$D$41*K$6/2*(1-'1 - Titoli e shock'!$B$8),0)</f>
        <v>0</v>
      </c>
      <c r="L449" s="20">
        <f>IF(AND($B$41&lt;='1 - Titoli e shock'!$B$17,$C449&lt;='1 - Titoli e shock'!$B$17),$D$41*L$6/2*(1-'1 - Titoli e shock'!$B$8),0)</f>
        <v>0</v>
      </c>
      <c r="M449" s="20">
        <f>IF(AND($B$41&lt;='1 - Titoli e shock'!$B$17,$C449&lt;='1 - Titoli e shock'!$B$17),$D$41*M$6/2*(1-'1 - Titoli e shock'!$B$8),0)</f>
        <v>0</v>
      </c>
      <c r="N449" s="20">
        <f>IF(AND($B$41&lt;='1 - Titoli e shock'!$B$17,$C449&lt;='1 - Titoli e shock'!$B$17),$D$41*N$6/2*(1-'1 - Titoli e shock'!$B$8),0)</f>
        <v>0</v>
      </c>
      <c r="O449" s="20">
        <f>IF(AND($B$41&lt;='1 - Titoli e shock'!$B$17,$C449&lt;='1 - Titoli e shock'!$B$17),$D$41*O$6/2*(1-'1 - Titoli e shock'!$B$8),0)</f>
        <v>0</v>
      </c>
      <c r="P449" s="20">
        <f>IF(AND($B$41&lt;='1 - Titoli e shock'!$B$17,$C449&lt;='1 - Titoli e shock'!$B$17),$D$41*P$6/2*(1-'1 - Titoli e shock'!$B$8),0)</f>
        <v>0</v>
      </c>
      <c r="Q449" s="20">
        <f>IF(AND($B$41&lt;='1 - Titoli e shock'!$B$17,$C449&lt;='1 - Titoli e shock'!$B$17),$D$41*Q$6/2*(1-'1 - Titoli e shock'!$B$8),0)</f>
        <v>0</v>
      </c>
      <c r="R449" s="20">
        <f>IF(AND($B$41&lt;='1 - Titoli e shock'!$B$17,$C449&lt;='1 - Titoli e shock'!$B$17),$D$41*R$6/2*(1-'1 - Titoli e shock'!$B$8),0)</f>
        <v>0</v>
      </c>
      <c r="S449" s="20">
        <f>IF(AND($B$41&lt;='1 - Titoli e shock'!$B$17,$C449&lt;='1 - Titoli e shock'!$B$17),$D$41*S$6/2*(1-'1 - Titoli e shock'!$B$8),0)</f>
        <v>0</v>
      </c>
      <c r="T449" s="20">
        <f>IF(AND($B$41&lt;='1 - Titoli e shock'!$B$17,$C449&lt;='1 - Titoli e shock'!$B$17),$D$41*T$6/2*(1-'1 - Titoli e shock'!$B$8),0)</f>
        <v>0</v>
      </c>
      <c r="U449" s="20">
        <f>IF(AND($B$41&lt;='1 - Titoli e shock'!$B$17,$C449&lt;='1 - Titoli e shock'!$B$17),$D$41*U$6/2*(1-'1 - Titoli e shock'!$B$8),0)</f>
        <v>0</v>
      </c>
    </row>
    <row r="450" spans="1:21">
      <c r="A450" s="15" t="s">
        <v>267</v>
      </c>
      <c r="B450" s="22" t="str">
        <f>A41</f>
        <v>BTP 3,85% feb 2035</v>
      </c>
      <c r="C450" s="13">
        <f>EDATE($B$41,6*18)</f>
        <v>52628</v>
      </c>
      <c r="D450" s="23">
        <f>MAX(1,(YEAR(C450)-YEAR('1 - Titoli e shock'!$B$6))+IF(MONTH(C450)*100+DAY(C450)&gt;MONTH('1 - Titoli e shock'!$B$6)*100+DAY('1 - Titoli e shock'!$B$6),1,0))</f>
        <v>18</v>
      </c>
      <c r="F450" s="20">
        <f>IF(AND($B$41&lt;='1 - Titoli e shock'!$B$17,$C450&lt;='1 - Titoli e shock'!$B$17),$D$41*F$6/2*(1-'1 - Titoli e shock'!$B$8),0)</f>
        <v>0</v>
      </c>
      <c r="G450" s="20">
        <f>IF(AND($B$41&lt;='1 - Titoli e shock'!$B$17,$C450&lt;='1 - Titoli e shock'!$B$17),$D$41*G$6/2*(1-'1 - Titoli e shock'!$B$8),0)</f>
        <v>0</v>
      </c>
      <c r="H450" s="20">
        <f>IF(AND($B$41&lt;='1 - Titoli e shock'!$B$17,$C450&lt;='1 - Titoli e shock'!$B$17),$D$41*H$6/2*(1-'1 - Titoli e shock'!$B$8),0)</f>
        <v>0</v>
      </c>
      <c r="I450" s="20">
        <f>IF(AND($B$41&lt;='1 - Titoli e shock'!$B$17,$C450&lt;='1 - Titoli e shock'!$B$17),$D$41*I$6/2*(1-'1 - Titoli e shock'!$B$8),0)</f>
        <v>0</v>
      </c>
      <c r="J450" s="20">
        <f>IF(AND($B$41&lt;='1 - Titoli e shock'!$B$17,$C450&lt;='1 - Titoli e shock'!$B$17),$D$41*J$6/2*(1-'1 - Titoli e shock'!$B$8),0)</f>
        <v>0</v>
      </c>
      <c r="K450" s="20">
        <f>IF(AND($B$41&lt;='1 - Titoli e shock'!$B$17,$C450&lt;='1 - Titoli e shock'!$B$17),$D$41*K$6/2*(1-'1 - Titoli e shock'!$B$8),0)</f>
        <v>0</v>
      </c>
      <c r="L450" s="20">
        <f>IF(AND($B$41&lt;='1 - Titoli e shock'!$B$17,$C450&lt;='1 - Titoli e shock'!$B$17),$D$41*L$6/2*(1-'1 - Titoli e shock'!$B$8),0)</f>
        <v>0</v>
      </c>
      <c r="M450" s="20">
        <f>IF(AND($B$41&lt;='1 - Titoli e shock'!$B$17,$C450&lt;='1 - Titoli e shock'!$B$17),$D$41*M$6/2*(1-'1 - Titoli e shock'!$B$8),0)</f>
        <v>0</v>
      </c>
      <c r="N450" s="20">
        <f>IF(AND($B$41&lt;='1 - Titoli e shock'!$B$17,$C450&lt;='1 - Titoli e shock'!$B$17),$D$41*N$6/2*(1-'1 - Titoli e shock'!$B$8),0)</f>
        <v>0</v>
      </c>
      <c r="O450" s="20">
        <f>IF(AND($B$41&lt;='1 - Titoli e shock'!$B$17,$C450&lt;='1 - Titoli e shock'!$B$17),$D$41*O$6/2*(1-'1 - Titoli e shock'!$B$8),0)</f>
        <v>0</v>
      </c>
      <c r="P450" s="20">
        <f>IF(AND($B$41&lt;='1 - Titoli e shock'!$B$17,$C450&lt;='1 - Titoli e shock'!$B$17),$D$41*P$6/2*(1-'1 - Titoli e shock'!$B$8),0)</f>
        <v>0</v>
      </c>
      <c r="Q450" s="20">
        <f>IF(AND($B$41&lt;='1 - Titoli e shock'!$B$17,$C450&lt;='1 - Titoli e shock'!$B$17),$D$41*Q$6/2*(1-'1 - Titoli e shock'!$B$8),0)</f>
        <v>0</v>
      </c>
      <c r="R450" s="20">
        <f>IF(AND($B$41&lt;='1 - Titoli e shock'!$B$17,$C450&lt;='1 - Titoli e shock'!$B$17),$D$41*R$6/2*(1-'1 - Titoli e shock'!$B$8),0)</f>
        <v>0</v>
      </c>
      <c r="S450" s="20">
        <f>IF(AND($B$41&lt;='1 - Titoli e shock'!$B$17,$C450&lt;='1 - Titoli e shock'!$B$17),$D$41*S$6/2*(1-'1 - Titoli e shock'!$B$8),0)</f>
        <v>0</v>
      </c>
      <c r="T450" s="20">
        <f>IF(AND($B$41&lt;='1 - Titoli e shock'!$B$17,$C450&lt;='1 - Titoli e shock'!$B$17),$D$41*T$6/2*(1-'1 - Titoli e shock'!$B$8),0)</f>
        <v>0</v>
      </c>
      <c r="U450" s="20">
        <f>IF(AND($B$41&lt;='1 - Titoli e shock'!$B$17,$C450&lt;='1 - Titoli e shock'!$B$17),$D$41*U$6/2*(1-'1 - Titoli e shock'!$B$8),0)</f>
        <v>0</v>
      </c>
    </row>
    <row r="451" spans="1:21">
      <c r="A451" s="15" t="s">
        <v>267</v>
      </c>
      <c r="B451" s="22" t="str">
        <f>A41</f>
        <v>BTP 3,85% feb 2035</v>
      </c>
      <c r="C451" s="13">
        <f>EDATE($B$41,6*19)</f>
        <v>52810</v>
      </c>
      <c r="D451" s="23">
        <f>MAX(1,(YEAR(C451)-YEAR('1 - Titoli e shock'!$B$6))+IF(MONTH(C451)*100+DAY(C451)&gt;MONTH('1 - Titoli e shock'!$B$6)*100+DAY('1 - Titoli e shock'!$B$6),1,0))</f>
        <v>18</v>
      </c>
      <c r="F451" s="20">
        <f>IF(AND($B$41&lt;='1 - Titoli e shock'!$B$17,$C451&lt;='1 - Titoli e shock'!$B$17),$D$41*F$6/2*(1-'1 - Titoli e shock'!$B$8),0)</f>
        <v>0</v>
      </c>
      <c r="G451" s="20">
        <f>IF(AND($B$41&lt;='1 - Titoli e shock'!$B$17,$C451&lt;='1 - Titoli e shock'!$B$17),$D$41*G$6/2*(1-'1 - Titoli e shock'!$B$8),0)</f>
        <v>0</v>
      </c>
      <c r="H451" s="20">
        <f>IF(AND($B$41&lt;='1 - Titoli e shock'!$B$17,$C451&lt;='1 - Titoli e shock'!$B$17),$D$41*H$6/2*(1-'1 - Titoli e shock'!$B$8),0)</f>
        <v>0</v>
      </c>
      <c r="I451" s="20">
        <f>IF(AND($B$41&lt;='1 - Titoli e shock'!$B$17,$C451&lt;='1 - Titoli e shock'!$B$17),$D$41*I$6/2*(1-'1 - Titoli e shock'!$B$8),0)</f>
        <v>0</v>
      </c>
      <c r="J451" s="20">
        <f>IF(AND($B$41&lt;='1 - Titoli e shock'!$B$17,$C451&lt;='1 - Titoli e shock'!$B$17),$D$41*J$6/2*(1-'1 - Titoli e shock'!$B$8),0)</f>
        <v>0</v>
      </c>
      <c r="K451" s="20">
        <f>IF(AND($B$41&lt;='1 - Titoli e shock'!$B$17,$C451&lt;='1 - Titoli e shock'!$B$17),$D$41*K$6/2*(1-'1 - Titoli e shock'!$B$8),0)</f>
        <v>0</v>
      </c>
      <c r="L451" s="20">
        <f>IF(AND($B$41&lt;='1 - Titoli e shock'!$B$17,$C451&lt;='1 - Titoli e shock'!$B$17),$D$41*L$6/2*(1-'1 - Titoli e shock'!$B$8),0)</f>
        <v>0</v>
      </c>
      <c r="M451" s="20">
        <f>IF(AND($B$41&lt;='1 - Titoli e shock'!$B$17,$C451&lt;='1 - Titoli e shock'!$B$17),$D$41*M$6/2*(1-'1 - Titoli e shock'!$B$8),0)</f>
        <v>0</v>
      </c>
      <c r="N451" s="20">
        <f>IF(AND($B$41&lt;='1 - Titoli e shock'!$B$17,$C451&lt;='1 - Titoli e shock'!$B$17),$D$41*N$6/2*(1-'1 - Titoli e shock'!$B$8),0)</f>
        <v>0</v>
      </c>
      <c r="O451" s="20">
        <f>IF(AND($B$41&lt;='1 - Titoli e shock'!$B$17,$C451&lt;='1 - Titoli e shock'!$B$17),$D$41*O$6/2*(1-'1 - Titoli e shock'!$B$8),0)</f>
        <v>0</v>
      </c>
      <c r="P451" s="20">
        <f>IF(AND($B$41&lt;='1 - Titoli e shock'!$B$17,$C451&lt;='1 - Titoli e shock'!$B$17),$D$41*P$6/2*(1-'1 - Titoli e shock'!$B$8),0)</f>
        <v>0</v>
      </c>
      <c r="Q451" s="20">
        <f>IF(AND($B$41&lt;='1 - Titoli e shock'!$B$17,$C451&lt;='1 - Titoli e shock'!$B$17),$D$41*Q$6/2*(1-'1 - Titoli e shock'!$B$8),0)</f>
        <v>0</v>
      </c>
      <c r="R451" s="20">
        <f>IF(AND($B$41&lt;='1 - Titoli e shock'!$B$17,$C451&lt;='1 - Titoli e shock'!$B$17),$D$41*R$6/2*(1-'1 - Titoli e shock'!$B$8),0)</f>
        <v>0</v>
      </c>
      <c r="S451" s="20">
        <f>IF(AND($B$41&lt;='1 - Titoli e shock'!$B$17,$C451&lt;='1 - Titoli e shock'!$B$17),$D$41*S$6/2*(1-'1 - Titoli e shock'!$B$8),0)</f>
        <v>0</v>
      </c>
      <c r="T451" s="20">
        <f>IF(AND($B$41&lt;='1 - Titoli e shock'!$B$17,$C451&lt;='1 - Titoli e shock'!$B$17),$D$41*T$6/2*(1-'1 - Titoli e shock'!$B$8),0)</f>
        <v>0</v>
      </c>
      <c r="U451" s="20">
        <f>IF(AND($B$41&lt;='1 - Titoli e shock'!$B$17,$C451&lt;='1 - Titoli e shock'!$B$17),$D$41*U$6/2*(1-'1 - Titoli e shock'!$B$8),0)</f>
        <v>0</v>
      </c>
    </row>
    <row r="452" spans="1:21">
      <c r="A452" s="15" t="s">
        <v>267</v>
      </c>
      <c r="B452" s="22" t="str">
        <f>A41</f>
        <v>BTP 3,85% feb 2035</v>
      </c>
      <c r="C452" s="13">
        <f>EDATE($B$41,6*20)</f>
        <v>52994</v>
      </c>
      <c r="D452" s="23">
        <f>MAX(1,(YEAR(C452)-YEAR('1 - Titoli e shock'!$B$6))+IF(MONTH(C452)*100+DAY(C452)&gt;MONTH('1 - Titoli e shock'!$B$6)*100+DAY('1 - Titoli e shock'!$B$6),1,0))</f>
        <v>19</v>
      </c>
      <c r="F452" s="20">
        <f>IF(AND($B$41&lt;='1 - Titoli e shock'!$B$17,$C452&lt;='1 - Titoli e shock'!$B$17),$D$41*F$6/2*(1-'1 - Titoli e shock'!$B$8),0)</f>
        <v>0</v>
      </c>
      <c r="G452" s="20">
        <f>IF(AND($B$41&lt;='1 - Titoli e shock'!$B$17,$C452&lt;='1 - Titoli e shock'!$B$17),$D$41*G$6/2*(1-'1 - Titoli e shock'!$B$8),0)</f>
        <v>0</v>
      </c>
      <c r="H452" s="20">
        <f>IF(AND($B$41&lt;='1 - Titoli e shock'!$B$17,$C452&lt;='1 - Titoli e shock'!$B$17),$D$41*H$6/2*(1-'1 - Titoli e shock'!$B$8),0)</f>
        <v>0</v>
      </c>
      <c r="I452" s="20">
        <f>IF(AND($B$41&lt;='1 - Titoli e shock'!$B$17,$C452&lt;='1 - Titoli e shock'!$B$17),$D$41*I$6/2*(1-'1 - Titoli e shock'!$B$8),0)</f>
        <v>0</v>
      </c>
      <c r="J452" s="20">
        <f>IF(AND($B$41&lt;='1 - Titoli e shock'!$B$17,$C452&lt;='1 - Titoli e shock'!$B$17),$D$41*J$6/2*(1-'1 - Titoli e shock'!$B$8),0)</f>
        <v>0</v>
      </c>
      <c r="K452" s="20">
        <f>IF(AND($B$41&lt;='1 - Titoli e shock'!$B$17,$C452&lt;='1 - Titoli e shock'!$B$17),$D$41*K$6/2*(1-'1 - Titoli e shock'!$B$8),0)</f>
        <v>0</v>
      </c>
      <c r="L452" s="20">
        <f>IF(AND($B$41&lt;='1 - Titoli e shock'!$B$17,$C452&lt;='1 - Titoli e shock'!$B$17),$D$41*L$6/2*(1-'1 - Titoli e shock'!$B$8),0)</f>
        <v>0</v>
      </c>
      <c r="M452" s="20">
        <f>IF(AND($B$41&lt;='1 - Titoli e shock'!$B$17,$C452&lt;='1 - Titoli e shock'!$B$17),$D$41*M$6/2*(1-'1 - Titoli e shock'!$B$8),0)</f>
        <v>0</v>
      </c>
      <c r="N452" s="20">
        <f>IF(AND($B$41&lt;='1 - Titoli e shock'!$B$17,$C452&lt;='1 - Titoli e shock'!$B$17),$D$41*N$6/2*(1-'1 - Titoli e shock'!$B$8),0)</f>
        <v>0</v>
      </c>
      <c r="O452" s="20">
        <f>IF(AND($B$41&lt;='1 - Titoli e shock'!$B$17,$C452&lt;='1 - Titoli e shock'!$B$17),$D$41*O$6/2*(1-'1 - Titoli e shock'!$B$8),0)</f>
        <v>0</v>
      </c>
      <c r="P452" s="20">
        <f>IF(AND($B$41&lt;='1 - Titoli e shock'!$B$17,$C452&lt;='1 - Titoli e shock'!$B$17),$D$41*P$6/2*(1-'1 - Titoli e shock'!$B$8),0)</f>
        <v>0</v>
      </c>
      <c r="Q452" s="20">
        <f>IF(AND($B$41&lt;='1 - Titoli e shock'!$B$17,$C452&lt;='1 - Titoli e shock'!$B$17),$D$41*Q$6/2*(1-'1 - Titoli e shock'!$B$8),0)</f>
        <v>0</v>
      </c>
      <c r="R452" s="20">
        <f>IF(AND($B$41&lt;='1 - Titoli e shock'!$B$17,$C452&lt;='1 - Titoli e shock'!$B$17),$D$41*R$6/2*(1-'1 - Titoli e shock'!$B$8),0)</f>
        <v>0</v>
      </c>
      <c r="S452" s="20">
        <f>IF(AND($B$41&lt;='1 - Titoli e shock'!$B$17,$C452&lt;='1 - Titoli e shock'!$B$17),$D$41*S$6/2*(1-'1 - Titoli e shock'!$B$8),0)</f>
        <v>0</v>
      </c>
      <c r="T452" s="20">
        <f>IF(AND($B$41&lt;='1 - Titoli e shock'!$B$17,$C452&lt;='1 - Titoli e shock'!$B$17),$D$41*T$6/2*(1-'1 - Titoli e shock'!$B$8),0)</f>
        <v>0</v>
      </c>
      <c r="U452" s="20">
        <f>IF(AND($B$41&lt;='1 - Titoli e shock'!$B$17,$C452&lt;='1 - Titoli e shock'!$B$17),$D$41*U$6/2*(1-'1 - Titoli e shock'!$B$8),0)</f>
        <v>0</v>
      </c>
    </row>
    <row r="453" spans="1:21">
      <c r="A453" s="15" t="s">
        <v>268</v>
      </c>
      <c r="B453" s="22" t="str">
        <f>A41</f>
        <v>BTP 3,85% feb 2035</v>
      </c>
      <c r="C453" s="13">
        <f>EDATE($B$41,120)</f>
        <v>52994</v>
      </c>
      <c r="D453" s="23">
        <f>MAX(1,(YEAR(C453)-YEAR('1 - Titoli e shock'!$B$6))+IF(MONTH(C453)*100+DAY(C453)&gt;MONTH('1 - Titoli e shock'!$B$6)*100+DAY('1 - Titoli e shock'!$B$6),1,0))</f>
        <v>19</v>
      </c>
      <c r="F453" s="20">
        <f>IF(AND($B$41&lt;='1 - Titoli e shock'!$B$17,$C453&lt;='1 - Titoli e shock'!$B$17),$D$41,0)</f>
        <v>0</v>
      </c>
      <c r="G453" s="20">
        <f>IF(AND($B$41&lt;='1 - Titoli e shock'!$B$17,$C453&lt;='1 - Titoli e shock'!$B$17),$D$41,0)</f>
        <v>0</v>
      </c>
      <c r="H453" s="20">
        <f>IF(AND($B$41&lt;='1 - Titoli e shock'!$B$17,$C453&lt;='1 - Titoli e shock'!$B$17),$D$41,0)</f>
        <v>0</v>
      </c>
      <c r="I453" s="20">
        <f>IF(AND($B$41&lt;='1 - Titoli e shock'!$B$17,$C453&lt;='1 - Titoli e shock'!$B$17),$D$41,0)</f>
        <v>0</v>
      </c>
      <c r="J453" s="20">
        <f>IF(AND($B$41&lt;='1 - Titoli e shock'!$B$17,$C453&lt;='1 - Titoli e shock'!$B$17),$D$41,0)</f>
        <v>0</v>
      </c>
      <c r="K453" s="20">
        <f>IF(AND($B$41&lt;='1 - Titoli e shock'!$B$17,$C453&lt;='1 - Titoli e shock'!$B$17),$D$41,0)</f>
        <v>0</v>
      </c>
      <c r="L453" s="20">
        <f>IF(AND($B$41&lt;='1 - Titoli e shock'!$B$17,$C453&lt;='1 - Titoli e shock'!$B$17),$D$41,0)</f>
        <v>0</v>
      </c>
      <c r="M453" s="20">
        <f>IF(AND($B$41&lt;='1 - Titoli e shock'!$B$17,$C453&lt;='1 - Titoli e shock'!$B$17),$D$41,0)</f>
        <v>0</v>
      </c>
      <c r="N453" s="20">
        <f>IF(AND($B$41&lt;='1 - Titoli e shock'!$B$17,$C453&lt;='1 - Titoli e shock'!$B$17),$D$41,0)</f>
        <v>0</v>
      </c>
      <c r="O453" s="20">
        <f>IF(AND($B$41&lt;='1 - Titoli e shock'!$B$17,$C453&lt;='1 - Titoli e shock'!$B$17),$D$41,0)</f>
        <v>0</v>
      </c>
      <c r="P453" s="20">
        <f>IF(AND($B$41&lt;='1 - Titoli e shock'!$B$17,$C453&lt;='1 - Titoli e shock'!$B$17),$D$41,0)</f>
        <v>0</v>
      </c>
      <c r="Q453" s="20">
        <f>IF(AND($B$41&lt;='1 - Titoli e shock'!$B$17,$C453&lt;='1 - Titoli e shock'!$B$17),$D$41,0)</f>
        <v>0</v>
      </c>
      <c r="R453" s="20">
        <f>IF(AND($B$41&lt;='1 - Titoli e shock'!$B$17,$C453&lt;='1 - Titoli e shock'!$B$17),$D$41,0)</f>
        <v>0</v>
      </c>
      <c r="S453" s="20">
        <f>IF(AND($B$41&lt;='1 - Titoli e shock'!$B$17,$C453&lt;='1 - Titoli e shock'!$B$17),$D$41,0)</f>
        <v>0</v>
      </c>
      <c r="T453" s="20">
        <f>IF(AND($B$41&lt;='1 - Titoli e shock'!$B$17,$C453&lt;='1 - Titoli e shock'!$B$17),$D$41,0)</f>
        <v>0</v>
      </c>
      <c r="U453" s="20">
        <f>IF(AND($B$41&lt;='1 - Titoli e shock'!$B$17,$C453&lt;='1 - Titoli e shock'!$B$17),$D$41,0)</f>
        <v>0</v>
      </c>
    </row>
    <row r="454" spans="1:21">
      <c r="A454" s="15" t="s">
        <v>267</v>
      </c>
      <c r="B454" s="22" t="str">
        <f>A42</f>
        <v>BTP 3,60% ott 2035</v>
      </c>
      <c r="C454" s="13">
        <f>EDATE($B$42,6*1)</f>
        <v>49766</v>
      </c>
      <c r="D454" s="23">
        <f>MAX(1,(YEAR(C454)-YEAR('1 - Titoli e shock'!$B$6))+IF(MONTH(C454)*100+DAY(C454)&gt;MONTH('1 - Titoli e shock'!$B$6)*100+DAY('1 - Titoli e shock'!$B$6),1,0))</f>
        <v>10</v>
      </c>
      <c r="F454" s="20">
        <f>IF(AND($B$42&lt;='1 - Titoli e shock'!$B$17,$C454&lt;='1 - Titoli e shock'!$B$17),$D$42*F$6/2*(1-'1 - Titoli e shock'!$B$8),0)</f>
        <v>317.39134621616472</v>
      </c>
      <c r="G454" s="20">
        <f>IF(AND($B$42&lt;='1 - Titoli e shock'!$B$17,$C454&lt;='1 - Titoli e shock'!$B$17),$D$42*G$6/2*(1-'1 - Titoli e shock'!$B$8),0)</f>
        <v>407.39756785255798</v>
      </c>
      <c r="H454" s="20">
        <f>IF(AND($B$42&lt;='1 - Titoli e shock'!$B$17,$C454&lt;='1 - Titoli e shock'!$B$17),$D$42*H$6/2*(1-'1 - Titoli e shock'!$B$8),0)</f>
        <v>496.97410874419472</v>
      </c>
      <c r="I454" s="20">
        <f>IF(AND($B$42&lt;='1 - Titoli e shock'!$B$17,$C454&lt;='1 - Titoli e shock'!$B$17),$D$42*I$6/2*(1-'1 - Titoli e shock'!$B$8),0)</f>
        <v>586.12706451937447</v>
      </c>
      <c r="J454" s="20">
        <f>IF(AND($B$42&lt;='1 - Titoli e shock'!$B$17,$C454&lt;='1 - Titoli e shock'!$B$17),$D$42*J$6/2*(1-'1 - Titoli e shock'!$B$8),0)</f>
        <v>429.83174505001131</v>
      </c>
      <c r="K454" s="20">
        <f>IF(AND($B$42&lt;='1 - Titoli e shock'!$B$17,$C454&lt;='1 - Titoli e shock'!$B$17),$D$42*K$6/2*(1-'1 - Titoli e shock'!$B$8),0)</f>
        <v>452.2391640126649</v>
      </c>
      <c r="L454" s="20">
        <f>IF(AND($B$42&lt;='1 - Titoli e shock'!$B$17,$C454&lt;='1 - Titoli e shock'!$B$17),$D$42*L$6/2*(1-'1 - Titoli e shock'!$B$8),0)</f>
        <v>461.19466070742612</v>
      </c>
      <c r="M454" s="20">
        <f>IF(AND($B$42&lt;='1 - Titoli e shock'!$B$17,$C454&lt;='1 - Titoli e shock'!$B$17),$D$42*M$6/2*(1-'1 - Titoli e shock'!$B$8),0)</f>
        <v>470.14589746184902</v>
      </c>
      <c r="N454" s="20">
        <f>IF(AND($B$42&lt;='1 - Titoli e shock'!$B$17,$C454&lt;='1 - Titoli e shock'!$B$17),$D$42*N$6/2*(1-'1 - Titoli e shock'!$B$8),0)</f>
        <v>479.092880349251</v>
      </c>
      <c r="O454" s="20">
        <f>IF(AND($B$42&lt;='1 - Titoli e shock'!$B$17,$C454&lt;='1 - Titoli e shock'!$B$17),$D$42*O$6/2*(1-'1 - Titoli e shock'!$B$8),0)</f>
        <v>488.0356154285206</v>
      </c>
      <c r="P454" s="20">
        <f>IF(AND($B$42&lt;='1 - Titoli e shock'!$B$17,$C454&lt;='1 - Titoli e shock'!$B$17),$D$42*P$6/2*(1-'1 - Titoli e shock'!$B$8),0)</f>
        <v>505.90836632646688</v>
      </c>
      <c r="Q454" s="20">
        <f>IF(AND($B$42&lt;='1 - Titoli e shock'!$B$17,$C454&lt;='1 - Titoli e shock'!$B$17),$D$42*Q$6/2*(1-'1 - Titoli e shock'!$B$8),0)</f>
        <v>514.83839419128094</v>
      </c>
      <c r="R454" s="20">
        <f>IF(AND($B$42&lt;='1 - Titoli e shock'!$B$17,$C454&lt;='1 - Titoli e shock'!$B$17),$D$42*R$6/2*(1-'1 - Titoli e shock'!$B$8),0)</f>
        <v>523.76419834032708</v>
      </c>
      <c r="S454" s="20">
        <f>IF(AND($B$42&lt;='1 - Titoli e shock'!$B$17,$C454&lt;='1 - Titoli e shock'!$B$17),$D$42*S$6/2*(1-'1 - Titoli e shock'!$B$8),0)</f>
        <v>532.68578476113544</v>
      </c>
      <c r="T454" s="20">
        <f>IF(AND($B$42&lt;='1 - Titoli e shock'!$B$17,$C454&lt;='1 - Titoli e shock'!$B$17),$D$42*T$6/2*(1-'1 - Titoli e shock'!$B$8),0)</f>
        <v>541.60315942709644</v>
      </c>
      <c r="U454" s="20">
        <f>IF(AND($B$42&lt;='1 - Titoli e shock'!$B$17,$C454&lt;='1 - Titoli e shock'!$B$17),$D$42*U$6/2*(1-'1 - Titoli e shock'!$B$8),0)</f>
        <v>674.86238802998184</v>
      </c>
    </row>
    <row r="455" spans="1:21">
      <c r="A455" s="15" t="s">
        <v>267</v>
      </c>
      <c r="B455" s="22" t="str">
        <f>A42</f>
        <v>BTP 3,60% ott 2035</v>
      </c>
      <c r="C455" s="13">
        <f>EDATE($B$42,6*2)</f>
        <v>49949</v>
      </c>
      <c r="D455" s="23">
        <f>MAX(1,(YEAR(C455)-YEAR('1 - Titoli e shock'!$B$6))+IF(MONTH(C455)*100+DAY(C455)&gt;MONTH('1 - Titoli e shock'!$B$6)*100+DAY('1 - Titoli e shock'!$B$6),1,0))</f>
        <v>10</v>
      </c>
      <c r="F455" s="20">
        <f>IF(AND($B$42&lt;='1 - Titoli e shock'!$B$17,$C455&lt;='1 - Titoli e shock'!$B$17),$D$42*F$6/2*(1-'1 - Titoli e shock'!$B$8),0)</f>
        <v>317.39134621616472</v>
      </c>
      <c r="G455" s="20">
        <f>IF(AND($B$42&lt;='1 - Titoli e shock'!$B$17,$C455&lt;='1 - Titoli e shock'!$B$17),$D$42*G$6/2*(1-'1 - Titoli e shock'!$B$8),0)</f>
        <v>407.39756785255798</v>
      </c>
      <c r="H455" s="20">
        <f>IF(AND($B$42&lt;='1 - Titoli e shock'!$B$17,$C455&lt;='1 - Titoli e shock'!$B$17),$D$42*H$6/2*(1-'1 - Titoli e shock'!$B$8),0)</f>
        <v>496.97410874419472</v>
      </c>
      <c r="I455" s="20">
        <f>IF(AND($B$42&lt;='1 - Titoli e shock'!$B$17,$C455&lt;='1 - Titoli e shock'!$B$17),$D$42*I$6/2*(1-'1 - Titoli e shock'!$B$8),0)</f>
        <v>586.12706451937447</v>
      </c>
      <c r="J455" s="20">
        <f>IF(AND($B$42&lt;='1 - Titoli e shock'!$B$17,$C455&lt;='1 - Titoli e shock'!$B$17),$D$42*J$6/2*(1-'1 - Titoli e shock'!$B$8),0)</f>
        <v>429.83174505001131</v>
      </c>
      <c r="K455" s="20">
        <f>IF(AND($B$42&lt;='1 - Titoli e shock'!$B$17,$C455&lt;='1 - Titoli e shock'!$B$17),$D$42*K$6/2*(1-'1 - Titoli e shock'!$B$8),0)</f>
        <v>452.2391640126649</v>
      </c>
      <c r="L455" s="20">
        <f>IF(AND($B$42&lt;='1 - Titoli e shock'!$B$17,$C455&lt;='1 - Titoli e shock'!$B$17),$D$42*L$6/2*(1-'1 - Titoli e shock'!$B$8),0)</f>
        <v>461.19466070742612</v>
      </c>
      <c r="M455" s="20">
        <f>IF(AND($B$42&lt;='1 - Titoli e shock'!$B$17,$C455&lt;='1 - Titoli e shock'!$B$17),$D$42*M$6/2*(1-'1 - Titoli e shock'!$B$8),0)</f>
        <v>470.14589746184902</v>
      </c>
      <c r="N455" s="20">
        <f>IF(AND($B$42&lt;='1 - Titoli e shock'!$B$17,$C455&lt;='1 - Titoli e shock'!$B$17),$D$42*N$6/2*(1-'1 - Titoli e shock'!$B$8),0)</f>
        <v>479.092880349251</v>
      </c>
      <c r="O455" s="20">
        <f>IF(AND($B$42&lt;='1 - Titoli e shock'!$B$17,$C455&lt;='1 - Titoli e shock'!$B$17),$D$42*O$6/2*(1-'1 - Titoli e shock'!$B$8),0)</f>
        <v>488.0356154285206</v>
      </c>
      <c r="P455" s="20">
        <f>IF(AND($B$42&lt;='1 - Titoli e shock'!$B$17,$C455&lt;='1 - Titoli e shock'!$B$17),$D$42*P$6/2*(1-'1 - Titoli e shock'!$B$8),0)</f>
        <v>505.90836632646688</v>
      </c>
      <c r="Q455" s="20">
        <f>IF(AND($B$42&lt;='1 - Titoli e shock'!$B$17,$C455&lt;='1 - Titoli e shock'!$B$17),$D$42*Q$6/2*(1-'1 - Titoli e shock'!$B$8),0)</f>
        <v>514.83839419128094</v>
      </c>
      <c r="R455" s="20">
        <f>IF(AND($B$42&lt;='1 - Titoli e shock'!$B$17,$C455&lt;='1 - Titoli e shock'!$B$17),$D$42*R$6/2*(1-'1 - Titoli e shock'!$B$8),0)</f>
        <v>523.76419834032708</v>
      </c>
      <c r="S455" s="20">
        <f>IF(AND($B$42&lt;='1 - Titoli e shock'!$B$17,$C455&lt;='1 - Titoli e shock'!$B$17),$D$42*S$6/2*(1-'1 - Titoli e shock'!$B$8),0)</f>
        <v>532.68578476113544</v>
      </c>
      <c r="T455" s="20">
        <f>IF(AND($B$42&lt;='1 - Titoli e shock'!$B$17,$C455&lt;='1 - Titoli e shock'!$B$17),$D$42*T$6/2*(1-'1 - Titoli e shock'!$B$8),0)</f>
        <v>541.60315942709644</v>
      </c>
      <c r="U455" s="20">
        <f>IF(AND($B$42&lt;='1 - Titoli e shock'!$B$17,$C455&lt;='1 - Titoli e shock'!$B$17),$D$42*U$6/2*(1-'1 - Titoli e shock'!$B$8),0)</f>
        <v>674.86238802998184</v>
      </c>
    </row>
    <row r="456" spans="1:21">
      <c r="A456" s="15" t="s">
        <v>267</v>
      </c>
      <c r="B456" s="22" t="str">
        <f>A42</f>
        <v>BTP 3,60% ott 2035</v>
      </c>
      <c r="C456" s="13">
        <f>EDATE($B$42,6*3)</f>
        <v>50131</v>
      </c>
      <c r="D456" s="23">
        <f>MAX(1,(YEAR(C456)-YEAR('1 - Titoli e shock'!$B$6))+IF(MONTH(C456)*100+DAY(C456)&gt;MONTH('1 - Titoli e shock'!$B$6)*100+DAY('1 - Titoli e shock'!$B$6),1,0))</f>
        <v>11</v>
      </c>
      <c r="F456" s="20">
        <f>IF(AND($B$42&lt;='1 - Titoli e shock'!$B$17,$C456&lt;='1 - Titoli e shock'!$B$17),$D$42*F$6/2*(1-'1 - Titoli e shock'!$B$8),0)</f>
        <v>0</v>
      </c>
      <c r="G456" s="20">
        <f>IF(AND($B$42&lt;='1 - Titoli e shock'!$B$17,$C456&lt;='1 - Titoli e shock'!$B$17),$D$42*G$6/2*(1-'1 - Titoli e shock'!$B$8),0)</f>
        <v>0</v>
      </c>
      <c r="H456" s="20">
        <f>IF(AND($B$42&lt;='1 - Titoli e shock'!$B$17,$C456&lt;='1 - Titoli e shock'!$B$17),$D$42*H$6/2*(1-'1 - Titoli e shock'!$B$8),0)</f>
        <v>0</v>
      </c>
      <c r="I456" s="20">
        <f>IF(AND($B$42&lt;='1 - Titoli e shock'!$B$17,$C456&lt;='1 - Titoli e shock'!$B$17),$D$42*I$6/2*(1-'1 - Titoli e shock'!$B$8),0)</f>
        <v>0</v>
      </c>
      <c r="J456" s="20">
        <f>IF(AND($B$42&lt;='1 - Titoli e shock'!$B$17,$C456&lt;='1 - Titoli e shock'!$B$17),$D$42*J$6/2*(1-'1 - Titoli e shock'!$B$8),0)</f>
        <v>0</v>
      </c>
      <c r="K456" s="20">
        <f>IF(AND($B$42&lt;='1 - Titoli e shock'!$B$17,$C456&lt;='1 - Titoli e shock'!$B$17),$D$42*K$6/2*(1-'1 - Titoli e shock'!$B$8),0)</f>
        <v>0</v>
      </c>
      <c r="L456" s="20">
        <f>IF(AND($B$42&lt;='1 - Titoli e shock'!$B$17,$C456&lt;='1 - Titoli e shock'!$B$17),$D$42*L$6/2*(1-'1 - Titoli e shock'!$B$8),0)</f>
        <v>0</v>
      </c>
      <c r="M456" s="20">
        <f>IF(AND($B$42&lt;='1 - Titoli e shock'!$B$17,$C456&lt;='1 - Titoli e shock'!$B$17),$D$42*M$6/2*(1-'1 - Titoli e shock'!$B$8),0)</f>
        <v>0</v>
      </c>
      <c r="N456" s="20">
        <f>IF(AND($B$42&lt;='1 - Titoli e shock'!$B$17,$C456&lt;='1 - Titoli e shock'!$B$17),$D$42*N$6/2*(1-'1 - Titoli e shock'!$B$8),0)</f>
        <v>0</v>
      </c>
      <c r="O456" s="20">
        <f>IF(AND($B$42&lt;='1 - Titoli e shock'!$B$17,$C456&lt;='1 - Titoli e shock'!$B$17),$D$42*O$6/2*(1-'1 - Titoli e shock'!$B$8),0)</f>
        <v>0</v>
      </c>
      <c r="P456" s="20">
        <f>IF(AND($B$42&lt;='1 - Titoli e shock'!$B$17,$C456&lt;='1 - Titoli e shock'!$B$17),$D$42*P$6/2*(1-'1 - Titoli e shock'!$B$8),0)</f>
        <v>0</v>
      </c>
      <c r="Q456" s="20">
        <f>IF(AND($B$42&lt;='1 - Titoli e shock'!$B$17,$C456&lt;='1 - Titoli e shock'!$B$17),$D$42*Q$6/2*(1-'1 - Titoli e shock'!$B$8),0)</f>
        <v>0</v>
      </c>
      <c r="R456" s="20">
        <f>IF(AND($B$42&lt;='1 - Titoli e shock'!$B$17,$C456&lt;='1 - Titoli e shock'!$B$17),$D$42*R$6/2*(1-'1 - Titoli e shock'!$B$8),0)</f>
        <v>0</v>
      </c>
      <c r="S456" s="20">
        <f>IF(AND($B$42&lt;='1 - Titoli e shock'!$B$17,$C456&lt;='1 - Titoli e shock'!$B$17),$D$42*S$6/2*(1-'1 - Titoli e shock'!$B$8),0)</f>
        <v>0</v>
      </c>
      <c r="T456" s="20">
        <f>IF(AND($B$42&lt;='1 - Titoli e shock'!$B$17,$C456&lt;='1 - Titoli e shock'!$B$17),$D$42*T$6/2*(1-'1 - Titoli e shock'!$B$8),0)</f>
        <v>0</v>
      </c>
      <c r="U456" s="20">
        <f>IF(AND($B$42&lt;='1 - Titoli e shock'!$B$17,$C456&lt;='1 - Titoli e shock'!$B$17),$D$42*U$6/2*(1-'1 - Titoli e shock'!$B$8),0)</f>
        <v>0</v>
      </c>
    </row>
    <row r="457" spans="1:21">
      <c r="A457" s="15" t="s">
        <v>267</v>
      </c>
      <c r="B457" s="22" t="str">
        <f>A42</f>
        <v>BTP 3,60% ott 2035</v>
      </c>
      <c r="C457" s="13">
        <f>EDATE($B$42,6*4)</f>
        <v>50314</v>
      </c>
      <c r="D457" s="23">
        <f>MAX(1,(YEAR(C457)-YEAR('1 - Titoli e shock'!$B$6))+IF(MONTH(C457)*100+DAY(C457)&gt;MONTH('1 - Titoli e shock'!$B$6)*100+DAY('1 - Titoli e shock'!$B$6),1,0))</f>
        <v>11</v>
      </c>
      <c r="F457" s="20">
        <f>IF(AND($B$42&lt;='1 - Titoli e shock'!$B$17,$C457&lt;='1 - Titoli e shock'!$B$17),$D$42*F$6/2*(1-'1 - Titoli e shock'!$B$8),0)</f>
        <v>0</v>
      </c>
      <c r="G457" s="20">
        <f>IF(AND($B$42&lt;='1 - Titoli e shock'!$B$17,$C457&lt;='1 - Titoli e shock'!$B$17),$D$42*G$6/2*(1-'1 - Titoli e shock'!$B$8),0)</f>
        <v>0</v>
      </c>
      <c r="H457" s="20">
        <f>IF(AND($B$42&lt;='1 - Titoli e shock'!$B$17,$C457&lt;='1 - Titoli e shock'!$B$17),$D$42*H$6/2*(1-'1 - Titoli e shock'!$B$8),0)</f>
        <v>0</v>
      </c>
      <c r="I457" s="20">
        <f>IF(AND($B$42&lt;='1 - Titoli e shock'!$B$17,$C457&lt;='1 - Titoli e shock'!$B$17),$D$42*I$6/2*(1-'1 - Titoli e shock'!$B$8),0)</f>
        <v>0</v>
      </c>
      <c r="J457" s="20">
        <f>IF(AND($B$42&lt;='1 - Titoli e shock'!$B$17,$C457&lt;='1 - Titoli e shock'!$B$17),$D$42*J$6/2*(1-'1 - Titoli e shock'!$B$8),0)</f>
        <v>0</v>
      </c>
      <c r="K457" s="20">
        <f>IF(AND($B$42&lt;='1 - Titoli e shock'!$B$17,$C457&lt;='1 - Titoli e shock'!$B$17),$D$42*K$6/2*(1-'1 - Titoli e shock'!$B$8),0)</f>
        <v>0</v>
      </c>
      <c r="L457" s="20">
        <f>IF(AND($B$42&lt;='1 - Titoli e shock'!$B$17,$C457&lt;='1 - Titoli e shock'!$B$17),$D$42*L$6/2*(1-'1 - Titoli e shock'!$B$8),0)</f>
        <v>0</v>
      </c>
      <c r="M457" s="20">
        <f>IF(AND($B$42&lt;='1 - Titoli e shock'!$B$17,$C457&lt;='1 - Titoli e shock'!$B$17),$D$42*M$6/2*(1-'1 - Titoli e shock'!$B$8),0)</f>
        <v>0</v>
      </c>
      <c r="N457" s="20">
        <f>IF(AND($B$42&lt;='1 - Titoli e shock'!$B$17,$C457&lt;='1 - Titoli e shock'!$B$17),$D$42*N$6/2*(1-'1 - Titoli e shock'!$B$8),0)</f>
        <v>0</v>
      </c>
      <c r="O457" s="20">
        <f>IF(AND($B$42&lt;='1 - Titoli e shock'!$B$17,$C457&lt;='1 - Titoli e shock'!$B$17),$D$42*O$6/2*(1-'1 - Titoli e shock'!$B$8),0)</f>
        <v>0</v>
      </c>
      <c r="P457" s="20">
        <f>IF(AND($B$42&lt;='1 - Titoli e shock'!$B$17,$C457&lt;='1 - Titoli e shock'!$B$17),$D$42*P$6/2*(1-'1 - Titoli e shock'!$B$8),0)</f>
        <v>0</v>
      </c>
      <c r="Q457" s="20">
        <f>IF(AND($B$42&lt;='1 - Titoli e shock'!$B$17,$C457&lt;='1 - Titoli e shock'!$B$17),$D$42*Q$6/2*(1-'1 - Titoli e shock'!$B$8),0)</f>
        <v>0</v>
      </c>
      <c r="R457" s="20">
        <f>IF(AND($B$42&lt;='1 - Titoli e shock'!$B$17,$C457&lt;='1 - Titoli e shock'!$B$17),$D$42*R$6/2*(1-'1 - Titoli e shock'!$B$8),0)</f>
        <v>0</v>
      </c>
      <c r="S457" s="20">
        <f>IF(AND($B$42&lt;='1 - Titoli e shock'!$B$17,$C457&lt;='1 - Titoli e shock'!$B$17),$D$42*S$6/2*(1-'1 - Titoli e shock'!$B$8),0)</f>
        <v>0</v>
      </c>
      <c r="T457" s="20">
        <f>IF(AND($B$42&lt;='1 - Titoli e shock'!$B$17,$C457&lt;='1 - Titoli e shock'!$B$17),$D$42*T$6/2*(1-'1 - Titoli e shock'!$B$8),0)</f>
        <v>0</v>
      </c>
      <c r="U457" s="20">
        <f>IF(AND($B$42&lt;='1 - Titoli e shock'!$B$17,$C457&lt;='1 - Titoli e shock'!$B$17),$D$42*U$6/2*(1-'1 - Titoli e shock'!$B$8),0)</f>
        <v>0</v>
      </c>
    </row>
    <row r="458" spans="1:21">
      <c r="A458" s="15" t="s">
        <v>267</v>
      </c>
      <c r="B458" s="22" t="str">
        <f>A42</f>
        <v>BTP 3,60% ott 2035</v>
      </c>
      <c r="C458" s="13">
        <f>EDATE($B$42,6*5)</f>
        <v>50496</v>
      </c>
      <c r="D458" s="23">
        <f>MAX(1,(YEAR(C458)-YEAR('1 - Titoli e shock'!$B$6))+IF(MONTH(C458)*100+DAY(C458)&gt;MONTH('1 - Titoli e shock'!$B$6)*100+DAY('1 - Titoli e shock'!$B$6),1,0))</f>
        <v>12</v>
      </c>
      <c r="F458" s="20">
        <f>IF(AND($B$42&lt;='1 - Titoli e shock'!$B$17,$C458&lt;='1 - Titoli e shock'!$B$17),$D$42*F$6/2*(1-'1 - Titoli e shock'!$B$8),0)</f>
        <v>0</v>
      </c>
      <c r="G458" s="20">
        <f>IF(AND($B$42&lt;='1 - Titoli e shock'!$B$17,$C458&lt;='1 - Titoli e shock'!$B$17),$D$42*G$6/2*(1-'1 - Titoli e shock'!$B$8),0)</f>
        <v>0</v>
      </c>
      <c r="H458" s="20">
        <f>IF(AND($B$42&lt;='1 - Titoli e shock'!$B$17,$C458&lt;='1 - Titoli e shock'!$B$17),$D$42*H$6/2*(1-'1 - Titoli e shock'!$B$8),0)</f>
        <v>0</v>
      </c>
      <c r="I458" s="20">
        <f>IF(AND($B$42&lt;='1 - Titoli e shock'!$B$17,$C458&lt;='1 - Titoli e shock'!$B$17),$D$42*I$6/2*(1-'1 - Titoli e shock'!$B$8),0)</f>
        <v>0</v>
      </c>
      <c r="J458" s="20">
        <f>IF(AND($B$42&lt;='1 - Titoli e shock'!$B$17,$C458&lt;='1 - Titoli e shock'!$B$17),$D$42*J$6/2*(1-'1 - Titoli e shock'!$B$8),0)</f>
        <v>0</v>
      </c>
      <c r="K458" s="20">
        <f>IF(AND($B$42&lt;='1 - Titoli e shock'!$B$17,$C458&lt;='1 - Titoli e shock'!$B$17),$D$42*K$6/2*(1-'1 - Titoli e shock'!$B$8),0)</f>
        <v>0</v>
      </c>
      <c r="L458" s="20">
        <f>IF(AND($B$42&lt;='1 - Titoli e shock'!$B$17,$C458&lt;='1 - Titoli e shock'!$B$17),$D$42*L$6/2*(1-'1 - Titoli e shock'!$B$8),0)</f>
        <v>0</v>
      </c>
      <c r="M458" s="20">
        <f>IF(AND($B$42&lt;='1 - Titoli e shock'!$B$17,$C458&lt;='1 - Titoli e shock'!$B$17),$D$42*M$6/2*(1-'1 - Titoli e shock'!$B$8),0)</f>
        <v>0</v>
      </c>
      <c r="N458" s="20">
        <f>IF(AND($B$42&lt;='1 - Titoli e shock'!$B$17,$C458&lt;='1 - Titoli e shock'!$B$17),$D$42*N$6/2*(1-'1 - Titoli e shock'!$B$8),0)</f>
        <v>0</v>
      </c>
      <c r="O458" s="20">
        <f>IF(AND($B$42&lt;='1 - Titoli e shock'!$B$17,$C458&lt;='1 - Titoli e shock'!$B$17),$D$42*O$6/2*(1-'1 - Titoli e shock'!$B$8),0)</f>
        <v>0</v>
      </c>
      <c r="P458" s="20">
        <f>IF(AND($B$42&lt;='1 - Titoli e shock'!$B$17,$C458&lt;='1 - Titoli e shock'!$B$17),$D$42*P$6/2*(1-'1 - Titoli e shock'!$B$8),0)</f>
        <v>0</v>
      </c>
      <c r="Q458" s="20">
        <f>IF(AND($B$42&lt;='1 - Titoli e shock'!$B$17,$C458&lt;='1 - Titoli e shock'!$B$17),$D$42*Q$6/2*(1-'1 - Titoli e shock'!$B$8),0)</f>
        <v>0</v>
      </c>
      <c r="R458" s="20">
        <f>IF(AND($B$42&lt;='1 - Titoli e shock'!$B$17,$C458&lt;='1 - Titoli e shock'!$B$17),$D$42*R$6/2*(1-'1 - Titoli e shock'!$B$8),0)</f>
        <v>0</v>
      </c>
      <c r="S458" s="20">
        <f>IF(AND($B$42&lt;='1 - Titoli e shock'!$B$17,$C458&lt;='1 - Titoli e shock'!$B$17),$D$42*S$6/2*(1-'1 - Titoli e shock'!$B$8),0)</f>
        <v>0</v>
      </c>
      <c r="T458" s="20">
        <f>IF(AND($B$42&lt;='1 - Titoli e shock'!$B$17,$C458&lt;='1 - Titoli e shock'!$B$17),$D$42*T$6/2*(1-'1 - Titoli e shock'!$B$8),0)</f>
        <v>0</v>
      </c>
      <c r="U458" s="20">
        <f>IF(AND($B$42&lt;='1 - Titoli e shock'!$B$17,$C458&lt;='1 - Titoli e shock'!$B$17),$D$42*U$6/2*(1-'1 - Titoli e shock'!$B$8),0)</f>
        <v>0</v>
      </c>
    </row>
    <row r="459" spans="1:21">
      <c r="A459" s="15" t="s">
        <v>267</v>
      </c>
      <c r="B459" s="22" t="str">
        <f>A42</f>
        <v>BTP 3,60% ott 2035</v>
      </c>
      <c r="C459" s="13">
        <f>EDATE($B$42,6*6)</f>
        <v>50679</v>
      </c>
      <c r="D459" s="23">
        <f>MAX(1,(YEAR(C459)-YEAR('1 - Titoli e shock'!$B$6))+IF(MONTH(C459)*100+DAY(C459)&gt;MONTH('1 - Titoli e shock'!$B$6)*100+DAY('1 - Titoli e shock'!$B$6),1,0))</f>
        <v>12</v>
      </c>
      <c r="F459" s="20">
        <f>IF(AND($B$42&lt;='1 - Titoli e shock'!$B$17,$C459&lt;='1 - Titoli e shock'!$B$17),$D$42*F$6/2*(1-'1 - Titoli e shock'!$B$8),0)</f>
        <v>0</v>
      </c>
      <c r="G459" s="20">
        <f>IF(AND($B$42&lt;='1 - Titoli e shock'!$B$17,$C459&lt;='1 - Titoli e shock'!$B$17),$D$42*G$6/2*(1-'1 - Titoli e shock'!$B$8),0)</f>
        <v>0</v>
      </c>
      <c r="H459" s="20">
        <f>IF(AND($B$42&lt;='1 - Titoli e shock'!$B$17,$C459&lt;='1 - Titoli e shock'!$B$17),$D$42*H$6/2*(1-'1 - Titoli e shock'!$B$8),0)</f>
        <v>0</v>
      </c>
      <c r="I459" s="20">
        <f>IF(AND($B$42&lt;='1 - Titoli e shock'!$B$17,$C459&lt;='1 - Titoli e shock'!$B$17),$D$42*I$6/2*(1-'1 - Titoli e shock'!$B$8),0)</f>
        <v>0</v>
      </c>
      <c r="J459" s="20">
        <f>IF(AND($B$42&lt;='1 - Titoli e shock'!$B$17,$C459&lt;='1 - Titoli e shock'!$B$17),$D$42*J$6/2*(1-'1 - Titoli e shock'!$B$8),0)</f>
        <v>0</v>
      </c>
      <c r="K459" s="20">
        <f>IF(AND($B$42&lt;='1 - Titoli e shock'!$B$17,$C459&lt;='1 - Titoli e shock'!$B$17),$D$42*K$6/2*(1-'1 - Titoli e shock'!$B$8),0)</f>
        <v>0</v>
      </c>
      <c r="L459" s="20">
        <f>IF(AND($B$42&lt;='1 - Titoli e shock'!$B$17,$C459&lt;='1 - Titoli e shock'!$B$17),$D$42*L$6/2*(1-'1 - Titoli e shock'!$B$8),0)</f>
        <v>0</v>
      </c>
      <c r="M459" s="20">
        <f>IF(AND($B$42&lt;='1 - Titoli e shock'!$B$17,$C459&lt;='1 - Titoli e shock'!$B$17),$D$42*M$6/2*(1-'1 - Titoli e shock'!$B$8),0)</f>
        <v>0</v>
      </c>
      <c r="N459" s="20">
        <f>IF(AND($B$42&lt;='1 - Titoli e shock'!$B$17,$C459&lt;='1 - Titoli e shock'!$B$17),$D$42*N$6/2*(1-'1 - Titoli e shock'!$B$8),0)</f>
        <v>0</v>
      </c>
      <c r="O459" s="20">
        <f>IF(AND($B$42&lt;='1 - Titoli e shock'!$B$17,$C459&lt;='1 - Titoli e shock'!$B$17),$D$42*O$6/2*(1-'1 - Titoli e shock'!$B$8),0)</f>
        <v>0</v>
      </c>
      <c r="P459" s="20">
        <f>IF(AND($B$42&lt;='1 - Titoli e shock'!$B$17,$C459&lt;='1 - Titoli e shock'!$B$17),$D$42*P$6/2*(1-'1 - Titoli e shock'!$B$8),0)</f>
        <v>0</v>
      </c>
      <c r="Q459" s="20">
        <f>IF(AND($B$42&lt;='1 - Titoli e shock'!$B$17,$C459&lt;='1 - Titoli e shock'!$B$17),$D$42*Q$6/2*(1-'1 - Titoli e shock'!$B$8),0)</f>
        <v>0</v>
      </c>
      <c r="R459" s="20">
        <f>IF(AND($B$42&lt;='1 - Titoli e shock'!$B$17,$C459&lt;='1 - Titoli e shock'!$B$17),$D$42*R$6/2*(1-'1 - Titoli e shock'!$B$8),0)</f>
        <v>0</v>
      </c>
      <c r="S459" s="20">
        <f>IF(AND($B$42&lt;='1 - Titoli e shock'!$B$17,$C459&lt;='1 - Titoli e shock'!$B$17),$D$42*S$6/2*(1-'1 - Titoli e shock'!$B$8),0)</f>
        <v>0</v>
      </c>
      <c r="T459" s="20">
        <f>IF(AND($B$42&lt;='1 - Titoli e shock'!$B$17,$C459&lt;='1 - Titoli e shock'!$B$17),$D$42*T$6/2*(1-'1 - Titoli e shock'!$B$8),0)</f>
        <v>0</v>
      </c>
      <c r="U459" s="20">
        <f>IF(AND($B$42&lt;='1 - Titoli e shock'!$B$17,$C459&lt;='1 - Titoli e shock'!$B$17),$D$42*U$6/2*(1-'1 - Titoli e shock'!$B$8),0)</f>
        <v>0</v>
      </c>
    </row>
    <row r="460" spans="1:21">
      <c r="A460" s="15" t="s">
        <v>267</v>
      </c>
      <c r="B460" s="22" t="str">
        <f>A42</f>
        <v>BTP 3,60% ott 2035</v>
      </c>
      <c r="C460" s="13">
        <f>EDATE($B$42,6*7)</f>
        <v>50861</v>
      </c>
      <c r="D460" s="23">
        <f>MAX(1,(YEAR(C460)-YEAR('1 - Titoli e shock'!$B$6))+IF(MONTH(C460)*100+DAY(C460)&gt;MONTH('1 - Titoli e shock'!$B$6)*100+DAY('1 - Titoli e shock'!$B$6),1,0))</f>
        <v>13</v>
      </c>
      <c r="F460" s="20">
        <f>IF(AND($B$42&lt;='1 - Titoli e shock'!$B$17,$C460&lt;='1 - Titoli e shock'!$B$17),$D$42*F$6/2*(1-'1 - Titoli e shock'!$B$8),0)</f>
        <v>0</v>
      </c>
      <c r="G460" s="20">
        <f>IF(AND($B$42&lt;='1 - Titoli e shock'!$B$17,$C460&lt;='1 - Titoli e shock'!$B$17),$D$42*G$6/2*(1-'1 - Titoli e shock'!$B$8),0)</f>
        <v>0</v>
      </c>
      <c r="H460" s="20">
        <f>IF(AND($B$42&lt;='1 - Titoli e shock'!$B$17,$C460&lt;='1 - Titoli e shock'!$B$17),$D$42*H$6/2*(1-'1 - Titoli e shock'!$B$8),0)</f>
        <v>0</v>
      </c>
      <c r="I460" s="20">
        <f>IF(AND($B$42&lt;='1 - Titoli e shock'!$B$17,$C460&lt;='1 - Titoli e shock'!$B$17),$D$42*I$6/2*(1-'1 - Titoli e shock'!$B$8),0)</f>
        <v>0</v>
      </c>
      <c r="J460" s="20">
        <f>IF(AND($B$42&lt;='1 - Titoli e shock'!$B$17,$C460&lt;='1 - Titoli e shock'!$B$17),$D$42*J$6/2*(1-'1 - Titoli e shock'!$B$8),0)</f>
        <v>0</v>
      </c>
      <c r="K460" s="20">
        <f>IF(AND($B$42&lt;='1 - Titoli e shock'!$B$17,$C460&lt;='1 - Titoli e shock'!$B$17),$D$42*K$6/2*(1-'1 - Titoli e shock'!$B$8),0)</f>
        <v>0</v>
      </c>
      <c r="L460" s="20">
        <f>IF(AND($B$42&lt;='1 - Titoli e shock'!$B$17,$C460&lt;='1 - Titoli e shock'!$B$17),$D$42*L$6/2*(1-'1 - Titoli e shock'!$B$8),0)</f>
        <v>0</v>
      </c>
      <c r="M460" s="20">
        <f>IF(AND($B$42&lt;='1 - Titoli e shock'!$B$17,$C460&lt;='1 - Titoli e shock'!$B$17),$D$42*M$6/2*(1-'1 - Titoli e shock'!$B$8),0)</f>
        <v>0</v>
      </c>
      <c r="N460" s="20">
        <f>IF(AND($B$42&lt;='1 - Titoli e shock'!$B$17,$C460&lt;='1 - Titoli e shock'!$B$17),$D$42*N$6/2*(1-'1 - Titoli e shock'!$B$8),0)</f>
        <v>0</v>
      </c>
      <c r="O460" s="20">
        <f>IF(AND($B$42&lt;='1 - Titoli e shock'!$B$17,$C460&lt;='1 - Titoli e shock'!$B$17),$D$42*O$6/2*(1-'1 - Titoli e shock'!$B$8),0)</f>
        <v>0</v>
      </c>
      <c r="P460" s="20">
        <f>IF(AND($B$42&lt;='1 - Titoli e shock'!$B$17,$C460&lt;='1 - Titoli e shock'!$B$17),$D$42*P$6/2*(1-'1 - Titoli e shock'!$B$8),0)</f>
        <v>0</v>
      </c>
      <c r="Q460" s="20">
        <f>IF(AND($B$42&lt;='1 - Titoli e shock'!$B$17,$C460&lt;='1 - Titoli e shock'!$B$17),$D$42*Q$6/2*(1-'1 - Titoli e shock'!$B$8),0)</f>
        <v>0</v>
      </c>
      <c r="R460" s="20">
        <f>IF(AND($B$42&lt;='1 - Titoli e shock'!$B$17,$C460&lt;='1 - Titoli e shock'!$B$17),$D$42*R$6/2*(1-'1 - Titoli e shock'!$B$8),0)</f>
        <v>0</v>
      </c>
      <c r="S460" s="20">
        <f>IF(AND($B$42&lt;='1 - Titoli e shock'!$B$17,$C460&lt;='1 - Titoli e shock'!$B$17),$D$42*S$6/2*(1-'1 - Titoli e shock'!$B$8),0)</f>
        <v>0</v>
      </c>
      <c r="T460" s="20">
        <f>IF(AND($B$42&lt;='1 - Titoli e shock'!$B$17,$C460&lt;='1 - Titoli e shock'!$B$17),$D$42*T$6/2*(1-'1 - Titoli e shock'!$B$8),0)</f>
        <v>0</v>
      </c>
      <c r="U460" s="20">
        <f>IF(AND($B$42&lt;='1 - Titoli e shock'!$B$17,$C460&lt;='1 - Titoli e shock'!$B$17),$D$42*U$6/2*(1-'1 - Titoli e shock'!$B$8),0)</f>
        <v>0</v>
      </c>
    </row>
    <row r="461" spans="1:21">
      <c r="A461" s="15" t="s">
        <v>267</v>
      </c>
      <c r="B461" s="22" t="str">
        <f>A42</f>
        <v>BTP 3,60% ott 2035</v>
      </c>
      <c r="C461" s="13">
        <f>EDATE($B$42,6*8)</f>
        <v>51044</v>
      </c>
      <c r="D461" s="23">
        <f>MAX(1,(YEAR(C461)-YEAR('1 - Titoli e shock'!$B$6))+IF(MONTH(C461)*100+DAY(C461)&gt;MONTH('1 - Titoli e shock'!$B$6)*100+DAY('1 - Titoli e shock'!$B$6),1,0))</f>
        <v>13</v>
      </c>
      <c r="F461" s="20">
        <f>IF(AND($B$42&lt;='1 - Titoli e shock'!$B$17,$C461&lt;='1 - Titoli e shock'!$B$17),$D$42*F$6/2*(1-'1 - Titoli e shock'!$B$8),0)</f>
        <v>0</v>
      </c>
      <c r="G461" s="20">
        <f>IF(AND($B$42&lt;='1 - Titoli e shock'!$B$17,$C461&lt;='1 - Titoli e shock'!$B$17),$D$42*G$6/2*(1-'1 - Titoli e shock'!$B$8),0)</f>
        <v>0</v>
      </c>
      <c r="H461" s="20">
        <f>IF(AND($B$42&lt;='1 - Titoli e shock'!$B$17,$C461&lt;='1 - Titoli e shock'!$B$17),$D$42*H$6/2*(1-'1 - Titoli e shock'!$B$8),0)</f>
        <v>0</v>
      </c>
      <c r="I461" s="20">
        <f>IF(AND($B$42&lt;='1 - Titoli e shock'!$B$17,$C461&lt;='1 - Titoli e shock'!$B$17),$D$42*I$6/2*(1-'1 - Titoli e shock'!$B$8),0)</f>
        <v>0</v>
      </c>
      <c r="J461" s="20">
        <f>IF(AND($B$42&lt;='1 - Titoli e shock'!$B$17,$C461&lt;='1 - Titoli e shock'!$B$17),$D$42*J$6/2*(1-'1 - Titoli e shock'!$B$8),0)</f>
        <v>0</v>
      </c>
      <c r="K461" s="20">
        <f>IF(AND($B$42&lt;='1 - Titoli e shock'!$B$17,$C461&lt;='1 - Titoli e shock'!$B$17),$D$42*K$6/2*(1-'1 - Titoli e shock'!$B$8),0)</f>
        <v>0</v>
      </c>
      <c r="L461" s="20">
        <f>IF(AND($B$42&lt;='1 - Titoli e shock'!$B$17,$C461&lt;='1 - Titoli e shock'!$B$17),$D$42*L$6/2*(1-'1 - Titoli e shock'!$B$8),0)</f>
        <v>0</v>
      </c>
      <c r="M461" s="20">
        <f>IF(AND($B$42&lt;='1 - Titoli e shock'!$B$17,$C461&lt;='1 - Titoli e shock'!$B$17),$D$42*M$6/2*(1-'1 - Titoli e shock'!$B$8),0)</f>
        <v>0</v>
      </c>
      <c r="N461" s="20">
        <f>IF(AND($B$42&lt;='1 - Titoli e shock'!$B$17,$C461&lt;='1 - Titoli e shock'!$B$17),$D$42*N$6/2*(1-'1 - Titoli e shock'!$B$8),0)</f>
        <v>0</v>
      </c>
      <c r="O461" s="20">
        <f>IF(AND($B$42&lt;='1 - Titoli e shock'!$B$17,$C461&lt;='1 - Titoli e shock'!$B$17),$D$42*O$6/2*(1-'1 - Titoli e shock'!$B$8),0)</f>
        <v>0</v>
      </c>
      <c r="P461" s="20">
        <f>IF(AND($B$42&lt;='1 - Titoli e shock'!$B$17,$C461&lt;='1 - Titoli e shock'!$B$17),$D$42*P$6/2*(1-'1 - Titoli e shock'!$B$8),0)</f>
        <v>0</v>
      </c>
      <c r="Q461" s="20">
        <f>IF(AND($B$42&lt;='1 - Titoli e shock'!$B$17,$C461&lt;='1 - Titoli e shock'!$B$17),$D$42*Q$6/2*(1-'1 - Titoli e shock'!$B$8),0)</f>
        <v>0</v>
      </c>
      <c r="R461" s="20">
        <f>IF(AND($B$42&lt;='1 - Titoli e shock'!$B$17,$C461&lt;='1 - Titoli e shock'!$B$17),$D$42*R$6/2*(1-'1 - Titoli e shock'!$B$8),0)</f>
        <v>0</v>
      </c>
      <c r="S461" s="20">
        <f>IF(AND($B$42&lt;='1 - Titoli e shock'!$B$17,$C461&lt;='1 - Titoli e shock'!$B$17),$D$42*S$6/2*(1-'1 - Titoli e shock'!$B$8),0)</f>
        <v>0</v>
      </c>
      <c r="T461" s="20">
        <f>IF(AND($B$42&lt;='1 - Titoli e shock'!$B$17,$C461&lt;='1 - Titoli e shock'!$B$17),$D$42*T$6/2*(1-'1 - Titoli e shock'!$B$8),0)</f>
        <v>0</v>
      </c>
      <c r="U461" s="20">
        <f>IF(AND($B$42&lt;='1 - Titoli e shock'!$B$17,$C461&lt;='1 - Titoli e shock'!$B$17),$D$42*U$6/2*(1-'1 - Titoli e shock'!$B$8),0)</f>
        <v>0</v>
      </c>
    </row>
    <row r="462" spans="1:21">
      <c r="A462" s="15" t="s">
        <v>267</v>
      </c>
      <c r="B462" s="22" t="str">
        <f>A42</f>
        <v>BTP 3,60% ott 2035</v>
      </c>
      <c r="C462" s="13">
        <f>EDATE($B$42,6*9)</f>
        <v>51227</v>
      </c>
      <c r="D462" s="23">
        <f>MAX(1,(YEAR(C462)-YEAR('1 - Titoli e shock'!$B$6))+IF(MONTH(C462)*100+DAY(C462)&gt;MONTH('1 - Titoli e shock'!$B$6)*100+DAY('1 - Titoli e shock'!$B$6),1,0))</f>
        <v>14</v>
      </c>
      <c r="F462" s="20">
        <f>IF(AND($B$42&lt;='1 - Titoli e shock'!$B$17,$C462&lt;='1 - Titoli e shock'!$B$17),$D$42*F$6/2*(1-'1 - Titoli e shock'!$B$8),0)</f>
        <v>0</v>
      </c>
      <c r="G462" s="20">
        <f>IF(AND($B$42&lt;='1 - Titoli e shock'!$B$17,$C462&lt;='1 - Titoli e shock'!$B$17),$D$42*G$6/2*(1-'1 - Titoli e shock'!$B$8),0)</f>
        <v>0</v>
      </c>
      <c r="H462" s="20">
        <f>IF(AND($B$42&lt;='1 - Titoli e shock'!$B$17,$C462&lt;='1 - Titoli e shock'!$B$17),$D$42*H$6/2*(1-'1 - Titoli e shock'!$B$8),0)</f>
        <v>0</v>
      </c>
      <c r="I462" s="20">
        <f>IF(AND($B$42&lt;='1 - Titoli e shock'!$B$17,$C462&lt;='1 - Titoli e shock'!$B$17),$D$42*I$6/2*(1-'1 - Titoli e shock'!$B$8),0)</f>
        <v>0</v>
      </c>
      <c r="J462" s="20">
        <f>IF(AND($B$42&lt;='1 - Titoli e shock'!$B$17,$C462&lt;='1 - Titoli e shock'!$B$17),$D$42*J$6/2*(1-'1 - Titoli e shock'!$B$8),0)</f>
        <v>0</v>
      </c>
      <c r="K462" s="20">
        <f>IF(AND($B$42&lt;='1 - Titoli e shock'!$B$17,$C462&lt;='1 - Titoli e shock'!$B$17),$D$42*K$6/2*(1-'1 - Titoli e shock'!$B$8),0)</f>
        <v>0</v>
      </c>
      <c r="L462" s="20">
        <f>IF(AND($B$42&lt;='1 - Titoli e shock'!$B$17,$C462&lt;='1 - Titoli e shock'!$B$17),$D$42*L$6/2*(1-'1 - Titoli e shock'!$B$8),0)</f>
        <v>0</v>
      </c>
      <c r="M462" s="20">
        <f>IF(AND($B$42&lt;='1 - Titoli e shock'!$B$17,$C462&lt;='1 - Titoli e shock'!$B$17),$D$42*M$6/2*(1-'1 - Titoli e shock'!$B$8),0)</f>
        <v>0</v>
      </c>
      <c r="N462" s="20">
        <f>IF(AND($B$42&lt;='1 - Titoli e shock'!$B$17,$C462&lt;='1 - Titoli e shock'!$B$17),$D$42*N$6/2*(1-'1 - Titoli e shock'!$B$8),0)</f>
        <v>0</v>
      </c>
      <c r="O462" s="20">
        <f>IF(AND($B$42&lt;='1 - Titoli e shock'!$B$17,$C462&lt;='1 - Titoli e shock'!$B$17),$D$42*O$6/2*(1-'1 - Titoli e shock'!$B$8),0)</f>
        <v>0</v>
      </c>
      <c r="P462" s="20">
        <f>IF(AND($B$42&lt;='1 - Titoli e shock'!$B$17,$C462&lt;='1 - Titoli e shock'!$B$17),$D$42*P$6/2*(1-'1 - Titoli e shock'!$B$8),0)</f>
        <v>0</v>
      </c>
      <c r="Q462" s="20">
        <f>IF(AND($B$42&lt;='1 - Titoli e shock'!$B$17,$C462&lt;='1 - Titoli e shock'!$B$17),$D$42*Q$6/2*(1-'1 - Titoli e shock'!$B$8),0)</f>
        <v>0</v>
      </c>
      <c r="R462" s="20">
        <f>IF(AND($B$42&lt;='1 - Titoli e shock'!$B$17,$C462&lt;='1 - Titoli e shock'!$B$17),$D$42*R$6/2*(1-'1 - Titoli e shock'!$B$8),0)</f>
        <v>0</v>
      </c>
      <c r="S462" s="20">
        <f>IF(AND($B$42&lt;='1 - Titoli e shock'!$B$17,$C462&lt;='1 - Titoli e shock'!$B$17),$D$42*S$6/2*(1-'1 - Titoli e shock'!$B$8),0)</f>
        <v>0</v>
      </c>
      <c r="T462" s="20">
        <f>IF(AND($B$42&lt;='1 - Titoli e shock'!$B$17,$C462&lt;='1 - Titoli e shock'!$B$17),$D$42*T$6/2*(1-'1 - Titoli e shock'!$B$8),0)</f>
        <v>0</v>
      </c>
      <c r="U462" s="20">
        <f>IF(AND($B$42&lt;='1 - Titoli e shock'!$B$17,$C462&lt;='1 - Titoli e shock'!$B$17),$D$42*U$6/2*(1-'1 - Titoli e shock'!$B$8),0)</f>
        <v>0</v>
      </c>
    </row>
    <row r="463" spans="1:21">
      <c r="A463" s="15" t="s">
        <v>267</v>
      </c>
      <c r="B463" s="22" t="str">
        <f>A42</f>
        <v>BTP 3,60% ott 2035</v>
      </c>
      <c r="C463" s="13">
        <f>EDATE($B$42,6*10)</f>
        <v>51410</v>
      </c>
      <c r="D463" s="23">
        <f>MAX(1,(YEAR(C463)-YEAR('1 - Titoli e shock'!$B$6))+IF(MONTH(C463)*100+DAY(C463)&gt;MONTH('1 - Titoli e shock'!$B$6)*100+DAY('1 - Titoli e shock'!$B$6),1,0))</f>
        <v>14</v>
      </c>
      <c r="F463" s="20">
        <f>IF(AND($B$42&lt;='1 - Titoli e shock'!$B$17,$C463&lt;='1 - Titoli e shock'!$B$17),$D$42*F$6/2*(1-'1 - Titoli e shock'!$B$8),0)</f>
        <v>0</v>
      </c>
      <c r="G463" s="20">
        <f>IF(AND($B$42&lt;='1 - Titoli e shock'!$B$17,$C463&lt;='1 - Titoli e shock'!$B$17),$D$42*G$6/2*(1-'1 - Titoli e shock'!$B$8),0)</f>
        <v>0</v>
      </c>
      <c r="H463" s="20">
        <f>IF(AND($B$42&lt;='1 - Titoli e shock'!$B$17,$C463&lt;='1 - Titoli e shock'!$B$17),$D$42*H$6/2*(1-'1 - Titoli e shock'!$B$8),0)</f>
        <v>0</v>
      </c>
      <c r="I463" s="20">
        <f>IF(AND($B$42&lt;='1 - Titoli e shock'!$B$17,$C463&lt;='1 - Titoli e shock'!$B$17),$D$42*I$6/2*(1-'1 - Titoli e shock'!$B$8),0)</f>
        <v>0</v>
      </c>
      <c r="J463" s="20">
        <f>IF(AND($B$42&lt;='1 - Titoli e shock'!$B$17,$C463&lt;='1 - Titoli e shock'!$B$17),$D$42*J$6/2*(1-'1 - Titoli e shock'!$B$8),0)</f>
        <v>0</v>
      </c>
      <c r="K463" s="20">
        <f>IF(AND($B$42&lt;='1 - Titoli e shock'!$B$17,$C463&lt;='1 - Titoli e shock'!$B$17),$D$42*K$6/2*(1-'1 - Titoli e shock'!$B$8),0)</f>
        <v>0</v>
      </c>
      <c r="L463" s="20">
        <f>IF(AND($B$42&lt;='1 - Titoli e shock'!$B$17,$C463&lt;='1 - Titoli e shock'!$B$17),$D$42*L$6/2*(1-'1 - Titoli e shock'!$B$8),0)</f>
        <v>0</v>
      </c>
      <c r="M463" s="20">
        <f>IF(AND($B$42&lt;='1 - Titoli e shock'!$B$17,$C463&lt;='1 - Titoli e shock'!$B$17),$D$42*M$6/2*(1-'1 - Titoli e shock'!$B$8),0)</f>
        <v>0</v>
      </c>
      <c r="N463" s="20">
        <f>IF(AND($B$42&lt;='1 - Titoli e shock'!$B$17,$C463&lt;='1 - Titoli e shock'!$B$17),$D$42*N$6/2*(1-'1 - Titoli e shock'!$B$8),0)</f>
        <v>0</v>
      </c>
      <c r="O463" s="20">
        <f>IF(AND($B$42&lt;='1 - Titoli e shock'!$B$17,$C463&lt;='1 - Titoli e shock'!$B$17),$D$42*O$6/2*(1-'1 - Titoli e shock'!$B$8),0)</f>
        <v>0</v>
      </c>
      <c r="P463" s="20">
        <f>IF(AND($B$42&lt;='1 - Titoli e shock'!$B$17,$C463&lt;='1 - Titoli e shock'!$B$17),$D$42*P$6/2*(1-'1 - Titoli e shock'!$B$8),0)</f>
        <v>0</v>
      </c>
      <c r="Q463" s="20">
        <f>IF(AND($B$42&lt;='1 - Titoli e shock'!$B$17,$C463&lt;='1 - Titoli e shock'!$B$17),$D$42*Q$6/2*(1-'1 - Titoli e shock'!$B$8),0)</f>
        <v>0</v>
      </c>
      <c r="R463" s="20">
        <f>IF(AND($B$42&lt;='1 - Titoli e shock'!$B$17,$C463&lt;='1 - Titoli e shock'!$B$17),$D$42*R$6/2*(1-'1 - Titoli e shock'!$B$8),0)</f>
        <v>0</v>
      </c>
      <c r="S463" s="20">
        <f>IF(AND($B$42&lt;='1 - Titoli e shock'!$B$17,$C463&lt;='1 - Titoli e shock'!$B$17),$D$42*S$6/2*(1-'1 - Titoli e shock'!$B$8),0)</f>
        <v>0</v>
      </c>
      <c r="T463" s="20">
        <f>IF(AND($B$42&lt;='1 - Titoli e shock'!$B$17,$C463&lt;='1 - Titoli e shock'!$B$17),$D$42*T$6/2*(1-'1 - Titoli e shock'!$B$8),0)</f>
        <v>0</v>
      </c>
      <c r="U463" s="20">
        <f>IF(AND($B$42&lt;='1 - Titoli e shock'!$B$17,$C463&lt;='1 - Titoli e shock'!$B$17),$D$42*U$6/2*(1-'1 - Titoli e shock'!$B$8),0)</f>
        <v>0</v>
      </c>
    </row>
    <row r="464" spans="1:21">
      <c r="A464" s="15" t="s">
        <v>267</v>
      </c>
      <c r="B464" s="22" t="str">
        <f>A42</f>
        <v>BTP 3,60% ott 2035</v>
      </c>
      <c r="C464" s="13">
        <f>EDATE($B$42,6*11)</f>
        <v>51592</v>
      </c>
      <c r="D464" s="23">
        <f>MAX(1,(YEAR(C464)-YEAR('1 - Titoli e shock'!$B$6))+IF(MONTH(C464)*100+DAY(C464)&gt;MONTH('1 - Titoli e shock'!$B$6)*100+DAY('1 - Titoli e shock'!$B$6),1,0))</f>
        <v>15</v>
      </c>
      <c r="F464" s="20">
        <f>IF(AND($B$42&lt;='1 - Titoli e shock'!$B$17,$C464&lt;='1 - Titoli e shock'!$B$17),$D$42*F$6/2*(1-'1 - Titoli e shock'!$B$8),0)</f>
        <v>0</v>
      </c>
      <c r="G464" s="20">
        <f>IF(AND($B$42&lt;='1 - Titoli e shock'!$B$17,$C464&lt;='1 - Titoli e shock'!$B$17),$D$42*G$6/2*(1-'1 - Titoli e shock'!$B$8),0)</f>
        <v>0</v>
      </c>
      <c r="H464" s="20">
        <f>IF(AND($B$42&lt;='1 - Titoli e shock'!$B$17,$C464&lt;='1 - Titoli e shock'!$B$17),$D$42*H$6/2*(1-'1 - Titoli e shock'!$B$8),0)</f>
        <v>0</v>
      </c>
      <c r="I464" s="20">
        <f>IF(AND($B$42&lt;='1 - Titoli e shock'!$B$17,$C464&lt;='1 - Titoli e shock'!$B$17),$D$42*I$6/2*(1-'1 - Titoli e shock'!$B$8),0)</f>
        <v>0</v>
      </c>
      <c r="J464" s="20">
        <f>IF(AND($B$42&lt;='1 - Titoli e shock'!$B$17,$C464&lt;='1 - Titoli e shock'!$B$17),$D$42*J$6/2*(1-'1 - Titoli e shock'!$B$8),0)</f>
        <v>0</v>
      </c>
      <c r="K464" s="20">
        <f>IF(AND($B$42&lt;='1 - Titoli e shock'!$B$17,$C464&lt;='1 - Titoli e shock'!$B$17),$D$42*K$6/2*(1-'1 - Titoli e shock'!$B$8),0)</f>
        <v>0</v>
      </c>
      <c r="L464" s="20">
        <f>IF(AND($B$42&lt;='1 - Titoli e shock'!$B$17,$C464&lt;='1 - Titoli e shock'!$B$17),$D$42*L$6/2*(1-'1 - Titoli e shock'!$B$8),0)</f>
        <v>0</v>
      </c>
      <c r="M464" s="20">
        <f>IF(AND($B$42&lt;='1 - Titoli e shock'!$B$17,$C464&lt;='1 - Titoli e shock'!$B$17),$D$42*M$6/2*(1-'1 - Titoli e shock'!$B$8),0)</f>
        <v>0</v>
      </c>
      <c r="N464" s="20">
        <f>IF(AND($B$42&lt;='1 - Titoli e shock'!$B$17,$C464&lt;='1 - Titoli e shock'!$B$17),$D$42*N$6/2*(1-'1 - Titoli e shock'!$B$8),0)</f>
        <v>0</v>
      </c>
      <c r="O464" s="20">
        <f>IF(AND($B$42&lt;='1 - Titoli e shock'!$B$17,$C464&lt;='1 - Titoli e shock'!$B$17),$D$42*O$6/2*(1-'1 - Titoli e shock'!$B$8),0)</f>
        <v>0</v>
      </c>
      <c r="P464" s="20">
        <f>IF(AND($B$42&lt;='1 - Titoli e shock'!$B$17,$C464&lt;='1 - Titoli e shock'!$B$17),$D$42*P$6/2*(1-'1 - Titoli e shock'!$B$8),0)</f>
        <v>0</v>
      </c>
      <c r="Q464" s="20">
        <f>IF(AND($B$42&lt;='1 - Titoli e shock'!$B$17,$C464&lt;='1 - Titoli e shock'!$B$17),$D$42*Q$6/2*(1-'1 - Titoli e shock'!$B$8),0)</f>
        <v>0</v>
      </c>
      <c r="R464" s="20">
        <f>IF(AND($B$42&lt;='1 - Titoli e shock'!$B$17,$C464&lt;='1 - Titoli e shock'!$B$17),$D$42*R$6/2*(1-'1 - Titoli e shock'!$B$8),0)</f>
        <v>0</v>
      </c>
      <c r="S464" s="20">
        <f>IF(AND($B$42&lt;='1 - Titoli e shock'!$B$17,$C464&lt;='1 - Titoli e shock'!$B$17),$D$42*S$6/2*(1-'1 - Titoli e shock'!$B$8),0)</f>
        <v>0</v>
      </c>
      <c r="T464" s="20">
        <f>IF(AND($B$42&lt;='1 - Titoli e shock'!$B$17,$C464&lt;='1 - Titoli e shock'!$B$17),$D$42*T$6/2*(1-'1 - Titoli e shock'!$B$8),0)</f>
        <v>0</v>
      </c>
      <c r="U464" s="20">
        <f>IF(AND($B$42&lt;='1 - Titoli e shock'!$B$17,$C464&lt;='1 - Titoli e shock'!$B$17),$D$42*U$6/2*(1-'1 - Titoli e shock'!$B$8),0)</f>
        <v>0</v>
      </c>
    </row>
    <row r="465" spans="1:21">
      <c r="A465" s="15" t="s">
        <v>267</v>
      </c>
      <c r="B465" s="22" t="str">
        <f>A42</f>
        <v>BTP 3,60% ott 2035</v>
      </c>
      <c r="C465" s="13">
        <f>EDATE($B$42,6*12)</f>
        <v>51775</v>
      </c>
      <c r="D465" s="23">
        <f>MAX(1,(YEAR(C465)-YEAR('1 - Titoli e shock'!$B$6))+IF(MONTH(C465)*100+DAY(C465)&gt;MONTH('1 - Titoli e shock'!$B$6)*100+DAY('1 - Titoli e shock'!$B$6),1,0))</f>
        <v>15</v>
      </c>
      <c r="F465" s="20">
        <f>IF(AND($B$42&lt;='1 - Titoli e shock'!$B$17,$C465&lt;='1 - Titoli e shock'!$B$17),$D$42*F$6/2*(1-'1 - Titoli e shock'!$B$8),0)</f>
        <v>0</v>
      </c>
      <c r="G465" s="20">
        <f>IF(AND($B$42&lt;='1 - Titoli e shock'!$B$17,$C465&lt;='1 - Titoli e shock'!$B$17),$D$42*G$6/2*(1-'1 - Titoli e shock'!$B$8),0)</f>
        <v>0</v>
      </c>
      <c r="H465" s="20">
        <f>IF(AND($B$42&lt;='1 - Titoli e shock'!$B$17,$C465&lt;='1 - Titoli e shock'!$B$17),$D$42*H$6/2*(1-'1 - Titoli e shock'!$B$8),0)</f>
        <v>0</v>
      </c>
      <c r="I465" s="20">
        <f>IF(AND($B$42&lt;='1 - Titoli e shock'!$B$17,$C465&lt;='1 - Titoli e shock'!$B$17),$D$42*I$6/2*(1-'1 - Titoli e shock'!$B$8),0)</f>
        <v>0</v>
      </c>
      <c r="J465" s="20">
        <f>IF(AND($B$42&lt;='1 - Titoli e shock'!$B$17,$C465&lt;='1 - Titoli e shock'!$B$17),$D$42*J$6/2*(1-'1 - Titoli e shock'!$B$8),0)</f>
        <v>0</v>
      </c>
      <c r="K465" s="20">
        <f>IF(AND($B$42&lt;='1 - Titoli e shock'!$B$17,$C465&lt;='1 - Titoli e shock'!$B$17),$D$42*K$6/2*(1-'1 - Titoli e shock'!$B$8),0)</f>
        <v>0</v>
      </c>
      <c r="L465" s="20">
        <f>IF(AND($B$42&lt;='1 - Titoli e shock'!$B$17,$C465&lt;='1 - Titoli e shock'!$B$17),$D$42*L$6/2*(1-'1 - Titoli e shock'!$B$8),0)</f>
        <v>0</v>
      </c>
      <c r="M465" s="20">
        <f>IF(AND($B$42&lt;='1 - Titoli e shock'!$B$17,$C465&lt;='1 - Titoli e shock'!$B$17),$D$42*M$6/2*(1-'1 - Titoli e shock'!$B$8),0)</f>
        <v>0</v>
      </c>
      <c r="N465" s="20">
        <f>IF(AND($B$42&lt;='1 - Titoli e shock'!$B$17,$C465&lt;='1 - Titoli e shock'!$B$17),$D$42*N$6/2*(1-'1 - Titoli e shock'!$B$8),0)</f>
        <v>0</v>
      </c>
      <c r="O465" s="20">
        <f>IF(AND($B$42&lt;='1 - Titoli e shock'!$B$17,$C465&lt;='1 - Titoli e shock'!$B$17),$D$42*O$6/2*(1-'1 - Titoli e shock'!$B$8),0)</f>
        <v>0</v>
      </c>
      <c r="P465" s="20">
        <f>IF(AND($B$42&lt;='1 - Titoli e shock'!$B$17,$C465&lt;='1 - Titoli e shock'!$B$17),$D$42*P$6/2*(1-'1 - Titoli e shock'!$B$8),0)</f>
        <v>0</v>
      </c>
      <c r="Q465" s="20">
        <f>IF(AND($B$42&lt;='1 - Titoli e shock'!$B$17,$C465&lt;='1 - Titoli e shock'!$B$17),$D$42*Q$6/2*(1-'1 - Titoli e shock'!$B$8),0)</f>
        <v>0</v>
      </c>
      <c r="R465" s="20">
        <f>IF(AND($B$42&lt;='1 - Titoli e shock'!$B$17,$C465&lt;='1 - Titoli e shock'!$B$17),$D$42*R$6/2*(1-'1 - Titoli e shock'!$B$8),0)</f>
        <v>0</v>
      </c>
      <c r="S465" s="20">
        <f>IF(AND($B$42&lt;='1 - Titoli e shock'!$B$17,$C465&lt;='1 - Titoli e shock'!$B$17),$D$42*S$6/2*(1-'1 - Titoli e shock'!$B$8),0)</f>
        <v>0</v>
      </c>
      <c r="T465" s="20">
        <f>IF(AND($B$42&lt;='1 - Titoli e shock'!$B$17,$C465&lt;='1 - Titoli e shock'!$B$17),$D$42*T$6/2*(1-'1 - Titoli e shock'!$B$8),0)</f>
        <v>0</v>
      </c>
      <c r="U465" s="20">
        <f>IF(AND($B$42&lt;='1 - Titoli e shock'!$B$17,$C465&lt;='1 - Titoli e shock'!$B$17),$D$42*U$6/2*(1-'1 - Titoli e shock'!$B$8),0)</f>
        <v>0</v>
      </c>
    </row>
    <row r="466" spans="1:21">
      <c r="A466" s="15" t="s">
        <v>267</v>
      </c>
      <c r="B466" s="22" t="str">
        <f>A42</f>
        <v>BTP 3,60% ott 2035</v>
      </c>
      <c r="C466" s="13">
        <f>EDATE($B$42,6*13)</f>
        <v>51957</v>
      </c>
      <c r="D466" s="23">
        <f>MAX(1,(YEAR(C466)-YEAR('1 - Titoli e shock'!$B$6))+IF(MONTH(C466)*100+DAY(C466)&gt;MONTH('1 - Titoli e shock'!$B$6)*100+DAY('1 - Titoli e shock'!$B$6),1,0))</f>
        <v>16</v>
      </c>
      <c r="F466" s="20">
        <f>IF(AND($B$42&lt;='1 - Titoli e shock'!$B$17,$C466&lt;='1 - Titoli e shock'!$B$17),$D$42*F$6/2*(1-'1 - Titoli e shock'!$B$8),0)</f>
        <v>0</v>
      </c>
      <c r="G466" s="20">
        <f>IF(AND($B$42&lt;='1 - Titoli e shock'!$B$17,$C466&lt;='1 - Titoli e shock'!$B$17),$D$42*G$6/2*(1-'1 - Titoli e shock'!$B$8),0)</f>
        <v>0</v>
      </c>
      <c r="H466" s="20">
        <f>IF(AND($B$42&lt;='1 - Titoli e shock'!$B$17,$C466&lt;='1 - Titoli e shock'!$B$17),$D$42*H$6/2*(1-'1 - Titoli e shock'!$B$8),0)</f>
        <v>0</v>
      </c>
      <c r="I466" s="20">
        <f>IF(AND($B$42&lt;='1 - Titoli e shock'!$B$17,$C466&lt;='1 - Titoli e shock'!$B$17),$D$42*I$6/2*(1-'1 - Titoli e shock'!$B$8),0)</f>
        <v>0</v>
      </c>
      <c r="J466" s="20">
        <f>IF(AND($B$42&lt;='1 - Titoli e shock'!$B$17,$C466&lt;='1 - Titoli e shock'!$B$17),$D$42*J$6/2*(1-'1 - Titoli e shock'!$B$8),0)</f>
        <v>0</v>
      </c>
      <c r="K466" s="20">
        <f>IF(AND($B$42&lt;='1 - Titoli e shock'!$B$17,$C466&lt;='1 - Titoli e shock'!$B$17),$D$42*K$6/2*(1-'1 - Titoli e shock'!$B$8),0)</f>
        <v>0</v>
      </c>
      <c r="L466" s="20">
        <f>IF(AND($B$42&lt;='1 - Titoli e shock'!$B$17,$C466&lt;='1 - Titoli e shock'!$B$17),$D$42*L$6/2*(1-'1 - Titoli e shock'!$B$8),0)</f>
        <v>0</v>
      </c>
      <c r="M466" s="20">
        <f>IF(AND($B$42&lt;='1 - Titoli e shock'!$B$17,$C466&lt;='1 - Titoli e shock'!$B$17),$D$42*M$6/2*(1-'1 - Titoli e shock'!$B$8),0)</f>
        <v>0</v>
      </c>
      <c r="N466" s="20">
        <f>IF(AND($B$42&lt;='1 - Titoli e shock'!$B$17,$C466&lt;='1 - Titoli e shock'!$B$17),$D$42*N$6/2*(1-'1 - Titoli e shock'!$B$8),0)</f>
        <v>0</v>
      </c>
      <c r="O466" s="20">
        <f>IF(AND($B$42&lt;='1 - Titoli e shock'!$B$17,$C466&lt;='1 - Titoli e shock'!$B$17),$D$42*O$6/2*(1-'1 - Titoli e shock'!$B$8),0)</f>
        <v>0</v>
      </c>
      <c r="P466" s="20">
        <f>IF(AND($B$42&lt;='1 - Titoli e shock'!$B$17,$C466&lt;='1 - Titoli e shock'!$B$17),$D$42*P$6/2*(1-'1 - Titoli e shock'!$B$8),0)</f>
        <v>0</v>
      </c>
      <c r="Q466" s="20">
        <f>IF(AND($B$42&lt;='1 - Titoli e shock'!$B$17,$C466&lt;='1 - Titoli e shock'!$B$17),$D$42*Q$6/2*(1-'1 - Titoli e shock'!$B$8),0)</f>
        <v>0</v>
      </c>
      <c r="R466" s="20">
        <f>IF(AND($B$42&lt;='1 - Titoli e shock'!$B$17,$C466&lt;='1 - Titoli e shock'!$B$17),$D$42*R$6/2*(1-'1 - Titoli e shock'!$B$8),0)</f>
        <v>0</v>
      </c>
      <c r="S466" s="20">
        <f>IF(AND($B$42&lt;='1 - Titoli e shock'!$B$17,$C466&lt;='1 - Titoli e shock'!$B$17),$D$42*S$6/2*(1-'1 - Titoli e shock'!$B$8),0)</f>
        <v>0</v>
      </c>
      <c r="T466" s="20">
        <f>IF(AND($B$42&lt;='1 - Titoli e shock'!$B$17,$C466&lt;='1 - Titoli e shock'!$B$17),$D$42*T$6/2*(1-'1 - Titoli e shock'!$B$8),0)</f>
        <v>0</v>
      </c>
      <c r="U466" s="20">
        <f>IF(AND($B$42&lt;='1 - Titoli e shock'!$B$17,$C466&lt;='1 - Titoli e shock'!$B$17),$D$42*U$6/2*(1-'1 - Titoli e shock'!$B$8),0)</f>
        <v>0</v>
      </c>
    </row>
    <row r="467" spans="1:21">
      <c r="A467" s="15" t="s">
        <v>267</v>
      </c>
      <c r="B467" s="22" t="str">
        <f>A42</f>
        <v>BTP 3,60% ott 2035</v>
      </c>
      <c r="C467" s="13">
        <f>EDATE($B$42,6*14)</f>
        <v>52140</v>
      </c>
      <c r="D467" s="23">
        <f>MAX(1,(YEAR(C467)-YEAR('1 - Titoli e shock'!$B$6))+IF(MONTH(C467)*100+DAY(C467)&gt;MONTH('1 - Titoli e shock'!$B$6)*100+DAY('1 - Titoli e shock'!$B$6),1,0))</f>
        <v>16</v>
      </c>
      <c r="F467" s="20">
        <f>IF(AND($B$42&lt;='1 - Titoli e shock'!$B$17,$C467&lt;='1 - Titoli e shock'!$B$17),$D$42*F$6/2*(1-'1 - Titoli e shock'!$B$8),0)</f>
        <v>0</v>
      </c>
      <c r="G467" s="20">
        <f>IF(AND($B$42&lt;='1 - Titoli e shock'!$B$17,$C467&lt;='1 - Titoli e shock'!$B$17),$D$42*G$6/2*(1-'1 - Titoli e shock'!$B$8),0)</f>
        <v>0</v>
      </c>
      <c r="H467" s="20">
        <f>IF(AND($B$42&lt;='1 - Titoli e shock'!$B$17,$C467&lt;='1 - Titoli e shock'!$B$17),$D$42*H$6/2*(1-'1 - Titoli e shock'!$B$8),0)</f>
        <v>0</v>
      </c>
      <c r="I467" s="20">
        <f>IF(AND($B$42&lt;='1 - Titoli e shock'!$B$17,$C467&lt;='1 - Titoli e shock'!$B$17),$D$42*I$6/2*(1-'1 - Titoli e shock'!$B$8),0)</f>
        <v>0</v>
      </c>
      <c r="J467" s="20">
        <f>IF(AND($B$42&lt;='1 - Titoli e shock'!$B$17,$C467&lt;='1 - Titoli e shock'!$B$17),$D$42*J$6/2*(1-'1 - Titoli e shock'!$B$8),0)</f>
        <v>0</v>
      </c>
      <c r="K467" s="20">
        <f>IF(AND($B$42&lt;='1 - Titoli e shock'!$B$17,$C467&lt;='1 - Titoli e shock'!$B$17),$D$42*K$6/2*(1-'1 - Titoli e shock'!$B$8),0)</f>
        <v>0</v>
      </c>
      <c r="L467" s="20">
        <f>IF(AND($B$42&lt;='1 - Titoli e shock'!$B$17,$C467&lt;='1 - Titoli e shock'!$B$17),$D$42*L$6/2*(1-'1 - Titoli e shock'!$B$8),0)</f>
        <v>0</v>
      </c>
      <c r="M467" s="20">
        <f>IF(AND($B$42&lt;='1 - Titoli e shock'!$B$17,$C467&lt;='1 - Titoli e shock'!$B$17),$D$42*M$6/2*(1-'1 - Titoli e shock'!$B$8),0)</f>
        <v>0</v>
      </c>
      <c r="N467" s="20">
        <f>IF(AND($B$42&lt;='1 - Titoli e shock'!$B$17,$C467&lt;='1 - Titoli e shock'!$B$17),$D$42*N$6/2*(1-'1 - Titoli e shock'!$B$8),0)</f>
        <v>0</v>
      </c>
      <c r="O467" s="20">
        <f>IF(AND($B$42&lt;='1 - Titoli e shock'!$B$17,$C467&lt;='1 - Titoli e shock'!$B$17),$D$42*O$6/2*(1-'1 - Titoli e shock'!$B$8),0)</f>
        <v>0</v>
      </c>
      <c r="P467" s="20">
        <f>IF(AND($B$42&lt;='1 - Titoli e shock'!$B$17,$C467&lt;='1 - Titoli e shock'!$B$17),$D$42*P$6/2*(1-'1 - Titoli e shock'!$B$8),0)</f>
        <v>0</v>
      </c>
      <c r="Q467" s="20">
        <f>IF(AND($B$42&lt;='1 - Titoli e shock'!$B$17,$C467&lt;='1 - Titoli e shock'!$B$17),$D$42*Q$6/2*(1-'1 - Titoli e shock'!$B$8),0)</f>
        <v>0</v>
      </c>
      <c r="R467" s="20">
        <f>IF(AND($B$42&lt;='1 - Titoli e shock'!$B$17,$C467&lt;='1 - Titoli e shock'!$B$17),$D$42*R$6/2*(1-'1 - Titoli e shock'!$B$8),0)</f>
        <v>0</v>
      </c>
      <c r="S467" s="20">
        <f>IF(AND($B$42&lt;='1 - Titoli e shock'!$B$17,$C467&lt;='1 - Titoli e shock'!$B$17),$D$42*S$6/2*(1-'1 - Titoli e shock'!$B$8),0)</f>
        <v>0</v>
      </c>
      <c r="T467" s="20">
        <f>IF(AND($B$42&lt;='1 - Titoli e shock'!$B$17,$C467&lt;='1 - Titoli e shock'!$B$17),$D$42*T$6/2*(1-'1 - Titoli e shock'!$B$8),0)</f>
        <v>0</v>
      </c>
      <c r="U467" s="20">
        <f>IF(AND($B$42&lt;='1 - Titoli e shock'!$B$17,$C467&lt;='1 - Titoli e shock'!$B$17),$D$42*U$6/2*(1-'1 - Titoli e shock'!$B$8),0)</f>
        <v>0</v>
      </c>
    </row>
    <row r="468" spans="1:21">
      <c r="A468" s="15" t="s">
        <v>267</v>
      </c>
      <c r="B468" s="22" t="str">
        <f>A42</f>
        <v>BTP 3,60% ott 2035</v>
      </c>
      <c r="C468" s="13">
        <f>EDATE($B$42,6*15)</f>
        <v>52322</v>
      </c>
      <c r="D468" s="23">
        <f>MAX(1,(YEAR(C468)-YEAR('1 - Titoli e shock'!$B$6))+IF(MONTH(C468)*100+DAY(C468)&gt;MONTH('1 - Titoli e shock'!$B$6)*100+DAY('1 - Titoli e shock'!$B$6),1,0))</f>
        <v>17</v>
      </c>
      <c r="F468" s="20">
        <f>IF(AND($B$42&lt;='1 - Titoli e shock'!$B$17,$C468&lt;='1 - Titoli e shock'!$B$17),$D$42*F$6/2*(1-'1 - Titoli e shock'!$B$8),0)</f>
        <v>0</v>
      </c>
      <c r="G468" s="20">
        <f>IF(AND($B$42&lt;='1 - Titoli e shock'!$B$17,$C468&lt;='1 - Titoli e shock'!$B$17),$D$42*G$6/2*(1-'1 - Titoli e shock'!$B$8),0)</f>
        <v>0</v>
      </c>
      <c r="H468" s="20">
        <f>IF(AND($B$42&lt;='1 - Titoli e shock'!$B$17,$C468&lt;='1 - Titoli e shock'!$B$17),$D$42*H$6/2*(1-'1 - Titoli e shock'!$B$8),0)</f>
        <v>0</v>
      </c>
      <c r="I468" s="20">
        <f>IF(AND($B$42&lt;='1 - Titoli e shock'!$B$17,$C468&lt;='1 - Titoli e shock'!$B$17),$D$42*I$6/2*(1-'1 - Titoli e shock'!$B$8),0)</f>
        <v>0</v>
      </c>
      <c r="J468" s="20">
        <f>IF(AND($B$42&lt;='1 - Titoli e shock'!$B$17,$C468&lt;='1 - Titoli e shock'!$B$17),$D$42*J$6/2*(1-'1 - Titoli e shock'!$B$8),0)</f>
        <v>0</v>
      </c>
      <c r="K468" s="20">
        <f>IF(AND($B$42&lt;='1 - Titoli e shock'!$B$17,$C468&lt;='1 - Titoli e shock'!$B$17),$D$42*K$6/2*(1-'1 - Titoli e shock'!$B$8),0)</f>
        <v>0</v>
      </c>
      <c r="L468" s="20">
        <f>IF(AND($B$42&lt;='1 - Titoli e shock'!$B$17,$C468&lt;='1 - Titoli e shock'!$B$17),$D$42*L$6/2*(1-'1 - Titoli e shock'!$B$8),0)</f>
        <v>0</v>
      </c>
      <c r="M468" s="20">
        <f>IF(AND($B$42&lt;='1 - Titoli e shock'!$B$17,$C468&lt;='1 - Titoli e shock'!$B$17),$D$42*M$6/2*(1-'1 - Titoli e shock'!$B$8),0)</f>
        <v>0</v>
      </c>
      <c r="N468" s="20">
        <f>IF(AND($B$42&lt;='1 - Titoli e shock'!$B$17,$C468&lt;='1 - Titoli e shock'!$B$17),$D$42*N$6/2*(1-'1 - Titoli e shock'!$B$8),0)</f>
        <v>0</v>
      </c>
      <c r="O468" s="20">
        <f>IF(AND($B$42&lt;='1 - Titoli e shock'!$B$17,$C468&lt;='1 - Titoli e shock'!$B$17),$D$42*O$6/2*(1-'1 - Titoli e shock'!$B$8),0)</f>
        <v>0</v>
      </c>
      <c r="P468" s="20">
        <f>IF(AND($B$42&lt;='1 - Titoli e shock'!$B$17,$C468&lt;='1 - Titoli e shock'!$B$17),$D$42*P$6/2*(1-'1 - Titoli e shock'!$B$8),0)</f>
        <v>0</v>
      </c>
      <c r="Q468" s="20">
        <f>IF(AND($B$42&lt;='1 - Titoli e shock'!$B$17,$C468&lt;='1 - Titoli e shock'!$B$17),$D$42*Q$6/2*(1-'1 - Titoli e shock'!$B$8),0)</f>
        <v>0</v>
      </c>
      <c r="R468" s="20">
        <f>IF(AND($B$42&lt;='1 - Titoli e shock'!$B$17,$C468&lt;='1 - Titoli e shock'!$B$17),$D$42*R$6/2*(1-'1 - Titoli e shock'!$B$8),0)</f>
        <v>0</v>
      </c>
      <c r="S468" s="20">
        <f>IF(AND($B$42&lt;='1 - Titoli e shock'!$B$17,$C468&lt;='1 - Titoli e shock'!$B$17),$D$42*S$6/2*(1-'1 - Titoli e shock'!$B$8),0)</f>
        <v>0</v>
      </c>
      <c r="T468" s="20">
        <f>IF(AND($B$42&lt;='1 - Titoli e shock'!$B$17,$C468&lt;='1 - Titoli e shock'!$B$17),$D$42*T$6/2*(1-'1 - Titoli e shock'!$B$8),0)</f>
        <v>0</v>
      </c>
      <c r="U468" s="20">
        <f>IF(AND($B$42&lt;='1 - Titoli e shock'!$B$17,$C468&lt;='1 - Titoli e shock'!$B$17),$D$42*U$6/2*(1-'1 - Titoli e shock'!$B$8),0)</f>
        <v>0</v>
      </c>
    </row>
    <row r="469" spans="1:21">
      <c r="A469" s="15" t="s">
        <v>267</v>
      </c>
      <c r="B469" s="22" t="str">
        <f>A42</f>
        <v>BTP 3,60% ott 2035</v>
      </c>
      <c r="C469" s="13">
        <f>EDATE($B$42,6*16)</f>
        <v>52505</v>
      </c>
      <c r="D469" s="23">
        <f>MAX(1,(YEAR(C469)-YEAR('1 - Titoli e shock'!$B$6))+IF(MONTH(C469)*100+DAY(C469)&gt;MONTH('1 - Titoli e shock'!$B$6)*100+DAY('1 - Titoli e shock'!$B$6),1,0))</f>
        <v>17</v>
      </c>
      <c r="F469" s="20">
        <f>IF(AND($B$42&lt;='1 - Titoli e shock'!$B$17,$C469&lt;='1 - Titoli e shock'!$B$17),$D$42*F$6/2*(1-'1 - Titoli e shock'!$B$8),0)</f>
        <v>0</v>
      </c>
      <c r="G469" s="20">
        <f>IF(AND($B$42&lt;='1 - Titoli e shock'!$B$17,$C469&lt;='1 - Titoli e shock'!$B$17),$D$42*G$6/2*(1-'1 - Titoli e shock'!$B$8),0)</f>
        <v>0</v>
      </c>
      <c r="H469" s="20">
        <f>IF(AND($B$42&lt;='1 - Titoli e shock'!$B$17,$C469&lt;='1 - Titoli e shock'!$B$17),$D$42*H$6/2*(1-'1 - Titoli e shock'!$B$8),0)</f>
        <v>0</v>
      </c>
      <c r="I469" s="20">
        <f>IF(AND($B$42&lt;='1 - Titoli e shock'!$B$17,$C469&lt;='1 - Titoli e shock'!$B$17),$D$42*I$6/2*(1-'1 - Titoli e shock'!$B$8),0)</f>
        <v>0</v>
      </c>
      <c r="J469" s="20">
        <f>IF(AND($B$42&lt;='1 - Titoli e shock'!$B$17,$C469&lt;='1 - Titoli e shock'!$B$17),$D$42*J$6/2*(1-'1 - Titoli e shock'!$B$8),0)</f>
        <v>0</v>
      </c>
      <c r="K469" s="20">
        <f>IF(AND($B$42&lt;='1 - Titoli e shock'!$B$17,$C469&lt;='1 - Titoli e shock'!$B$17),$D$42*K$6/2*(1-'1 - Titoli e shock'!$B$8),0)</f>
        <v>0</v>
      </c>
      <c r="L469" s="20">
        <f>IF(AND($B$42&lt;='1 - Titoli e shock'!$B$17,$C469&lt;='1 - Titoli e shock'!$B$17),$D$42*L$6/2*(1-'1 - Titoli e shock'!$B$8),0)</f>
        <v>0</v>
      </c>
      <c r="M469" s="20">
        <f>IF(AND($B$42&lt;='1 - Titoli e shock'!$B$17,$C469&lt;='1 - Titoli e shock'!$B$17),$D$42*M$6/2*(1-'1 - Titoli e shock'!$B$8),0)</f>
        <v>0</v>
      </c>
      <c r="N469" s="20">
        <f>IF(AND($B$42&lt;='1 - Titoli e shock'!$B$17,$C469&lt;='1 - Titoli e shock'!$B$17),$D$42*N$6/2*(1-'1 - Titoli e shock'!$B$8),0)</f>
        <v>0</v>
      </c>
      <c r="O469" s="20">
        <f>IF(AND($B$42&lt;='1 - Titoli e shock'!$B$17,$C469&lt;='1 - Titoli e shock'!$B$17),$D$42*O$6/2*(1-'1 - Titoli e shock'!$B$8),0)</f>
        <v>0</v>
      </c>
      <c r="P469" s="20">
        <f>IF(AND($B$42&lt;='1 - Titoli e shock'!$B$17,$C469&lt;='1 - Titoli e shock'!$B$17),$D$42*P$6/2*(1-'1 - Titoli e shock'!$B$8),0)</f>
        <v>0</v>
      </c>
      <c r="Q469" s="20">
        <f>IF(AND($B$42&lt;='1 - Titoli e shock'!$B$17,$C469&lt;='1 - Titoli e shock'!$B$17),$D$42*Q$6/2*(1-'1 - Titoli e shock'!$B$8),0)</f>
        <v>0</v>
      </c>
      <c r="R469" s="20">
        <f>IF(AND($B$42&lt;='1 - Titoli e shock'!$B$17,$C469&lt;='1 - Titoli e shock'!$B$17),$D$42*R$6/2*(1-'1 - Titoli e shock'!$B$8),0)</f>
        <v>0</v>
      </c>
      <c r="S469" s="20">
        <f>IF(AND($B$42&lt;='1 - Titoli e shock'!$B$17,$C469&lt;='1 - Titoli e shock'!$B$17),$D$42*S$6/2*(1-'1 - Titoli e shock'!$B$8),0)</f>
        <v>0</v>
      </c>
      <c r="T469" s="20">
        <f>IF(AND($B$42&lt;='1 - Titoli e shock'!$B$17,$C469&lt;='1 - Titoli e shock'!$B$17),$D$42*T$6/2*(1-'1 - Titoli e shock'!$B$8),0)</f>
        <v>0</v>
      </c>
      <c r="U469" s="20">
        <f>IF(AND($B$42&lt;='1 - Titoli e shock'!$B$17,$C469&lt;='1 - Titoli e shock'!$B$17),$D$42*U$6/2*(1-'1 - Titoli e shock'!$B$8),0)</f>
        <v>0</v>
      </c>
    </row>
    <row r="470" spans="1:21">
      <c r="A470" s="15" t="s">
        <v>267</v>
      </c>
      <c r="B470" s="22" t="str">
        <f>A42</f>
        <v>BTP 3,60% ott 2035</v>
      </c>
      <c r="C470" s="13">
        <f>EDATE($B$42,6*17)</f>
        <v>52688</v>
      </c>
      <c r="D470" s="23">
        <f>MAX(1,(YEAR(C470)-YEAR('1 - Titoli e shock'!$B$6))+IF(MONTH(C470)*100+DAY(C470)&gt;MONTH('1 - Titoli e shock'!$B$6)*100+DAY('1 - Titoli e shock'!$B$6),1,0))</f>
        <v>18</v>
      </c>
      <c r="F470" s="20">
        <f>IF(AND($B$42&lt;='1 - Titoli e shock'!$B$17,$C470&lt;='1 - Titoli e shock'!$B$17),$D$42*F$6/2*(1-'1 - Titoli e shock'!$B$8),0)</f>
        <v>0</v>
      </c>
      <c r="G470" s="20">
        <f>IF(AND($B$42&lt;='1 - Titoli e shock'!$B$17,$C470&lt;='1 - Titoli e shock'!$B$17),$D$42*G$6/2*(1-'1 - Titoli e shock'!$B$8),0)</f>
        <v>0</v>
      </c>
      <c r="H470" s="20">
        <f>IF(AND($B$42&lt;='1 - Titoli e shock'!$B$17,$C470&lt;='1 - Titoli e shock'!$B$17),$D$42*H$6/2*(1-'1 - Titoli e shock'!$B$8),0)</f>
        <v>0</v>
      </c>
      <c r="I470" s="20">
        <f>IF(AND($B$42&lt;='1 - Titoli e shock'!$B$17,$C470&lt;='1 - Titoli e shock'!$B$17),$D$42*I$6/2*(1-'1 - Titoli e shock'!$B$8),0)</f>
        <v>0</v>
      </c>
      <c r="J470" s="20">
        <f>IF(AND($B$42&lt;='1 - Titoli e shock'!$B$17,$C470&lt;='1 - Titoli e shock'!$B$17),$D$42*J$6/2*(1-'1 - Titoli e shock'!$B$8),0)</f>
        <v>0</v>
      </c>
      <c r="K470" s="20">
        <f>IF(AND($B$42&lt;='1 - Titoli e shock'!$B$17,$C470&lt;='1 - Titoli e shock'!$B$17),$D$42*K$6/2*(1-'1 - Titoli e shock'!$B$8),0)</f>
        <v>0</v>
      </c>
      <c r="L470" s="20">
        <f>IF(AND($B$42&lt;='1 - Titoli e shock'!$B$17,$C470&lt;='1 - Titoli e shock'!$B$17),$D$42*L$6/2*(1-'1 - Titoli e shock'!$B$8),0)</f>
        <v>0</v>
      </c>
      <c r="M470" s="20">
        <f>IF(AND($B$42&lt;='1 - Titoli e shock'!$B$17,$C470&lt;='1 - Titoli e shock'!$B$17),$D$42*M$6/2*(1-'1 - Titoli e shock'!$B$8),0)</f>
        <v>0</v>
      </c>
      <c r="N470" s="20">
        <f>IF(AND($B$42&lt;='1 - Titoli e shock'!$B$17,$C470&lt;='1 - Titoli e shock'!$B$17),$D$42*N$6/2*(1-'1 - Titoli e shock'!$B$8),0)</f>
        <v>0</v>
      </c>
      <c r="O470" s="20">
        <f>IF(AND($B$42&lt;='1 - Titoli e shock'!$B$17,$C470&lt;='1 - Titoli e shock'!$B$17),$D$42*O$6/2*(1-'1 - Titoli e shock'!$B$8),0)</f>
        <v>0</v>
      </c>
      <c r="P470" s="20">
        <f>IF(AND($B$42&lt;='1 - Titoli e shock'!$B$17,$C470&lt;='1 - Titoli e shock'!$B$17),$D$42*P$6/2*(1-'1 - Titoli e shock'!$B$8),0)</f>
        <v>0</v>
      </c>
      <c r="Q470" s="20">
        <f>IF(AND($B$42&lt;='1 - Titoli e shock'!$B$17,$C470&lt;='1 - Titoli e shock'!$B$17),$D$42*Q$6/2*(1-'1 - Titoli e shock'!$B$8),0)</f>
        <v>0</v>
      </c>
      <c r="R470" s="20">
        <f>IF(AND($B$42&lt;='1 - Titoli e shock'!$B$17,$C470&lt;='1 - Titoli e shock'!$B$17),$D$42*R$6/2*(1-'1 - Titoli e shock'!$B$8),0)</f>
        <v>0</v>
      </c>
      <c r="S470" s="20">
        <f>IF(AND($B$42&lt;='1 - Titoli e shock'!$B$17,$C470&lt;='1 - Titoli e shock'!$B$17),$D$42*S$6/2*(1-'1 - Titoli e shock'!$B$8),0)</f>
        <v>0</v>
      </c>
      <c r="T470" s="20">
        <f>IF(AND($B$42&lt;='1 - Titoli e shock'!$B$17,$C470&lt;='1 - Titoli e shock'!$B$17),$D$42*T$6/2*(1-'1 - Titoli e shock'!$B$8),0)</f>
        <v>0</v>
      </c>
      <c r="U470" s="20">
        <f>IF(AND($B$42&lt;='1 - Titoli e shock'!$B$17,$C470&lt;='1 - Titoli e shock'!$B$17),$D$42*U$6/2*(1-'1 - Titoli e shock'!$B$8),0)</f>
        <v>0</v>
      </c>
    </row>
    <row r="471" spans="1:21">
      <c r="A471" s="15" t="s">
        <v>267</v>
      </c>
      <c r="B471" s="22" t="str">
        <f>A42</f>
        <v>BTP 3,60% ott 2035</v>
      </c>
      <c r="C471" s="13">
        <f>EDATE($B$42,6*18)</f>
        <v>52871</v>
      </c>
      <c r="D471" s="23">
        <f>MAX(1,(YEAR(C471)-YEAR('1 - Titoli e shock'!$B$6))+IF(MONTH(C471)*100+DAY(C471)&gt;MONTH('1 - Titoli e shock'!$B$6)*100+DAY('1 - Titoli e shock'!$B$6),1,0))</f>
        <v>18</v>
      </c>
      <c r="F471" s="20">
        <f>IF(AND($B$42&lt;='1 - Titoli e shock'!$B$17,$C471&lt;='1 - Titoli e shock'!$B$17),$D$42*F$6/2*(1-'1 - Titoli e shock'!$B$8),0)</f>
        <v>0</v>
      </c>
      <c r="G471" s="20">
        <f>IF(AND($B$42&lt;='1 - Titoli e shock'!$B$17,$C471&lt;='1 - Titoli e shock'!$B$17),$D$42*G$6/2*(1-'1 - Titoli e shock'!$B$8),0)</f>
        <v>0</v>
      </c>
      <c r="H471" s="20">
        <f>IF(AND($B$42&lt;='1 - Titoli e shock'!$B$17,$C471&lt;='1 - Titoli e shock'!$B$17),$D$42*H$6/2*(1-'1 - Titoli e shock'!$B$8),0)</f>
        <v>0</v>
      </c>
      <c r="I471" s="20">
        <f>IF(AND($B$42&lt;='1 - Titoli e shock'!$B$17,$C471&lt;='1 - Titoli e shock'!$B$17),$D$42*I$6/2*(1-'1 - Titoli e shock'!$B$8),0)</f>
        <v>0</v>
      </c>
      <c r="J471" s="20">
        <f>IF(AND($B$42&lt;='1 - Titoli e shock'!$B$17,$C471&lt;='1 - Titoli e shock'!$B$17),$D$42*J$6/2*(1-'1 - Titoli e shock'!$B$8),0)</f>
        <v>0</v>
      </c>
      <c r="K471" s="20">
        <f>IF(AND($B$42&lt;='1 - Titoli e shock'!$B$17,$C471&lt;='1 - Titoli e shock'!$B$17),$D$42*K$6/2*(1-'1 - Titoli e shock'!$B$8),0)</f>
        <v>0</v>
      </c>
      <c r="L471" s="20">
        <f>IF(AND($B$42&lt;='1 - Titoli e shock'!$B$17,$C471&lt;='1 - Titoli e shock'!$B$17),$D$42*L$6/2*(1-'1 - Titoli e shock'!$B$8),0)</f>
        <v>0</v>
      </c>
      <c r="M471" s="20">
        <f>IF(AND($B$42&lt;='1 - Titoli e shock'!$B$17,$C471&lt;='1 - Titoli e shock'!$B$17),$D$42*M$6/2*(1-'1 - Titoli e shock'!$B$8),0)</f>
        <v>0</v>
      </c>
      <c r="N471" s="20">
        <f>IF(AND($B$42&lt;='1 - Titoli e shock'!$B$17,$C471&lt;='1 - Titoli e shock'!$B$17),$D$42*N$6/2*(1-'1 - Titoli e shock'!$B$8),0)</f>
        <v>0</v>
      </c>
      <c r="O471" s="20">
        <f>IF(AND($B$42&lt;='1 - Titoli e shock'!$B$17,$C471&lt;='1 - Titoli e shock'!$B$17),$D$42*O$6/2*(1-'1 - Titoli e shock'!$B$8),0)</f>
        <v>0</v>
      </c>
      <c r="P471" s="20">
        <f>IF(AND($B$42&lt;='1 - Titoli e shock'!$B$17,$C471&lt;='1 - Titoli e shock'!$B$17),$D$42*P$6/2*(1-'1 - Titoli e shock'!$B$8),0)</f>
        <v>0</v>
      </c>
      <c r="Q471" s="20">
        <f>IF(AND($B$42&lt;='1 - Titoli e shock'!$B$17,$C471&lt;='1 - Titoli e shock'!$B$17),$D$42*Q$6/2*(1-'1 - Titoli e shock'!$B$8),0)</f>
        <v>0</v>
      </c>
      <c r="R471" s="20">
        <f>IF(AND($B$42&lt;='1 - Titoli e shock'!$B$17,$C471&lt;='1 - Titoli e shock'!$B$17),$D$42*R$6/2*(1-'1 - Titoli e shock'!$B$8),0)</f>
        <v>0</v>
      </c>
      <c r="S471" s="20">
        <f>IF(AND($B$42&lt;='1 - Titoli e shock'!$B$17,$C471&lt;='1 - Titoli e shock'!$B$17),$D$42*S$6/2*(1-'1 - Titoli e shock'!$B$8),0)</f>
        <v>0</v>
      </c>
      <c r="T471" s="20">
        <f>IF(AND($B$42&lt;='1 - Titoli e shock'!$B$17,$C471&lt;='1 - Titoli e shock'!$B$17),$D$42*T$6/2*(1-'1 - Titoli e shock'!$B$8),0)</f>
        <v>0</v>
      </c>
      <c r="U471" s="20">
        <f>IF(AND($B$42&lt;='1 - Titoli e shock'!$B$17,$C471&lt;='1 - Titoli e shock'!$B$17),$D$42*U$6/2*(1-'1 - Titoli e shock'!$B$8),0)</f>
        <v>0</v>
      </c>
    </row>
    <row r="472" spans="1:21">
      <c r="A472" s="15" t="s">
        <v>267</v>
      </c>
      <c r="B472" s="22" t="str">
        <f>A42</f>
        <v>BTP 3,60% ott 2035</v>
      </c>
      <c r="C472" s="13">
        <f>EDATE($B$42,6*19)</f>
        <v>53053</v>
      </c>
      <c r="D472" s="23">
        <f>MAX(1,(YEAR(C472)-YEAR('1 - Titoli e shock'!$B$6))+IF(MONTH(C472)*100+DAY(C472)&gt;MONTH('1 - Titoli e shock'!$B$6)*100+DAY('1 - Titoli e shock'!$B$6),1,0))</f>
        <v>19</v>
      </c>
      <c r="F472" s="20">
        <f>IF(AND($B$42&lt;='1 - Titoli e shock'!$B$17,$C472&lt;='1 - Titoli e shock'!$B$17),$D$42*F$6/2*(1-'1 - Titoli e shock'!$B$8),0)</f>
        <v>0</v>
      </c>
      <c r="G472" s="20">
        <f>IF(AND($B$42&lt;='1 - Titoli e shock'!$B$17,$C472&lt;='1 - Titoli e shock'!$B$17),$D$42*G$6/2*(1-'1 - Titoli e shock'!$B$8),0)</f>
        <v>0</v>
      </c>
      <c r="H472" s="20">
        <f>IF(AND($B$42&lt;='1 - Titoli e shock'!$B$17,$C472&lt;='1 - Titoli e shock'!$B$17),$D$42*H$6/2*(1-'1 - Titoli e shock'!$B$8),0)</f>
        <v>0</v>
      </c>
      <c r="I472" s="20">
        <f>IF(AND($B$42&lt;='1 - Titoli e shock'!$B$17,$C472&lt;='1 - Titoli e shock'!$B$17),$D$42*I$6/2*(1-'1 - Titoli e shock'!$B$8),0)</f>
        <v>0</v>
      </c>
      <c r="J472" s="20">
        <f>IF(AND($B$42&lt;='1 - Titoli e shock'!$B$17,$C472&lt;='1 - Titoli e shock'!$B$17),$D$42*J$6/2*(1-'1 - Titoli e shock'!$B$8),0)</f>
        <v>0</v>
      </c>
      <c r="K472" s="20">
        <f>IF(AND($B$42&lt;='1 - Titoli e shock'!$B$17,$C472&lt;='1 - Titoli e shock'!$B$17),$D$42*K$6/2*(1-'1 - Titoli e shock'!$B$8),0)</f>
        <v>0</v>
      </c>
      <c r="L472" s="20">
        <f>IF(AND($B$42&lt;='1 - Titoli e shock'!$B$17,$C472&lt;='1 - Titoli e shock'!$B$17),$D$42*L$6/2*(1-'1 - Titoli e shock'!$B$8),0)</f>
        <v>0</v>
      </c>
      <c r="M472" s="20">
        <f>IF(AND($B$42&lt;='1 - Titoli e shock'!$B$17,$C472&lt;='1 - Titoli e shock'!$B$17),$D$42*M$6/2*(1-'1 - Titoli e shock'!$B$8),0)</f>
        <v>0</v>
      </c>
      <c r="N472" s="20">
        <f>IF(AND($B$42&lt;='1 - Titoli e shock'!$B$17,$C472&lt;='1 - Titoli e shock'!$B$17),$D$42*N$6/2*(1-'1 - Titoli e shock'!$B$8),0)</f>
        <v>0</v>
      </c>
      <c r="O472" s="20">
        <f>IF(AND($B$42&lt;='1 - Titoli e shock'!$B$17,$C472&lt;='1 - Titoli e shock'!$B$17),$D$42*O$6/2*(1-'1 - Titoli e shock'!$B$8),0)</f>
        <v>0</v>
      </c>
      <c r="P472" s="20">
        <f>IF(AND($B$42&lt;='1 - Titoli e shock'!$B$17,$C472&lt;='1 - Titoli e shock'!$B$17),$D$42*P$6/2*(1-'1 - Titoli e shock'!$B$8),0)</f>
        <v>0</v>
      </c>
      <c r="Q472" s="20">
        <f>IF(AND($B$42&lt;='1 - Titoli e shock'!$B$17,$C472&lt;='1 - Titoli e shock'!$B$17),$D$42*Q$6/2*(1-'1 - Titoli e shock'!$B$8),0)</f>
        <v>0</v>
      </c>
      <c r="R472" s="20">
        <f>IF(AND($B$42&lt;='1 - Titoli e shock'!$B$17,$C472&lt;='1 - Titoli e shock'!$B$17),$D$42*R$6/2*(1-'1 - Titoli e shock'!$B$8),0)</f>
        <v>0</v>
      </c>
      <c r="S472" s="20">
        <f>IF(AND($B$42&lt;='1 - Titoli e shock'!$B$17,$C472&lt;='1 - Titoli e shock'!$B$17),$D$42*S$6/2*(1-'1 - Titoli e shock'!$B$8),0)</f>
        <v>0</v>
      </c>
      <c r="T472" s="20">
        <f>IF(AND($B$42&lt;='1 - Titoli e shock'!$B$17,$C472&lt;='1 - Titoli e shock'!$B$17),$D$42*T$6/2*(1-'1 - Titoli e shock'!$B$8),0)</f>
        <v>0</v>
      </c>
      <c r="U472" s="20">
        <f>IF(AND($B$42&lt;='1 - Titoli e shock'!$B$17,$C472&lt;='1 - Titoli e shock'!$B$17),$D$42*U$6/2*(1-'1 - Titoli e shock'!$B$8),0)</f>
        <v>0</v>
      </c>
    </row>
    <row r="473" spans="1:21">
      <c r="A473" s="15" t="s">
        <v>267</v>
      </c>
      <c r="B473" s="22" t="str">
        <f>A42</f>
        <v>BTP 3,60% ott 2035</v>
      </c>
      <c r="C473" s="13">
        <f>EDATE($B$42,6*20)</f>
        <v>53236</v>
      </c>
      <c r="D473" s="23">
        <f>MAX(1,(YEAR(C473)-YEAR('1 - Titoli e shock'!$B$6))+IF(MONTH(C473)*100+DAY(C473)&gt;MONTH('1 - Titoli e shock'!$B$6)*100+DAY('1 - Titoli e shock'!$B$6),1,0))</f>
        <v>19</v>
      </c>
      <c r="F473" s="20">
        <f>IF(AND($B$42&lt;='1 - Titoli e shock'!$B$17,$C473&lt;='1 - Titoli e shock'!$B$17),$D$42*F$6/2*(1-'1 - Titoli e shock'!$B$8),0)</f>
        <v>0</v>
      </c>
      <c r="G473" s="20">
        <f>IF(AND($B$42&lt;='1 - Titoli e shock'!$B$17,$C473&lt;='1 - Titoli e shock'!$B$17),$D$42*G$6/2*(1-'1 - Titoli e shock'!$B$8),0)</f>
        <v>0</v>
      </c>
      <c r="H473" s="20">
        <f>IF(AND($B$42&lt;='1 - Titoli e shock'!$B$17,$C473&lt;='1 - Titoli e shock'!$B$17),$D$42*H$6/2*(1-'1 - Titoli e shock'!$B$8),0)</f>
        <v>0</v>
      </c>
      <c r="I473" s="20">
        <f>IF(AND($B$42&lt;='1 - Titoli e shock'!$B$17,$C473&lt;='1 - Titoli e shock'!$B$17),$D$42*I$6/2*(1-'1 - Titoli e shock'!$B$8),0)</f>
        <v>0</v>
      </c>
      <c r="J473" s="20">
        <f>IF(AND($B$42&lt;='1 - Titoli e shock'!$B$17,$C473&lt;='1 - Titoli e shock'!$B$17),$D$42*J$6/2*(1-'1 - Titoli e shock'!$B$8),0)</f>
        <v>0</v>
      </c>
      <c r="K473" s="20">
        <f>IF(AND($B$42&lt;='1 - Titoli e shock'!$B$17,$C473&lt;='1 - Titoli e shock'!$B$17),$D$42*K$6/2*(1-'1 - Titoli e shock'!$B$8),0)</f>
        <v>0</v>
      </c>
      <c r="L473" s="20">
        <f>IF(AND($B$42&lt;='1 - Titoli e shock'!$B$17,$C473&lt;='1 - Titoli e shock'!$B$17),$D$42*L$6/2*(1-'1 - Titoli e shock'!$B$8),0)</f>
        <v>0</v>
      </c>
      <c r="M473" s="20">
        <f>IF(AND($B$42&lt;='1 - Titoli e shock'!$B$17,$C473&lt;='1 - Titoli e shock'!$B$17),$D$42*M$6/2*(1-'1 - Titoli e shock'!$B$8),0)</f>
        <v>0</v>
      </c>
      <c r="N473" s="20">
        <f>IF(AND($B$42&lt;='1 - Titoli e shock'!$B$17,$C473&lt;='1 - Titoli e shock'!$B$17),$D$42*N$6/2*(1-'1 - Titoli e shock'!$B$8),0)</f>
        <v>0</v>
      </c>
      <c r="O473" s="20">
        <f>IF(AND($B$42&lt;='1 - Titoli e shock'!$B$17,$C473&lt;='1 - Titoli e shock'!$B$17),$D$42*O$6/2*(1-'1 - Titoli e shock'!$B$8),0)</f>
        <v>0</v>
      </c>
      <c r="P473" s="20">
        <f>IF(AND($B$42&lt;='1 - Titoli e shock'!$B$17,$C473&lt;='1 - Titoli e shock'!$B$17),$D$42*P$6/2*(1-'1 - Titoli e shock'!$B$8),0)</f>
        <v>0</v>
      </c>
      <c r="Q473" s="20">
        <f>IF(AND($B$42&lt;='1 - Titoli e shock'!$B$17,$C473&lt;='1 - Titoli e shock'!$B$17),$D$42*Q$6/2*(1-'1 - Titoli e shock'!$B$8),0)</f>
        <v>0</v>
      </c>
      <c r="R473" s="20">
        <f>IF(AND($B$42&lt;='1 - Titoli e shock'!$B$17,$C473&lt;='1 - Titoli e shock'!$B$17),$D$42*R$6/2*(1-'1 - Titoli e shock'!$B$8),0)</f>
        <v>0</v>
      </c>
      <c r="S473" s="20">
        <f>IF(AND($B$42&lt;='1 - Titoli e shock'!$B$17,$C473&lt;='1 - Titoli e shock'!$B$17),$D$42*S$6/2*(1-'1 - Titoli e shock'!$B$8),0)</f>
        <v>0</v>
      </c>
      <c r="T473" s="20">
        <f>IF(AND($B$42&lt;='1 - Titoli e shock'!$B$17,$C473&lt;='1 - Titoli e shock'!$B$17),$D$42*T$6/2*(1-'1 - Titoli e shock'!$B$8),0)</f>
        <v>0</v>
      </c>
      <c r="U473" s="20">
        <f>IF(AND($B$42&lt;='1 - Titoli e shock'!$B$17,$C473&lt;='1 - Titoli e shock'!$B$17),$D$42*U$6/2*(1-'1 - Titoli e shock'!$B$8),0)</f>
        <v>0</v>
      </c>
    </row>
    <row r="474" spans="1:21">
      <c r="A474" s="15" t="s">
        <v>268</v>
      </c>
      <c r="B474" s="22" t="str">
        <f>A42</f>
        <v>BTP 3,60% ott 2035</v>
      </c>
      <c r="C474" s="13">
        <f>EDATE($B$42,120)</f>
        <v>53236</v>
      </c>
      <c r="D474" s="23">
        <f>MAX(1,(YEAR(C474)-YEAR('1 - Titoli e shock'!$B$6))+IF(MONTH(C474)*100+DAY(C474)&gt;MONTH('1 - Titoli e shock'!$B$6)*100+DAY('1 - Titoli e shock'!$B$6),1,0))</f>
        <v>19</v>
      </c>
      <c r="F474" s="20">
        <f>IF(AND($B$42&lt;='1 - Titoli e shock'!$B$17,$C474&lt;='1 - Titoli e shock'!$B$17),$D$42,0)</f>
        <v>0</v>
      </c>
      <c r="G474" s="20">
        <f>IF(AND($B$42&lt;='1 - Titoli e shock'!$B$17,$C474&lt;='1 - Titoli e shock'!$B$17),$D$42,0)</f>
        <v>0</v>
      </c>
      <c r="H474" s="20">
        <f>IF(AND($B$42&lt;='1 - Titoli e shock'!$B$17,$C474&lt;='1 - Titoli e shock'!$B$17),$D$42,0)</f>
        <v>0</v>
      </c>
      <c r="I474" s="20">
        <f>IF(AND($B$42&lt;='1 - Titoli e shock'!$B$17,$C474&lt;='1 - Titoli e shock'!$B$17),$D$42,0)</f>
        <v>0</v>
      </c>
      <c r="J474" s="20">
        <f>IF(AND($B$42&lt;='1 - Titoli e shock'!$B$17,$C474&lt;='1 - Titoli e shock'!$B$17),$D$42,0)</f>
        <v>0</v>
      </c>
      <c r="K474" s="20">
        <f>IF(AND($B$42&lt;='1 - Titoli e shock'!$B$17,$C474&lt;='1 - Titoli e shock'!$B$17),$D$42,0)</f>
        <v>0</v>
      </c>
      <c r="L474" s="20">
        <f>IF(AND($B$42&lt;='1 - Titoli e shock'!$B$17,$C474&lt;='1 - Titoli e shock'!$B$17),$D$42,0)</f>
        <v>0</v>
      </c>
      <c r="M474" s="20">
        <f>IF(AND($B$42&lt;='1 - Titoli e shock'!$B$17,$C474&lt;='1 - Titoli e shock'!$B$17),$D$42,0)</f>
        <v>0</v>
      </c>
      <c r="N474" s="20">
        <f>IF(AND($B$42&lt;='1 - Titoli e shock'!$B$17,$C474&lt;='1 - Titoli e shock'!$B$17),$D$42,0)</f>
        <v>0</v>
      </c>
      <c r="O474" s="20">
        <f>IF(AND($B$42&lt;='1 - Titoli e shock'!$B$17,$C474&lt;='1 - Titoli e shock'!$B$17),$D$42,0)</f>
        <v>0</v>
      </c>
      <c r="P474" s="20">
        <f>IF(AND($B$42&lt;='1 - Titoli e shock'!$B$17,$C474&lt;='1 - Titoli e shock'!$B$17),$D$42,0)</f>
        <v>0</v>
      </c>
      <c r="Q474" s="20">
        <f>IF(AND($B$42&lt;='1 - Titoli e shock'!$B$17,$C474&lt;='1 - Titoli e shock'!$B$17),$D$42,0)</f>
        <v>0</v>
      </c>
      <c r="R474" s="20">
        <f>IF(AND($B$42&lt;='1 - Titoli e shock'!$B$17,$C474&lt;='1 - Titoli e shock'!$B$17),$D$42,0)</f>
        <v>0</v>
      </c>
      <c r="S474" s="20">
        <f>IF(AND($B$42&lt;='1 - Titoli e shock'!$B$17,$C474&lt;='1 - Titoli e shock'!$B$17),$D$42,0)</f>
        <v>0</v>
      </c>
      <c r="T474" s="20">
        <f>IF(AND($B$42&lt;='1 - Titoli e shock'!$B$17,$C474&lt;='1 - Titoli e shock'!$B$17),$D$42,0)</f>
        <v>0</v>
      </c>
      <c r="U474" s="20">
        <f>IF(AND($B$42&lt;='1 - Titoli e shock'!$B$17,$C474&lt;='1 - Titoli e shock'!$B$17),$D$42,0)</f>
        <v>0</v>
      </c>
    </row>
    <row r="475" spans="1:21">
      <c r="A475" s="15" t="s">
        <v>267</v>
      </c>
      <c r="B475" s="22" t="str">
        <f>A43</f>
        <v>BTP 4,00% ott 2036</v>
      </c>
      <c r="C475" s="13">
        <f>EDATE($B$43,6*1)</f>
        <v>50131</v>
      </c>
      <c r="D475" s="23">
        <f>MAX(1,(YEAR(C475)-YEAR('1 - Titoli e shock'!$B$6))+IF(MONTH(C475)*100+DAY(C475)&gt;MONTH('1 - Titoli e shock'!$B$6)*100+DAY('1 - Titoli e shock'!$B$6),1,0))</f>
        <v>11</v>
      </c>
      <c r="F475" s="20">
        <f>IF(AND($B$43&lt;='1 - Titoli e shock'!$B$17,$C475&lt;='1 - Titoli e shock'!$B$17),$D$43*F$6/2*(1-'1 - Titoli e shock'!$B$8),0)</f>
        <v>0</v>
      </c>
      <c r="G475" s="20">
        <f>IF(AND($B$43&lt;='1 - Titoli e shock'!$B$17,$C475&lt;='1 - Titoli e shock'!$B$17),$D$43*G$6/2*(1-'1 - Titoli e shock'!$B$8),0)</f>
        <v>0</v>
      </c>
      <c r="H475" s="20">
        <f>IF(AND($B$43&lt;='1 - Titoli e shock'!$B$17,$C475&lt;='1 - Titoli e shock'!$B$17),$D$43*H$6/2*(1-'1 - Titoli e shock'!$B$8),0)</f>
        <v>0</v>
      </c>
      <c r="I475" s="20">
        <f>IF(AND($B$43&lt;='1 - Titoli e shock'!$B$17,$C475&lt;='1 - Titoli e shock'!$B$17),$D$43*I$6/2*(1-'1 - Titoli e shock'!$B$8),0)</f>
        <v>0</v>
      </c>
      <c r="J475" s="20">
        <f>IF(AND($B$43&lt;='1 - Titoli e shock'!$B$17,$C475&lt;='1 - Titoli e shock'!$B$17),$D$43*J$6/2*(1-'1 - Titoli e shock'!$B$8),0)</f>
        <v>0</v>
      </c>
      <c r="K475" s="20">
        <f>IF(AND($B$43&lt;='1 - Titoli e shock'!$B$17,$C475&lt;='1 - Titoli e shock'!$B$17),$D$43*K$6/2*(1-'1 - Titoli e shock'!$B$8),0)</f>
        <v>0</v>
      </c>
      <c r="L475" s="20">
        <f>IF(AND($B$43&lt;='1 - Titoli e shock'!$B$17,$C475&lt;='1 - Titoli e shock'!$B$17),$D$43*L$6/2*(1-'1 - Titoli e shock'!$B$8),0)</f>
        <v>0</v>
      </c>
      <c r="M475" s="20">
        <f>IF(AND($B$43&lt;='1 - Titoli e shock'!$B$17,$C475&lt;='1 - Titoli e shock'!$B$17),$D$43*M$6/2*(1-'1 - Titoli e shock'!$B$8),0)</f>
        <v>0</v>
      </c>
      <c r="N475" s="20">
        <f>IF(AND($B$43&lt;='1 - Titoli e shock'!$B$17,$C475&lt;='1 - Titoli e shock'!$B$17),$D$43*N$6/2*(1-'1 - Titoli e shock'!$B$8),0)</f>
        <v>0</v>
      </c>
      <c r="O475" s="20">
        <f>IF(AND($B$43&lt;='1 - Titoli e shock'!$B$17,$C475&lt;='1 - Titoli e shock'!$B$17),$D$43*O$6/2*(1-'1 - Titoli e shock'!$B$8),0)</f>
        <v>0</v>
      </c>
      <c r="P475" s="20">
        <f>IF(AND($B$43&lt;='1 - Titoli e shock'!$B$17,$C475&lt;='1 - Titoli e shock'!$B$17),$D$43*P$6/2*(1-'1 - Titoli e shock'!$B$8),0)</f>
        <v>0</v>
      </c>
      <c r="Q475" s="20">
        <f>IF(AND($B$43&lt;='1 - Titoli e shock'!$B$17,$C475&lt;='1 - Titoli e shock'!$B$17),$D$43*Q$6/2*(1-'1 - Titoli e shock'!$B$8),0)</f>
        <v>0</v>
      </c>
      <c r="R475" s="20">
        <f>IF(AND($B$43&lt;='1 - Titoli e shock'!$B$17,$C475&lt;='1 - Titoli e shock'!$B$17),$D$43*R$6/2*(1-'1 - Titoli e shock'!$B$8),0)</f>
        <v>0</v>
      </c>
      <c r="S475" s="20">
        <f>IF(AND($B$43&lt;='1 - Titoli e shock'!$B$17,$C475&lt;='1 - Titoli e shock'!$B$17),$D$43*S$6/2*(1-'1 - Titoli e shock'!$B$8),0)</f>
        <v>0</v>
      </c>
      <c r="T475" s="20">
        <f>IF(AND($B$43&lt;='1 - Titoli e shock'!$B$17,$C475&lt;='1 - Titoli e shock'!$B$17),$D$43*T$6/2*(1-'1 - Titoli e shock'!$B$8),0)</f>
        <v>0</v>
      </c>
      <c r="U475" s="20">
        <f>IF(AND($B$43&lt;='1 - Titoli e shock'!$B$17,$C475&lt;='1 - Titoli e shock'!$B$17),$D$43*U$6/2*(1-'1 - Titoli e shock'!$B$8),0)</f>
        <v>0</v>
      </c>
    </row>
    <row r="476" spans="1:21">
      <c r="A476" s="15" t="s">
        <v>267</v>
      </c>
      <c r="B476" s="22" t="str">
        <f>A43</f>
        <v>BTP 4,00% ott 2036</v>
      </c>
      <c r="C476" s="13">
        <f>EDATE($B$43,6*2)</f>
        <v>50314</v>
      </c>
      <c r="D476" s="23">
        <f>MAX(1,(YEAR(C476)-YEAR('1 - Titoli e shock'!$B$6))+IF(MONTH(C476)*100+DAY(C476)&gt;MONTH('1 - Titoli e shock'!$B$6)*100+DAY('1 - Titoli e shock'!$B$6),1,0))</f>
        <v>11</v>
      </c>
      <c r="F476" s="20">
        <f>IF(AND($B$43&lt;='1 - Titoli e shock'!$B$17,$C476&lt;='1 - Titoli e shock'!$B$17),$D$43*F$6/2*(1-'1 - Titoli e shock'!$B$8),0)</f>
        <v>0</v>
      </c>
      <c r="G476" s="20">
        <f>IF(AND($B$43&lt;='1 - Titoli e shock'!$B$17,$C476&lt;='1 - Titoli e shock'!$B$17),$D$43*G$6/2*(1-'1 - Titoli e shock'!$B$8),0)</f>
        <v>0</v>
      </c>
      <c r="H476" s="20">
        <f>IF(AND($B$43&lt;='1 - Titoli e shock'!$B$17,$C476&lt;='1 - Titoli e shock'!$B$17),$D$43*H$6/2*(1-'1 - Titoli e shock'!$B$8),0)</f>
        <v>0</v>
      </c>
      <c r="I476" s="20">
        <f>IF(AND($B$43&lt;='1 - Titoli e shock'!$B$17,$C476&lt;='1 - Titoli e shock'!$B$17),$D$43*I$6/2*(1-'1 - Titoli e shock'!$B$8),0)</f>
        <v>0</v>
      </c>
      <c r="J476" s="20">
        <f>IF(AND($B$43&lt;='1 - Titoli e shock'!$B$17,$C476&lt;='1 - Titoli e shock'!$B$17),$D$43*J$6/2*(1-'1 - Titoli e shock'!$B$8),0)</f>
        <v>0</v>
      </c>
      <c r="K476" s="20">
        <f>IF(AND($B$43&lt;='1 - Titoli e shock'!$B$17,$C476&lt;='1 - Titoli e shock'!$B$17),$D$43*K$6/2*(1-'1 - Titoli e shock'!$B$8),0)</f>
        <v>0</v>
      </c>
      <c r="L476" s="20">
        <f>IF(AND($B$43&lt;='1 - Titoli e shock'!$B$17,$C476&lt;='1 - Titoli e shock'!$B$17),$D$43*L$6/2*(1-'1 - Titoli e shock'!$B$8),0)</f>
        <v>0</v>
      </c>
      <c r="M476" s="20">
        <f>IF(AND($B$43&lt;='1 - Titoli e shock'!$B$17,$C476&lt;='1 - Titoli e shock'!$B$17),$D$43*M$6/2*(1-'1 - Titoli e shock'!$B$8),0)</f>
        <v>0</v>
      </c>
      <c r="N476" s="20">
        <f>IF(AND($B$43&lt;='1 - Titoli e shock'!$B$17,$C476&lt;='1 - Titoli e shock'!$B$17),$D$43*N$6/2*(1-'1 - Titoli e shock'!$B$8),0)</f>
        <v>0</v>
      </c>
      <c r="O476" s="20">
        <f>IF(AND($B$43&lt;='1 - Titoli e shock'!$B$17,$C476&lt;='1 - Titoli e shock'!$B$17),$D$43*O$6/2*(1-'1 - Titoli e shock'!$B$8),0)</f>
        <v>0</v>
      </c>
      <c r="P476" s="20">
        <f>IF(AND($B$43&lt;='1 - Titoli e shock'!$B$17,$C476&lt;='1 - Titoli e shock'!$B$17),$D$43*P$6/2*(1-'1 - Titoli e shock'!$B$8),0)</f>
        <v>0</v>
      </c>
      <c r="Q476" s="20">
        <f>IF(AND($B$43&lt;='1 - Titoli e shock'!$B$17,$C476&lt;='1 - Titoli e shock'!$B$17),$D$43*Q$6/2*(1-'1 - Titoli e shock'!$B$8),0)</f>
        <v>0</v>
      </c>
      <c r="R476" s="20">
        <f>IF(AND($B$43&lt;='1 - Titoli e shock'!$B$17,$C476&lt;='1 - Titoli e shock'!$B$17),$D$43*R$6/2*(1-'1 - Titoli e shock'!$B$8),0)</f>
        <v>0</v>
      </c>
      <c r="S476" s="20">
        <f>IF(AND($B$43&lt;='1 - Titoli e shock'!$B$17,$C476&lt;='1 - Titoli e shock'!$B$17),$D$43*S$6/2*(1-'1 - Titoli e shock'!$B$8),0)</f>
        <v>0</v>
      </c>
      <c r="T476" s="20">
        <f>IF(AND($B$43&lt;='1 - Titoli e shock'!$B$17,$C476&lt;='1 - Titoli e shock'!$B$17),$D$43*T$6/2*(1-'1 - Titoli e shock'!$B$8),0)</f>
        <v>0</v>
      </c>
      <c r="U476" s="20">
        <f>IF(AND($B$43&lt;='1 - Titoli e shock'!$B$17,$C476&lt;='1 - Titoli e shock'!$B$17),$D$43*U$6/2*(1-'1 - Titoli e shock'!$B$8),0)</f>
        <v>0</v>
      </c>
    </row>
    <row r="477" spans="1:21">
      <c r="A477" s="15" t="s">
        <v>267</v>
      </c>
      <c r="B477" s="22" t="str">
        <f>A43</f>
        <v>BTP 4,00% ott 2036</v>
      </c>
      <c r="C477" s="13">
        <f>EDATE($B$43,6*3)</f>
        <v>50496</v>
      </c>
      <c r="D477" s="23">
        <f>MAX(1,(YEAR(C477)-YEAR('1 - Titoli e shock'!$B$6))+IF(MONTH(C477)*100+DAY(C477)&gt;MONTH('1 - Titoli e shock'!$B$6)*100+DAY('1 - Titoli e shock'!$B$6),1,0))</f>
        <v>12</v>
      </c>
      <c r="F477" s="20">
        <f>IF(AND($B$43&lt;='1 - Titoli e shock'!$B$17,$C477&lt;='1 - Titoli e shock'!$B$17),$D$43*F$6/2*(1-'1 - Titoli e shock'!$B$8),0)</f>
        <v>0</v>
      </c>
      <c r="G477" s="20">
        <f>IF(AND($B$43&lt;='1 - Titoli e shock'!$B$17,$C477&lt;='1 - Titoli e shock'!$B$17),$D$43*G$6/2*(1-'1 - Titoli e shock'!$B$8),0)</f>
        <v>0</v>
      </c>
      <c r="H477" s="20">
        <f>IF(AND($B$43&lt;='1 - Titoli e shock'!$B$17,$C477&lt;='1 - Titoli e shock'!$B$17),$D$43*H$6/2*(1-'1 - Titoli e shock'!$B$8),0)</f>
        <v>0</v>
      </c>
      <c r="I477" s="20">
        <f>IF(AND($B$43&lt;='1 - Titoli e shock'!$B$17,$C477&lt;='1 - Titoli e shock'!$B$17),$D$43*I$6/2*(1-'1 - Titoli e shock'!$B$8),0)</f>
        <v>0</v>
      </c>
      <c r="J477" s="20">
        <f>IF(AND($B$43&lt;='1 - Titoli e shock'!$B$17,$C477&lt;='1 - Titoli e shock'!$B$17),$D$43*J$6/2*(1-'1 - Titoli e shock'!$B$8),0)</f>
        <v>0</v>
      </c>
      <c r="K477" s="20">
        <f>IF(AND($B$43&lt;='1 - Titoli e shock'!$B$17,$C477&lt;='1 - Titoli e shock'!$B$17),$D$43*K$6/2*(1-'1 - Titoli e shock'!$B$8),0)</f>
        <v>0</v>
      </c>
      <c r="L477" s="20">
        <f>IF(AND($B$43&lt;='1 - Titoli e shock'!$B$17,$C477&lt;='1 - Titoli e shock'!$B$17),$D$43*L$6/2*(1-'1 - Titoli e shock'!$B$8),0)</f>
        <v>0</v>
      </c>
      <c r="M477" s="20">
        <f>IF(AND($B$43&lt;='1 - Titoli e shock'!$B$17,$C477&lt;='1 - Titoli e shock'!$B$17),$D$43*M$6/2*(1-'1 - Titoli e shock'!$B$8),0)</f>
        <v>0</v>
      </c>
      <c r="N477" s="20">
        <f>IF(AND($B$43&lt;='1 - Titoli e shock'!$B$17,$C477&lt;='1 - Titoli e shock'!$B$17),$D$43*N$6/2*(1-'1 - Titoli e shock'!$B$8),0)</f>
        <v>0</v>
      </c>
      <c r="O477" s="20">
        <f>IF(AND($B$43&lt;='1 - Titoli e shock'!$B$17,$C477&lt;='1 - Titoli e shock'!$B$17),$D$43*O$6/2*(1-'1 - Titoli e shock'!$B$8),0)</f>
        <v>0</v>
      </c>
      <c r="P477" s="20">
        <f>IF(AND($B$43&lt;='1 - Titoli e shock'!$B$17,$C477&lt;='1 - Titoli e shock'!$B$17),$D$43*P$6/2*(1-'1 - Titoli e shock'!$B$8),0)</f>
        <v>0</v>
      </c>
      <c r="Q477" s="20">
        <f>IF(AND($B$43&lt;='1 - Titoli e shock'!$B$17,$C477&lt;='1 - Titoli e shock'!$B$17),$D$43*Q$6/2*(1-'1 - Titoli e shock'!$B$8),0)</f>
        <v>0</v>
      </c>
      <c r="R477" s="20">
        <f>IF(AND($B$43&lt;='1 - Titoli e shock'!$B$17,$C477&lt;='1 - Titoli e shock'!$B$17),$D$43*R$6/2*(1-'1 - Titoli e shock'!$B$8),0)</f>
        <v>0</v>
      </c>
      <c r="S477" s="20">
        <f>IF(AND($B$43&lt;='1 - Titoli e shock'!$B$17,$C477&lt;='1 - Titoli e shock'!$B$17),$D$43*S$6/2*(1-'1 - Titoli e shock'!$B$8),0)</f>
        <v>0</v>
      </c>
      <c r="T477" s="20">
        <f>IF(AND($B$43&lt;='1 - Titoli e shock'!$B$17,$C477&lt;='1 - Titoli e shock'!$B$17),$D$43*T$6/2*(1-'1 - Titoli e shock'!$B$8),0)</f>
        <v>0</v>
      </c>
      <c r="U477" s="20">
        <f>IF(AND($B$43&lt;='1 - Titoli e shock'!$B$17,$C477&lt;='1 - Titoli e shock'!$B$17),$D$43*U$6/2*(1-'1 - Titoli e shock'!$B$8),0)</f>
        <v>0</v>
      </c>
    </row>
    <row r="478" spans="1:21">
      <c r="A478" s="15" t="s">
        <v>267</v>
      </c>
      <c r="B478" s="22" t="str">
        <f>A43</f>
        <v>BTP 4,00% ott 2036</v>
      </c>
      <c r="C478" s="13">
        <f>EDATE($B$43,6*4)</f>
        <v>50679</v>
      </c>
      <c r="D478" s="23">
        <f>MAX(1,(YEAR(C478)-YEAR('1 - Titoli e shock'!$B$6))+IF(MONTH(C478)*100+DAY(C478)&gt;MONTH('1 - Titoli e shock'!$B$6)*100+DAY('1 - Titoli e shock'!$B$6),1,0))</f>
        <v>12</v>
      </c>
      <c r="F478" s="20">
        <f>IF(AND($B$43&lt;='1 - Titoli e shock'!$B$17,$C478&lt;='1 - Titoli e shock'!$B$17),$D$43*F$6/2*(1-'1 - Titoli e shock'!$B$8),0)</f>
        <v>0</v>
      </c>
      <c r="G478" s="20">
        <f>IF(AND($B$43&lt;='1 - Titoli e shock'!$B$17,$C478&lt;='1 - Titoli e shock'!$B$17),$D$43*G$6/2*(1-'1 - Titoli e shock'!$B$8),0)</f>
        <v>0</v>
      </c>
      <c r="H478" s="20">
        <f>IF(AND($B$43&lt;='1 - Titoli e shock'!$B$17,$C478&lt;='1 - Titoli e shock'!$B$17),$D$43*H$6/2*(1-'1 - Titoli e shock'!$B$8),0)</f>
        <v>0</v>
      </c>
      <c r="I478" s="20">
        <f>IF(AND($B$43&lt;='1 - Titoli e shock'!$B$17,$C478&lt;='1 - Titoli e shock'!$B$17),$D$43*I$6/2*(1-'1 - Titoli e shock'!$B$8),0)</f>
        <v>0</v>
      </c>
      <c r="J478" s="20">
        <f>IF(AND($B$43&lt;='1 - Titoli e shock'!$B$17,$C478&lt;='1 - Titoli e shock'!$B$17),$D$43*J$6/2*(1-'1 - Titoli e shock'!$B$8),0)</f>
        <v>0</v>
      </c>
      <c r="K478" s="20">
        <f>IF(AND($B$43&lt;='1 - Titoli e shock'!$B$17,$C478&lt;='1 - Titoli e shock'!$B$17),$D$43*K$6/2*(1-'1 - Titoli e shock'!$B$8),0)</f>
        <v>0</v>
      </c>
      <c r="L478" s="20">
        <f>IF(AND($B$43&lt;='1 - Titoli e shock'!$B$17,$C478&lt;='1 - Titoli e shock'!$B$17),$D$43*L$6/2*(1-'1 - Titoli e shock'!$B$8),0)</f>
        <v>0</v>
      </c>
      <c r="M478" s="20">
        <f>IF(AND($B$43&lt;='1 - Titoli e shock'!$B$17,$C478&lt;='1 - Titoli e shock'!$B$17),$D$43*M$6/2*(1-'1 - Titoli e shock'!$B$8),0)</f>
        <v>0</v>
      </c>
      <c r="N478" s="20">
        <f>IF(AND($B$43&lt;='1 - Titoli e shock'!$B$17,$C478&lt;='1 - Titoli e shock'!$B$17),$D$43*N$6/2*(1-'1 - Titoli e shock'!$B$8),0)</f>
        <v>0</v>
      </c>
      <c r="O478" s="20">
        <f>IF(AND($B$43&lt;='1 - Titoli e shock'!$B$17,$C478&lt;='1 - Titoli e shock'!$B$17),$D$43*O$6/2*(1-'1 - Titoli e shock'!$B$8),0)</f>
        <v>0</v>
      </c>
      <c r="P478" s="20">
        <f>IF(AND($B$43&lt;='1 - Titoli e shock'!$B$17,$C478&lt;='1 - Titoli e shock'!$B$17),$D$43*P$6/2*(1-'1 - Titoli e shock'!$B$8),0)</f>
        <v>0</v>
      </c>
      <c r="Q478" s="20">
        <f>IF(AND($B$43&lt;='1 - Titoli e shock'!$B$17,$C478&lt;='1 - Titoli e shock'!$B$17),$D$43*Q$6/2*(1-'1 - Titoli e shock'!$B$8),0)</f>
        <v>0</v>
      </c>
      <c r="R478" s="20">
        <f>IF(AND($B$43&lt;='1 - Titoli e shock'!$B$17,$C478&lt;='1 - Titoli e shock'!$B$17),$D$43*R$6/2*(1-'1 - Titoli e shock'!$B$8),0)</f>
        <v>0</v>
      </c>
      <c r="S478" s="20">
        <f>IF(AND($B$43&lt;='1 - Titoli e shock'!$B$17,$C478&lt;='1 - Titoli e shock'!$B$17),$D$43*S$6/2*(1-'1 - Titoli e shock'!$B$8),0)</f>
        <v>0</v>
      </c>
      <c r="T478" s="20">
        <f>IF(AND($B$43&lt;='1 - Titoli e shock'!$B$17,$C478&lt;='1 - Titoli e shock'!$B$17),$D$43*T$6/2*(1-'1 - Titoli e shock'!$B$8),0)</f>
        <v>0</v>
      </c>
      <c r="U478" s="20">
        <f>IF(AND($B$43&lt;='1 - Titoli e shock'!$B$17,$C478&lt;='1 - Titoli e shock'!$B$17),$D$43*U$6/2*(1-'1 - Titoli e shock'!$B$8),0)</f>
        <v>0</v>
      </c>
    </row>
    <row r="479" spans="1:21">
      <c r="A479" s="15" t="s">
        <v>267</v>
      </c>
      <c r="B479" s="22" t="str">
        <f>A43</f>
        <v>BTP 4,00% ott 2036</v>
      </c>
      <c r="C479" s="13">
        <f>EDATE($B$43,6*5)</f>
        <v>50861</v>
      </c>
      <c r="D479" s="23">
        <f>MAX(1,(YEAR(C479)-YEAR('1 - Titoli e shock'!$B$6))+IF(MONTH(C479)*100+DAY(C479)&gt;MONTH('1 - Titoli e shock'!$B$6)*100+DAY('1 - Titoli e shock'!$B$6),1,0))</f>
        <v>13</v>
      </c>
      <c r="F479" s="20">
        <f>IF(AND($B$43&lt;='1 - Titoli e shock'!$B$17,$C479&lt;='1 - Titoli e shock'!$B$17),$D$43*F$6/2*(1-'1 - Titoli e shock'!$B$8),0)</f>
        <v>0</v>
      </c>
      <c r="G479" s="20">
        <f>IF(AND($B$43&lt;='1 - Titoli e shock'!$B$17,$C479&lt;='1 - Titoli e shock'!$B$17),$D$43*G$6/2*(1-'1 - Titoli e shock'!$B$8),0)</f>
        <v>0</v>
      </c>
      <c r="H479" s="20">
        <f>IF(AND($B$43&lt;='1 - Titoli e shock'!$B$17,$C479&lt;='1 - Titoli e shock'!$B$17),$D$43*H$6/2*(1-'1 - Titoli e shock'!$B$8),0)</f>
        <v>0</v>
      </c>
      <c r="I479" s="20">
        <f>IF(AND($B$43&lt;='1 - Titoli e shock'!$B$17,$C479&lt;='1 - Titoli e shock'!$B$17),$D$43*I$6/2*(1-'1 - Titoli e shock'!$B$8),0)</f>
        <v>0</v>
      </c>
      <c r="J479" s="20">
        <f>IF(AND($B$43&lt;='1 - Titoli e shock'!$B$17,$C479&lt;='1 - Titoli e shock'!$B$17),$D$43*J$6/2*(1-'1 - Titoli e shock'!$B$8),0)</f>
        <v>0</v>
      </c>
      <c r="K479" s="20">
        <f>IF(AND($B$43&lt;='1 - Titoli e shock'!$B$17,$C479&lt;='1 - Titoli e shock'!$B$17),$D$43*K$6/2*(1-'1 - Titoli e shock'!$B$8),0)</f>
        <v>0</v>
      </c>
      <c r="L479" s="20">
        <f>IF(AND($B$43&lt;='1 - Titoli e shock'!$B$17,$C479&lt;='1 - Titoli e shock'!$B$17),$D$43*L$6/2*(1-'1 - Titoli e shock'!$B$8),0)</f>
        <v>0</v>
      </c>
      <c r="M479" s="20">
        <f>IF(AND($B$43&lt;='1 - Titoli e shock'!$B$17,$C479&lt;='1 - Titoli e shock'!$B$17),$D$43*M$6/2*(1-'1 - Titoli e shock'!$B$8),0)</f>
        <v>0</v>
      </c>
      <c r="N479" s="20">
        <f>IF(AND($B$43&lt;='1 - Titoli e shock'!$B$17,$C479&lt;='1 - Titoli e shock'!$B$17),$D$43*N$6/2*(1-'1 - Titoli e shock'!$B$8),0)</f>
        <v>0</v>
      </c>
      <c r="O479" s="20">
        <f>IF(AND($B$43&lt;='1 - Titoli e shock'!$B$17,$C479&lt;='1 - Titoli e shock'!$B$17),$D$43*O$6/2*(1-'1 - Titoli e shock'!$B$8),0)</f>
        <v>0</v>
      </c>
      <c r="P479" s="20">
        <f>IF(AND($B$43&lt;='1 - Titoli e shock'!$B$17,$C479&lt;='1 - Titoli e shock'!$B$17),$D$43*P$6/2*(1-'1 - Titoli e shock'!$B$8),0)</f>
        <v>0</v>
      </c>
      <c r="Q479" s="20">
        <f>IF(AND($B$43&lt;='1 - Titoli e shock'!$B$17,$C479&lt;='1 - Titoli e shock'!$B$17),$D$43*Q$6/2*(1-'1 - Titoli e shock'!$B$8),0)</f>
        <v>0</v>
      </c>
      <c r="R479" s="20">
        <f>IF(AND($B$43&lt;='1 - Titoli e shock'!$B$17,$C479&lt;='1 - Titoli e shock'!$B$17),$D$43*R$6/2*(1-'1 - Titoli e shock'!$B$8),0)</f>
        <v>0</v>
      </c>
      <c r="S479" s="20">
        <f>IF(AND($B$43&lt;='1 - Titoli e shock'!$B$17,$C479&lt;='1 - Titoli e shock'!$B$17),$D$43*S$6/2*(1-'1 - Titoli e shock'!$B$8),0)</f>
        <v>0</v>
      </c>
      <c r="T479" s="20">
        <f>IF(AND($B$43&lt;='1 - Titoli e shock'!$B$17,$C479&lt;='1 - Titoli e shock'!$B$17),$D$43*T$6/2*(1-'1 - Titoli e shock'!$B$8),0)</f>
        <v>0</v>
      </c>
      <c r="U479" s="20">
        <f>IF(AND($B$43&lt;='1 - Titoli e shock'!$B$17,$C479&lt;='1 - Titoli e shock'!$B$17),$D$43*U$6/2*(1-'1 - Titoli e shock'!$B$8),0)</f>
        <v>0</v>
      </c>
    </row>
    <row r="480" spans="1:21">
      <c r="A480" s="15" t="s">
        <v>267</v>
      </c>
      <c r="B480" s="22" t="str">
        <f>A43</f>
        <v>BTP 4,00% ott 2036</v>
      </c>
      <c r="C480" s="13">
        <f>EDATE($B$43,6*6)</f>
        <v>51044</v>
      </c>
      <c r="D480" s="23">
        <f>MAX(1,(YEAR(C480)-YEAR('1 - Titoli e shock'!$B$6))+IF(MONTH(C480)*100+DAY(C480)&gt;MONTH('1 - Titoli e shock'!$B$6)*100+DAY('1 - Titoli e shock'!$B$6),1,0))</f>
        <v>13</v>
      </c>
      <c r="F480" s="20">
        <f>IF(AND($B$43&lt;='1 - Titoli e shock'!$B$17,$C480&lt;='1 - Titoli e shock'!$B$17),$D$43*F$6/2*(1-'1 - Titoli e shock'!$B$8),0)</f>
        <v>0</v>
      </c>
      <c r="G480" s="20">
        <f>IF(AND($B$43&lt;='1 - Titoli e shock'!$B$17,$C480&lt;='1 - Titoli e shock'!$B$17),$D$43*G$6/2*(1-'1 - Titoli e shock'!$B$8),0)</f>
        <v>0</v>
      </c>
      <c r="H480" s="20">
        <f>IF(AND($B$43&lt;='1 - Titoli e shock'!$B$17,$C480&lt;='1 - Titoli e shock'!$B$17),$D$43*H$6/2*(1-'1 - Titoli e shock'!$B$8),0)</f>
        <v>0</v>
      </c>
      <c r="I480" s="20">
        <f>IF(AND($B$43&lt;='1 - Titoli e shock'!$B$17,$C480&lt;='1 - Titoli e shock'!$B$17),$D$43*I$6/2*(1-'1 - Titoli e shock'!$B$8),0)</f>
        <v>0</v>
      </c>
      <c r="J480" s="20">
        <f>IF(AND($B$43&lt;='1 - Titoli e shock'!$B$17,$C480&lt;='1 - Titoli e shock'!$B$17),$D$43*J$6/2*(1-'1 - Titoli e shock'!$B$8),0)</f>
        <v>0</v>
      </c>
      <c r="K480" s="20">
        <f>IF(AND($B$43&lt;='1 - Titoli e shock'!$B$17,$C480&lt;='1 - Titoli e shock'!$B$17),$D$43*K$6/2*(1-'1 - Titoli e shock'!$B$8),0)</f>
        <v>0</v>
      </c>
      <c r="L480" s="20">
        <f>IF(AND($B$43&lt;='1 - Titoli e shock'!$B$17,$C480&lt;='1 - Titoli e shock'!$B$17),$D$43*L$6/2*(1-'1 - Titoli e shock'!$B$8),0)</f>
        <v>0</v>
      </c>
      <c r="M480" s="20">
        <f>IF(AND($B$43&lt;='1 - Titoli e shock'!$B$17,$C480&lt;='1 - Titoli e shock'!$B$17),$D$43*M$6/2*(1-'1 - Titoli e shock'!$B$8),0)</f>
        <v>0</v>
      </c>
      <c r="N480" s="20">
        <f>IF(AND($B$43&lt;='1 - Titoli e shock'!$B$17,$C480&lt;='1 - Titoli e shock'!$B$17),$D$43*N$6/2*(1-'1 - Titoli e shock'!$B$8),0)</f>
        <v>0</v>
      </c>
      <c r="O480" s="20">
        <f>IF(AND($B$43&lt;='1 - Titoli e shock'!$B$17,$C480&lt;='1 - Titoli e shock'!$B$17),$D$43*O$6/2*(1-'1 - Titoli e shock'!$B$8),0)</f>
        <v>0</v>
      </c>
      <c r="P480" s="20">
        <f>IF(AND($B$43&lt;='1 - Titoli e shock'!$B$17,$C480&lt;='1 - Titoli e shock'!$B$17),$D$43*P$6/2*(1-'1 - Titoli e shock'!$B$8),0)</f>
        <v>0</v>
      </c>
      <c r="Q480" s="20">
        <f>IF(AND($B$43&lt;='1 - Titoli e shock'!$B$17,$C480&lt;='1 - Titoli e shock'!$B$17),$D$43*Q$6/2*(1-'1 - Titoli e shock'!$B$8),0)</f>
        <v>0</v>
      </c>
      <c r="R480" s="20">
        <f>IF(AND($B$43&lt;='1 - Titoli e shock'!$B$17,$C480&lt;='1 - Titoli e shock'!$B$17),$D$43*R$6/2*(1-'1 - Titoli e shock'!$B$8),0)</f>
        <v>0</v>
      </c>
      <c r="S480" s="20">
        <f>IF(AND($B$43&lt;='1 - Titoli e shock'!$B$17,$C480&lt;='1 - Titoli e shock'!$B$17),$D$43*S$6/2*(1-'1 - Titoli e shock'!$B$8),0)</f>
        <v>0</v>
      </c>
      <c r="T480" s="20">
        <f>IF(AND($B$43&lt;='1 - Titoli e shock'!$B$17,$C480&lt;='1 - Titoli e shock'!$B$17),$D$43*T$6/2*(1-'1 - Titoli e shock'!$B$8),0)</f>
        <v>0</v>
      </c>
      <c r="U480" s="20">
        <f>IF(AND($B$43&lt;='1 - Titoli e shock'!$B$17,$C480&lt;='1 - Titoli e shock'!$B$17),$D$43*U$6/2*(1-'1 - Titoli e shock'!$B$8),0)</f>
        <v>0</v>
      </c>
    </row>
    <row r="481" spans="1:21">
      <c r="A481" s="15" t="s">
        <v>267</v>
      </c>
      <c r="B481" s="22" t="str">
        <f>A43</f>
        <v>BTP 4,00% ott 2036</v>
      </c>
      <c r="C481" s="13">
        <f>EDATE($B$43,6*7)</f>
        <v>51227</v>
      </c>
      <c r="D481" s="23">
        <f>MAX(1,(YEAR(C481)-YEAR('1 - Titoli e shock'!$B$6))+IF(MONTH(C481)*100+DAY(C481)&gt;MONTH('1 - Titoli e shock'!$B$6)*100+DAY('1 - Titoli e shock'!$B$6),1,0))</f>
        <v>14</v>
      </c>
      <c r="F481" s="20">
        <f>IF(AND($B$43&lt;='1 - Titoli e shock'!$B$17,$C481&lt;='1 - Titoli e shock'!$B$17),$D$43*F$6/2*(1-'1 - Titoli e shock'!$B$8),0)</f>
        <v>0</v>
      </c>
      <c r="G481" s="20">
        <f>IF(AND($B$43&lt;='1 - Titoli e shock'!$B$17,$C481&lt;='1 - Titoli e shock'!$B$17),$D$43*G$6/2*(1-'1 - Titoli e shock'!$B$8),0)</f>
        <v>0</v>
      </c>
      <c r="H481" s="20">
        <f>IF(AND($B$43&lt;='1 - Titoli e shock'!$B$17,$C481&lt;='1 - Titoli e shock'!$B$17),$D$43*H$6/2*(1-'1 - Titoli e shock'!$B$8),0)</f>
        <v>0</v>
      </c>
      <c r="I481" s="20">
        <f>IF(AND($B$43&lt;='1 - Titoli e shock'!$B$17,$C481&lt;='1 - Titoli e shock'!$B$17),$D$43*I$6/2*(1-'1 - Titoli e shock'!$B$8),0)</f>
        <v>0</v>
      </c>
      <c r="J481" s="20">
        <f>IF(AND($B$43&lt;='1 - Titoli e shock'!$B$17,$C481&lt;='1 - Titoli e shock'!$B$17),$D$43*J$6/2*(1-'1 - Titoli e shock'!$B$8),0)</f>
        <v>0</v>
      </c>
      <c r="K481" s="20">
        <f>IF(AND($B$43&lt;='1 - Titoli e shock'!$B$17,$C481&lt;='1 - Titoli e shock'!$B$17),$D$43*K$6/2*(1-'1 - Titoli e shock'!$B$8),0)</f>
        <v>0</v>
      </c>
      <c r="L481" s="20">
        <f>IF(AND($B$43&lt;='1 - Titoli e shock'!$B$17,$C481&lt;='1 - Titoli e shock'!$B$17),$D$43*L$6/2*(1-'1 - Titoli e shock'!$B$8),0)</f>
        <v>0</v>
      </c>
      <c r="M481" s="20">
        <f>IF(AND($B$43&lt;='1 - Titoli e shock'!$B$17,$C481&lt;='1 - Titoli e shock'!$B$17),$D$43*M$6/2*(1-'1 - Titoli e shock'!$B$8),0)</f>
        <v>0</v>
      </c>
      <c r="N481" s="20">
        <f>IF(AND($B$43&lt;='1 - Titoli e shock'!$B$17,$C481&lt;='1 - Titoli e shock'!$B$17),$D$43*N$6/2*(1-'1 - Titoli e shock'!$B$8),0)</f>
        <v>0</v>
      </c>
      <c r="O481" s="20">
        <f>IF(AND($B$43&lt;='1 - Titoli e shock'!$B$17,$C481&lt;='1 - Titoli e shock'!$B$17),$D$43*O$6/2*(1-'1 - Titoli e shock'!$B$8),0)</f>
        <v>0</v>
      </c>
      <c r="P481" s="20">
        <f>IF(AND($B$43&lt;='1 - Titoli e shock'!$B$17,$C481&lt;='1 - Titoli e shock'!$B$17),$D$43*P$6/2*(1-'1 - Titoli e shock'!$B$8),0)</f>
        <v>0</v>
      </c>
      <c r="Q481" s="20">
        <f>IF(AND($B$43&lt;='1 - Titoli e shock'!$B$17,$C481&lt;='1 - Titoli e shock'!$B$17),$D$43*Q$6/2*(1-'1 - Titoli e shock'!$B$8),0)</f>
        <v>0</v>
      </c>
      <c r="R481" s="20">
        <f>IF(AND($B$43&lt;='1 - Titoli e shock'!$B$17,$C481&lt;='1 - Titoli e shock'!$B$17),$D$43*R$6/2*(1-'1 - Titoli e shock'!$B$8),0)</f>
        <v>0</v>
      </c>
      <c r="S481" s="20">
        <f>IF(AND($B$43&lt;='1 - Titoli e shock'!$B$17,$C481&lt;='1 - Titoli e shock'!$B$17),$D$43*S$6/2*(1-'1 - Titoli e shock'!$B$8),0)</f>
        <v>0</v>
      </c>
      <c r="T481" s="20">
        <f>IF(AND($B$43&lt;='1 - Titoli e shock'!$B$17,$C481&lt;='1 - Titoli e shock'!$B$17),$D$43*T$6/2*(1-'1 - Titoli e shock'!$B$8),0)</f>
        <v>0</v>
      </c>
      <c r="U481" s="20">
        <f>IF(AND($B$43&lt;='1 - Titoli e shock'!$B$17,$C481&lt;='1 - Titoli e shock'!$B$17),$D$43*U$6/2*(1-'1 - Titoli e shock'!$B$8),0)</f>
        <v>0</v>
      </c>
    </row>
    <row r="482" spans="1:21">
      <c r="A482" s="15" t="s">
        <v>267</v>
      </c>
      <c r="B482" s="22" t="str">
        <f>A43</f>
        <v>BTP 4,00% ott 2036</v>
      </c>
      <c r="C482" s="13">
        <f>EDATE($B$43,6*8)</f>
        <v>51410</v>
      </c>
      <c r="D482" s="23">
        <f>MAX(1,(YEAR(C482)-YEAR('1 - Titoli e shock'!$B$6))+IF(MONTH(C482)*100+DAY(C482)&gt;MONTH('1 - Titoli e shock'!$B$6)*100+DAY('1 - Titoli e shock'!$B$6),1,0))</f>
        <v>14</v>
      </c>
      <c r="F482" s="20">
        <f>IF(AND($B$43&lt;='1 - Titoli e shock'!$B$17,$C482&lt;='1 - Titoli e shock'!$B$17),$D$43*F$6/2*(1-'1 - Titoli e shock'!$B$8),0)</f>
        <v>0</v>
      </c>
      <c r="G482" s="20">
        <f>IF(AND($B$43&lt;='1 - Titoli e shock'!$B$17,$C482&lt;='1 - Titoli e shock'!$B$17),$D$43*G$6/2*(1-'1 - Titoli e shock'!$B$8),0)</f>
        <v>0</v>
      </c>
      <c r="H482" s="20">
        <f>IF(AND($B$43&lt;='1 - Titoli e shock'!$B$17,$C482&lt;='1 - Titoli e shock'!$B$17),$D$43*H$6/2*(1-'1 - Titoli e shock'!$B$8),0)</f>
        <v>0</v>
      </c>
      <c r="I482" s="20">
        <f>IF(AND($B$43&lt;='1 - Titoli e shock'!$B$17,$C482&lt;='1 - Titoli e shock'!$B$17),$D$43*I$6/2*(1-'1 - Titoli e shock'!$B$8),0)</f>
        <v>0</v>
      </c>
      <c r="J482" s="20">
        <f>IF(AND($B$43&lt;='1 - Titoli e shock'!$B$17,$C482&lt;='1 - Titoli e shock'!$B$17),$D$43*J$6/2*(1-'1 - Titoli e shock'!$B$8),0)</f>
        <v>0</v>
      </c>
      <c r="K482" s="20">
        <f>IF(AND($B$43&lt;='1 - Titoli e shock'!$B$17,$C482&lt;='1 - Titoli e shock'!$B$17),$D$43*K$6/2*(1-'1 - Titoli e shock'!$B$8),0)</f>
        <v>0</v>
      </c>
      <c r="L482" s="20">
        <f>IF(AND($B$43&lt;='1 - Titoli e shock'!$B$17,$C482&lt;='1 - Titoli e shock'!$B$17),$D$43*L$6/2*(1-'1 - Titoli e shock'!$B$8),0)</f>
        <v>0</v>
      </c>
      <c r="M482" s="20">
        <f>IF(AND($B$43&lt;='1 - Titoli e shock'!$B$17,$C482&lt;='1 - Titoli e shock'!$B$17),$D$43*M$6/2*(1-'1 - Titoli e shock'!$B$8),0)</f>
        <v>0</v>
      </c>
      <c r="N482" s="20">
        <f>IF(AND($B$43&lt;='1 - Titoli e shock'!$B$17,$C482&lt;='1 - Titoli e shock'!$B$17),$D$43*N$6/2*(1-'1 - Titoli e shock'!$B$8),0)</f>
        <v>0</v>
      </c>
      <c r="O482" s="20">
        <f>IF(AND($B$43&lt;='1 - Titoli e shock'!$B$17,$C482&lt;='1 - Titoli e shock'!$B$17),$D$43*O$6/2*(1-'1 - Titoli e shock'!$B$8),0)</f>
        <v>0</v>
      </c>
      <c r="P482" s="20">
        <f>IF(AND($B$43&lt;='1 - Titoli e shock'!$B$17,$C482&lt;='1 - Titoli e shock'!$B$17),$D$43*P$6/2*(1-'1 - Titoli e shock'!$B$8),0)</f>
        <v>0</v>
      </c>
      <c r="Q482" s="20">
        <f>IF(AND($B$43&lt;='1 - Titoli e shock'!$B$17,$C482&lt;='1 - Titoli e shock'!$B$17),$D$43*Q$6/2*(1-'1 - Titoli e shock'!$B$8),0)</f>
        <v>0</v>
      </c>
      <c r="R482" s="20">
        <f>IF(AND($B$43&lt;='1 - Titoli e shock'!$B$17,$C482&lt;='1 - Titoli e shock'!$B$17),$D$43*R$6/2*(1-'1 - Titoli e shock'!$B$8),0)</f>
        <v>0</v>
      </c>
      <c r="S482" s="20">
        <f>IF(AND($B$43&lt;='1 - Titoli e shock'!$B$17,$C482&lt;='1 - Titoli e shock'!$B$17),$D$43*S$6/2*(1-'1 - Titoli e shock'!$B$8),0)</f>
        <v>0</v>
      </c>
      <c r="T482" s="20">
        <f>IF(AND($B$43&lt;='1 - Titoli e shock'!$B$17,$C482&lt;='1 - Titoli e shock'!$B$17),$D$43*T$6/2*(1-'1 - Titoli e shock'!$B$8),0)</f>
        <v>0</v>
      </c>
      <c r="U482" s="20">
        <f>IF(AND($B$43&lt;='1 - Titoli e shock'!$B$17,$C482&lt;='1 - Titoli e shock'!$B$17),$D$43*U$6/2*(1-'1 - Titoli e shock'!$B$8),0)</f>
        <v>0</v>
      </c>
    </row>
    <row r="483" spans="1:21">
      <c r="A483" s="15" t="s">
        <v>267</v>
      </c>
      <c r="B483" s="22" t="str">
        <f>A43</f>
        <v>BTP 4,00% ott 2036</v>
      </c>
      <c r="C483" s="13">
        <f>EDATE($B$43,6*9)</f>
        <v>51592</v>
      </c>
      <c r="D483" s="23">
        <f>MAX(1,(YEAR(C483)-YEAR('1 - Titoli e shock'!$B$6))+IF(MONTH(C483)*100+DAY(C483)&gt;MONTH('1 - Titoli e shock'!$B$6)*100+DAY('1 - Titoli e shock'!$B$6),1,0))</f>
        <v>15</v>
      </c>
      <c r="F483" s="20">
        <f>IF(AND($B$43&lt;='1 - Titoli e shock'!$B$17,$C483&lt;='1 - Titoli e shock'!$B$17),$D$43*F$6/2*(1-'1 - Titoli e shock'!$B$8),0)</f>
        <v>0</v>
      </c>
      <c r="G483" s="20">
        <f>IF(AND($B$43&lt;='1 - Titoli e shock'!$B$17,$C483&lt;='1 - Titoli e shock'!$B$17),$D$43*G$6/2*(1-'1 - Titoli e shock'!$B$8),0)</f>
        <v>0</v>
      </c>
      <c r="H483" s="20">
        <f>IF(AND($B$43&lt;='1 - Titoli e shock'!$B$17,$C483&lt;='1 - Titoli e shock'!$B$17),$D$43*H$6/2*(1-'1 - Titoli e shock'!$B$8),0)</f>
        <v>0</v>
      </c>
      <c r="I483" s="20">
        <f>IF(AND($B$43&lt;='1 - Titoli e shock'!$B$17,$C483&lt;='1 - Titoli e shock'!$B$17),$D$43*I$6/2*(1-'1 - Titoli e shock'!$B$8),0)</f>
        <v>0</v>
      </c>
      <c r="J483" s="20">
        <f>IF(AND($B$43&lt;='1 - Titoli e shock'!$B$17,$C483&lt;='1 - Titoli e shock'!$B$17),$D$43*J$6/2*(1-'1 - Titoli e shock'!$B$8),0)</f>
        <v>0</v>
      </c>
      <c r="K483" s="20">
        <f>IF(AND($B$43&lt;='1 - Titoli e shock'!$B$17,$C483&lt;='1 - Titoli e shock'!$B$17),$D$43*K$6/2*(1-'1 - Titoli e shock'!$B$8),0)</f>
        <v>0</v>
      </c>
      <c r="L483" s="20">
        <f>IF(AND($B$43&lt;='1 - Titoli e shock'!$B$17,$C483&lt;='1 - Titoli e shock'!$B$17),$D$43*L$6/2*(1-'1 - Titoli e shock'!$B$8),0)</f>
        <v>0</v>
      </c>
      <c r="M483" s="20">
        <f>IF(AND($B$43&lt;='1 - Titoli e shock'!$B$17,$C483&lt;='1 - Titoli e shock'!$B$17),$D$43*M$6/2*(1-'1 - Titoli e shock'!$B$8),0)</f>
        <v>0</v>
      </c>
      <c r="N483" s="20">
        <f>IF(AND($B$43&lt;='1 - Titoli e shock'!$B$17,$C483&lt;='1 - Titoli e shock'!$B$17),$D$43*N$6/2*(1-'1 - Titoli e shock'!$B$8),0)</f>
        <v>0</v>
      </c>
      <c r="O483" s="20">
        <f>IF(AND($B$43&lt;='1 - Titoli e shock'!$B$17,$C483&lt;='1 - Titoli e shock'!$B$17),$D$43*O$6/2*(1-'1 - Titoli e shock'!$B$8),0)</f>
        <v>0</v>
      </c>
      <c r="P483" s="20">
        <f>IF(AND($B$43&lt;='1 - Titoli e shock'!$B$17,$C483&lt;='1 - Titoli e shock'!$B$17),$D$43*P$6/2*(1-'1 - Titoli e shock'!$B$8),0)</f>
        <v>0</v>
      </c>
      <c r="Q483" s="20">
        <f>IF(AND($B$43&lt;='1 - Titoli e shock'!$B$17,$C483&lt;='1 - Titoli e shock'!$B$17),$D$43*Q$6/2*(1-'1 - Titoli e shock'!$B$8),0)</f>
        <v>0</v>
      </c>
      <c r="R483" s="20">
        <f>IF(AND($B$43&lt;='1 - Titoli e shock'!$B$17,$C483&lt;='1 - Titoli e shock'!$B$17),$D$43*R$6/2*(1-'1 - Titoli e shock'!$B$8),0)</f>
        <v>0</v>
      </c>
      <c r="S483" s="20">
        <f>IF(AND($B$43&lt;='1 - Titoli e shock'!$B$17,$C483&lt;='1 - Titoli e shock'!$B$17),$D$43*S$6/2*(1-'1 - Titoli e shock'!$B$8),0)</f>
        <v>0</v>
      </c>
      <c r="T483" s="20">
        <f>IF(AND($B$43&lt;='1 - Titoli e shock'!$B$17,$C483&lt;='1 - Titoli e shock'!$B$17),$D$43*T$6/2*(1-'1 - Titoli e shock'!$B$8),0)</f>
        <v>0</v>
      </c>
      <c r="U483" s="20">
        <f>IF(AND($B$43&lt;='1 - Titoli e shock'!$B$17,$C483&lt;='1 - Titoli e shock'!$B$17),$D$43*U$6/2*(1-'1 - Titoli e shock'!$B$8),0)</f>
        <v>0</v>
      </c>
    </row>
    <row r="484" spans="1:21">
      <c r="A484" s="15" t="s">
        <v>267</v>
      </c>
      <c r="B484" s="22" t="str">
        <f>A43</f>
        <v>BTP 4,00% ott 2036</v>
      </c>
      <c r="C484" s="13">
        <f>EDATE($B$43,6*10)</f>
        <v>51775</v>
      </c>
      <c r="D484" s="23">
        <f>MAX(1,(YEAR(C484)-YEAR('1 - Titoli e shock'!$B$6))+IF(MONTH(C484)*100+DAY(C484)&gt;MONTH('1 - Titoli e shock'!$B$6)*100+DAY('1 - Titoli e shock'!$B$6),1,0))</f>
        <v>15</v>
      </c>
      <c r="F484" s="20">
        <f>IF(AND($B$43&lt;='1 - Titoli e shock'!$B$17,$C484&lt;='1 - Titoli e shock'!$B$17),$D$43*F$6/2*(1-'1 - Titoli e shock'!$B$8),0)</f>
        <v>0</v>
      </c>
      <c r="G484" s="20">
        <f>IF(AND($B$43&lt;='1 - Titoli e shock'!$B$17,$C484&lt;='1 - Titoli e shock'!$B$17),$D$43*G$6/2*(1-'1 - Titoli e shock'!$B$8),0)</f>
        <v>0</v>
      </c>
      <c r="H484" s="20">
        <f>IF(AND($B$43&lt;='1 - Titoli e shock'!$B$17,$C484&lt;='1 - Titoli e shock'!$B$17),$D$43*H$6/2*(1-'1 - Titoli e shock'!$B$8),0)</f>
        <v>0</v>
      </c>
      <c r="I484" s="20">
        <f>IF(AND($B$43&lt;='1 - Titoli e shock'!$B$17,$C484&lt;='1 - Titoli e shock'!$B$17),$D$43*I$6/2*(1-'1 - Titoli e shock'!$B$8),0)</f>
        <v>0</v>
      </c>
      <c r="J484" s="20">
        <f>IF(AND($B$43&lt;='1 - Titoli e shock'!$B$17,$C484&lt;='1 - Titoli e shock'!$B$17),$D$43*J$6/2*(1-'1 - Titoli e shock'!$B$8),0)</f>
        <v>0</v>
      </c>
      <c r="K484" s="20">
        <f>IF(AND($B$43&lt;='1 - Titoli e shock'!$B$17,$C484&lt;='1 - Titoli e shock'!$B$17),$D$43*K$6/2*(1-'1 - Titoli e shock'!$B$8),0)</f>
        <v>0</v>
      </c>
      <c r="L484" s="20">
        <f>IF(AND($B$43&lt;='1 - Titoli e shock'!$B$17,$C484&lt;='1 - Titoli e shock'!$B$17),$D$43*L$6/2*(1-'1 - Titoli e shock'!$B$8),0)</f>
        <v>0</v>
      </c>
      <c r="M484" s="20">
        <f>IF(AND($B$43&lt;='1 - Titoli e shock'!$B$17,$C484&lt;='1 - Titoli e shock'!$B$17),$D$43*M$6/2*(1-'1 - Titoli e shock'!$B$8),0)</f>
        <v>0</v>
      </c>
      <c r="N484" s="20">
        <f>IF(AND($B$43&lt;='1 - Titoli e shock'!$B$17,$C484&lt;='1 - Titoli e shock'!$B$17),$D$43*N$6/2*(1-'1 - Titoli e shock'!$B$8),0)</f>
        <v>0</v>
      </c>
      <c r="O484" s="20">
        <f>IF(AND($B$43&lt;='1 - Titoli e shock'!$B$17,$C484&lt;='1 - Titoli e shock'!$B$17),$D$43*O$6/2*(1-'1 - Titoli e shock'!$B$8),0)</f>
        <v>0</v>
      </c>
      <c r="P484" s="20">
        <f>IF(AND($B$43&lt;='1 - Titoli e shock'!$B$17,$C484&lt;='1 - Titoli e shock'!$B$17),$D$43*P$6/2*(1-'1 - Titoli e shock'!$B$8),0)</f>
        <v>0</v>
      </c>
      <c r="Q484" s="20">
        <f>IF(AND($B$43&lt;='1 - Titoli e shock'!$B$17,$C484&lt;='1 - Titoli e shock'!$B$17),$D$43*Q$6/2*(1-'1 - Titoli e shock'!$B$8),0)</f>
        <v>0</v>
      </c>
      <c r="R484" s="20">
        <f>IF(AND($B$43&lt;='1 - Titoli e shock'!$B$17,$C484&lt;='1 - Titoli e shock'!$B$17),$D$43*R$6/2*(1-'1 - Titoli e shock'!$B$8),0)</f>
        <v>0</v>
      </c>
      <c r="S484" s="20">
        <f>IF(AND($B$43&lt;='1 - Titoli e shock'!$B$17,$C484&lt;='1 - Titoli e shock'!$B$17),$D$43*S$6/2*(1-'1 - Titoli e shock'!$B$8),0)</f>
        <v>0</v>
      </c>
      <c r="T484" s="20">
        <f>IF(AND($B$43&lt;='1 - Titoli e shock'!$B$17,$C484&lt;='1 - Titoli e shock'!$B$17),$D$43*T$6/2*(1-'1 - Titoli e shock'!$B$8),0)</f>
        <v>0</v>
      </c>
      <c r="U484" s="20">
        <f>IF(AND($B$43&lt;='1 - Titoli e shock'!$B$17,$C484&lt;='1 - Titoli e shock'!$B$17),$D$43*U$6/2*(1-'1 - Titoli e shock'!$B$8),0)</f>
        <v>0</v>
      </c>
    </row>
    <row r="485" spans="1:21">
      <c r="A485" s="15" t="s">
        <v>267</v>
      </c>
      <c r="B485" s="22" t="str">
        <f>A43</f>
        <v>BTP 4,00% ott 2036</v>
      </c>
      <c r="C485" s="13">
        <f>EDATE($B$43,6*11)</f>
        <v>51957</v>
      </c>
      <c r="D485" s="23">
        <f>MAX(1,(YEAR(C485)-YEAR('1 - Titoli e shock'!$B$6))+IF(MONTH(C485)*100+DAY(C485)&gt;MONTH('1 - Titoli e shock'!$B$6)*100+DAY('1 - Titoli e shock'!$B$6),1,0))</f>
        <v>16</v>
      </c>
      <c r="F485" s="20">
        <f>IF(AND($B$43&lt;='1 - Titoli e shock'!$B$17,$C485&lt;='1 - Titoli e shock'!$B$17),$D$43*F$6/2*(1-'1 - Titoli e shock'!$B$8),0)</f>
        <v>0</v>
      </c>
      <c r="G485" s="20">
        <f>IF(AND($B$43&lt;='1 - Titoli e shock'!$B$17,$C485&lt;='1 - Titoli e shock'!$B$17),$D$43*G$6/2*(1-'1 - Titoli e shock'!$B$8),0)</f>
        <v>0</v>
      </c>
      <c r="H485" s="20">
        <f>IF(AND($B$43&lt;='1 - Titoli e shock'!$B$17,$C485&lt;='1 - Titoli e shock'!$B$17),$D$43*H$6/2*(1-'1 - Titoli e shock'!$B$8),0)</f>
        <v>0</v>
      </c>
      <c r="I485" s="20">
        <f>IF(AND($B$43&lt;='1 - Titoli e shock'!$B$17,$C485&lt;='1 - Titoli e shock'!$B$17),$D$43*I$6/2*(1-'1 - Titoli e shock'!$B$8),0)</f>
        <v>0</v>
      </c>
      <c r="J485" s="20">
        <f>IF(AND($B$43&lt;='1 - Titoli e shock'!$B$17,$C485&lt;='1 - Titoli e shock'!$B$17),$D$43*J$6/2*(1-'1 - Titoli e shock'!$B$8),0)</f>
        <v>0</v>
      </c>
      <c r="K485" s="20">
        <f>IF(AND($B$43&lt;='1 - Titoli e shock'!$B$17,$C485&lt;='1 - Titoli e shock'!$B$17),$D$43*K$6/2*(1-'1 - Titoli e shock'!$B$8),0)</f>
        <v>0</v>
      </c>
      <c r="L485" s="20">
        <f>IF(AND($B$43&lt;='1 - Titoli e shock'!$B$17,$C485&lt;='1 - Titoli e shock'!$B$17),$D$43*L$6/2*(1-'1 - Titoli e shock'!$B$8),0)</f>
        <v>0</v>
      </c>
      <c r="M485" s="20">
        <f>IF(AND($B$43&lt;='1 - Titoli e shock'!$B$17,$C485&lt;='1 - Titoli e shock'!$B$17),$D$43*M$6/2*(1-'1 - Titoli e shock'!$B$8),0)</f>
        <v>0</v>
      </c>
      <c r="N485" s="20">
        <f>IF(AND($B$43&lt;='1 - Titoli e shock'!$B$17,$C485&lt;='1 - Titoli e shock'!$B$17),$D$43*N$6/2*(1-'1 - Titoli e shock'!$B$8),0)</f>
        <v>0</v>
      </c>
      <c r="O485" s="20">
        <f>IF(AND($B$43&lt;='1 - Titoli e shock'!$B$17,$C485&lt;='1 - Titoli e shock'!$B$17),$D$43*O$6/2*(1-'1 - Titoli e shock'!$B$8),0)</f>
        <v>0</v>
      </c>
      <c r="P485" s="20">
        <f>IF(AND($B$43&lt;='1 - Titoli e shock'!$B$17,$C485&lt;='1 - Titoli e shock'!$B$17),$D$43*P$6/2*(1-'1 - Titoli e shock'!$B$8),0)</f>
        <v>0</v>
      </c>
      <c r="Q485" s="20">
        <f>IF(AND($B$43&lt;='1 - Titoli e shock'!$B$17,$C485&lt;='1 - Titoli e shock'!$B$17),$D$43*Q$6/2*(1-'1 - Titoli e shock'!$B$8),0)</f>
        <v>0</v>
      </c>
      <c r="R485" s="20">
        <f>IF(AND($B$43&lt;='1 - Titoli e shock'!$B$17,$C485&lt;='1 - Titoli e shock'!$B$17),$D$43*R$6/2*(1-'1 - Titoli e shock'!$B$8),0)</f>
        <v>0</v>
      </c>
      <c r="S485" s="20">
        <f>IF(AND($B$43&lt;='1 - Titoli e shock'!$B$17,$C485&lt;='1 - Titoli e shock'!$B$17),$D$43*S$6/2*(1-'1 - Titoli e shock'!$B$8),0)</f>
        <v>0</v>
      </c>
      <c r="T485" s="20">
        <f>IF(AND($B$43&lt;='1 - Titoli e shock'!$B$17,$C485&lt;='1 - Titoli e shock'!$B$17),$D$43*T$6/2*(1-'1 - Titoli e shock'!$B$8),0)</f>
        <v>0</v>
      </c>
      <c r="U485" s="20">
        <f>IF(AND($B$43&lt;='1 - Titoli e shock'!$B$17,$C485&lt;='1 - Titoli e shock'!$B$17),$D$43*U$6/2*(1-'1 - Titoli e shock'!$B$8),0)</f>
        <v>0</v>
      </c>
    </row>
    <row r="486" spans="1:21">
      <c r="A486" s="15" t="s">
        <v>267</v>
      </c>
      <c r="B486" s="22" t="str">
        <f>A43</f>
        <v>BTP 4,00% ott 2036</v>
      </c>
      <c r="C486" s="13">
        <f>EDATE($B$43,6*12)</f>
        <v>52140</v>
      </c>
      <c r="D486" s="23">
        <f>MAX(1,(YEAR(C486)-YEAR('1 - Titoli e shock'!$B$6))+IF(MONTH(C486)*100+DAY(C486)&gt;MONTH('1 - Titoli e shock'!$B$6)*100+DAY('1 - Titoli e shock'!$B$6),1,0))</f>
        <v>16</v>
      </c>
      <c r="F486" s="20">
        <f>IF(AND($B$43&lt;='1 - Titoli e shock'!$B$17,$C486&lt;='1 - Titoli e shock'!$B$17),$D$43*F$6/2*(1-'1 - Titoli e shock'!$B$8),0)</f>
        <v>0</v>
      </c>
      <c r="G486" s="20">
        <f>IF(AND($B$43&lt;='1 - Titoli e shock'!$B$17,$C486&lt;='1 - Titoli e shock'!$B$17),$D$43*G$6/2*(1-'1 - Titoli e shock'!$B$8),0)</f>
        <v>0</v>
      </c>
      <c r="H486" s="20">
        <f>IF(AND($B$43&lt;='1 - Titoli e shock'!$B$17,$C486&lt;='1 - Titoli e shock'!$B$17),$D$43*H$6/2*(1-'1 - Titoli e shock'!$B$8),0)</f>
        <v>0</v>
      </c>
      <c r="I486" s="20">
        <f>IF(AND($B$43&lt;='1 - Titoli e shock'!$B$17,$C486&lt;='1 - Titoli e shock'!$B$17),$D$43*I$6/2*(1-'1 - Titoli e shock'!$B$8),0)</f>
        <v>0</v>
      </c>
      <c r="J486" s="20">
        <f>IF(AND($B$43&lt;='1 - Titoli e shock'!$B$17,$C486&lt;='1 - Titoli e shock'!$B$17),$D$43*J$6/2*(1-'1 - Titoli e shock'!$B$8),0)</f>
        <v>0</v>
      </c>
      <c r="K486" s="20">
        <f>IF(AND($B$43&lt;='1 - Titoli e shock'!$B$17,$C486&lt;='1 - Titoli e shock'!$B$17),$D$43*K$6/2*(1-'1 - Titoli e shock'!$B$8),0)</f>
        <v>0</v>
      </c>
      <c r="L486" s="20">
        <f>IF(AND($B$43&lt;='1 - Titoli e shock'!$B$17,$C486&lt;='1 - Titoli e shock'!$B$17),$D$43*L$6/2*(1-'1 - Titoli e shock'!$B$8),0)</f>
        <v>0</v>
      </c>
      <c r="M486" s="20">
        <f>IF(AND($B$43&lt;='1 - Titoli e shock'!$B$17,$C486&lt;='1 - Titoli e shock'!$B$17),$D$43*M$6/2*(1-'1 - Titoli e shock'!$B$8),0)</f>
        <v>0</v>
      </c>
      <c r="N486" s="20">
        <f>IF(AND($B$43&lt;='1 - Titoli e shock'!$B$17,$C486&lt;='1 - Titoli e shock'!$B$17),$D$43*N$6/2*(1-'1 - Titoli e shock'!$B$8),0)</f>
        <v>0</v>
      </c>
      <c r="O486" s="20">
        <f>IF(AND($B$43&lt;='1 - Titoli e shock'!$B$17,$C486&lt;='1 - Titoli e shock'!$B$17),$D$43*O$6/2*(1-'1 - Titoli e shock'!$B$8),0)</f>
        <v>0</v>
      </c>
      <c r="P486" s="20">
        <f>IF(AND($B$43&lt;='1 - Titoli e shock'!$B$17,$C486&lt;='1 - Titoli e shock'!$B$17),$D$43*P$6/2*(1-'1 - Titoli e shock'!$B$8),0)</f>
        <v>0</v>
      </c>
      <c r="Q486" s="20">
        <f>IF(AND($B$43&lt;='1 - Titoli e shock'!$B$17,$C486&lt;='1 - Titoli e shock'!$B$17),$D$43*Q$6/2*(1-'1 - Titoli e shock'!$B$8),0)</f>
        <v>0</v>
      </c>
      <c r="R486" s="20">
        <f>IF(AND($B$43&lt;='1 - Titoli e shock'!$B$17,$C486&lt;='1 - Titoli e shock'!$B$17),$D$43*R$6/2*(1-'1 - Titoli e shock'!$B$8),0)</f>
        <v>0</v>
      </c>
      <c r="S486" s="20">
        <f>IF(AND($B$43&lt;='1 - Titoli e shock'!$B$17,$C486&lt;='1 - Titoli e shock'!$B$17),$D$43*S$6/2*(1-'1 - Titoli e shock'!$B$8),0)</f>
        <v>0</v>
      </c>
      <c r="T486" s="20">
        <f>IF(AND($B$43&lt;='1 - Titoli e shock'!$B$17,$C486&lt;='1 - Titoli e shock'!$B$17),$D$43*T$6/2*(1-'1 - Titoli e shock'!$B$8),0)</f>
        <v>0</v>
      </c>
      <c r="U486" s="20">
        <f>IF(AND($B$43&lt;='1 - Titoli e shock'!$B$17,$C486&lt;='1 - Titoli e shock'!$B$17),$D$43*U$6/2*(1-'1 - Titoli e shock'!$B$8),0)</f>
        <v>0</v>
      </c>
    </row>
    <row r="487" spans="1:21">
      <c r="A487" s="15" t="s">
        <v>267</v>
      </c>
      <c r="B487" s="22" t="str">
        <f>A43</f>
        <v>BTP 4,00% ott 2036</v>
      </c>
      <c r="C487" s="13">
        <f>EDATE($B$43,6*13)</f>
        <v>52322</v>
      </c>
      <c r="D487" s="23">
        <f>MAX(1,(YEAR(C487)-YEAR('1 - Titoli e shock'!$B$6))+IF(MONTH(C487)*100+DAY(C487)&gt;MONTH('1 - Titoli e shock'!$B$6)*100+DAY('1 - Titoli e shock'!$B$6),1,0))</f>
        <v>17</v>
      </c>
      <c r="F487" s="20">
        <f>IF(AND($B$43&lt;='1 - Titoli e shock'!$B$17,$C487&lt;='1 - Titoli e shock'!$B$17),$D$43*F$6/2*(1-'1 - Titoli e shock'!$B$8),0)</f>
        <v>0</v>
      </c>
      <c r="G487" s="20">
        <f>IF(AND($B$43&lt;='1 - Titoli e shock'!$B$17,$C487&lt;='1 - Titoli e shock'!$B$17),$D$43*G$6/2*(1-'1 - Titoli e shock'!$B$8),0)</f>
        <v>0</v>
      </c>
      <c r="H487" s="20">
        <f>IF(AND($B$43&lt;='1 - Titoli e shock'!$B$17,$C487&lt;='1 - Titoli e shock'!$B$17),$D$43*H$6/2*(1-'1 - Titoli e shock'!$B$8),0)</f>
        <v>0</v>
      </c>
      <c r="I487" s="20">
        <f>IF(AND($B$43&lt;='1 - Titoli e shock'!$B$17,$C487&lt;='1 - Titoli e shock'!$B$17),$D$43*I$6/2*(1-'1 - Titoli e shock'!$B$8),0)</f>
        <v>0</v>
      </c>
      <c r="J487" s="20">
        <f>IF(AND($B$43&lt;='1 - Titoli e shock'!$B$17,$C487&lt;='1 - Titoli e shock'!$B$17),$D$43*J$6/2*(1-'1 - Titoli e shock'!$B$8),0)</f>
        <v>0</v>
      </c>
      <c r="K487" s="20">
        <f>IF(AND($B$43&lt;='1 - Titoli e shock'!$B$17,$C487&lt;='1 - Titoli e shock'!$B$17),$D$43*K$6/2*(1-'1 - Titoli e shock'!$B$8),0)</f>
        <v>0</v>
      </c>
      <c r="L487" s="20">
        <f>IF(AND($B$43&lt;='1 - Titoli e shock'!$B$17,$C487&lt;='1 - Titoli e shock'!$B$17),$D$43*L$6/2*(1-'1 - Titoli e shock'!$B$8),0)</f>
        <v>0</v>
      </c>
      <c r="M487" s="20">
        <f>IF(AND($B$43&lt;='1 - Titoli e shock'!$B$17,$C487&lt;='1 - Titoli e shock'!$B$17),$D$43*M$6/2*(1-'1 - Titoli e shock'!$B$8),0)</f>
        <v>0</v>
      </c>
      <c r="N487" s="20">
        <f>IF(AND($B$43&lt;='1 - Titoli e shock'!$B$17,$C487&lt;='1 - Titoli e shock'!$B$17),$D$43*N$6/2*(1-'1 - Titoli e shock'!$B$8),0)</f>
        <v>0</v>
      </c>
      <c r="O487" s="20">
        <f>IF(AND($B$43&lt;='1 - Titoli e shock'!$B$17,$C487&lt;='1 - Titoli e shock'!$B$17),$D$43*O$6/2*(1-'1 - Titoli e shock'!$B$8),0)</f>
        <v>0</v>
      </c>
      <c r="P487" s="20">
        <f>IF(AND($B$43&lt;='1 - Titoli e shock'!$B$17,$C487&lt;='1 - Titoli e shock'!$B$17),$D$43*P$6/2*(1-'1 - Titoli e shock'!$B$8),0)</f>
        <v>0</v>
      </c>
      <c r="Q487" s="20">
        <f>IF(AND($B$43&lt;='1 - Titoli e shock'!$B$17,$C487&lt;='1 - Titoli e shock'!$B$17),$D$43*Q$6/2*(1-'1 - Titoli e shock'!$B$8),0)</f>
        <v>0</v>
      </c>
      <c r="R487" s="20">
        <f>IF(AND($B$43&lt;='1 - Titoli e shock'!$B$17,$C487&lt;='1 - Titoli e shock'!$B$17),$D$43*R$6/2*(1-'1 - Titoli e shock'!$B$8),0)</f>
        <v>0</v>
      </c>
      <c r="S487" s="20">
        <f>IF(AND($B$43&lt;='1 - Titoli e shock'!$B$17,$C487&lt;='1 - Titoli e shock'!$B$17),$D$43*S$6/2*(1-'1 - Titoli e shock'!$B$8),0)</f>
        <v>0</v>
      </c>
      <c r="T487" s="20">
        <f>IF(AND($B$43&lt;='1 - Titoli e shock'!$B$17,$C487&lt;='1 - Titoli e shock'!$B$17),$D$43*T$6/2*(1-'1 - Titoli e shock'!$B$8),0)</f>
        <v>0</v>
      </c>
      <c r="U487" s="20">
        <f>IF(AND($B$43&lt;='1 - Titoli e shock'!$B$17,$C487&lt;='1 - Titoli e shock'!$B$17),$D$43*U$6/2*(1-'1 - Titoli e shock'!$B$8),0)</f>
        <v>0</v>
      </c>
    </row>
    <row r="488" spans="1:21">
      <c r="A488" s="15" t="s">
        <v>267</v>
      </c>
      <c r="B488" s="22" t="str">
        <f>A43</f>
        <v>BTP 4,00% ott 2036</v>
      </c>
      <c r="C488" s="13">
        <f>EDATE($B$43,6*14)</f>
        <v>52505</v>
      </c>
      <c r="D488" s="23">
        <f>MAX(1,(YEAR(C488)-YEAR('1 - Titoli e shock'!$B$6))+IF(MONTH(C488)*100+DAY(C488)&gt;MONTH('1 - Titoli e shock'!$B$6)*100+DAY('1 - Titoli e shock'!$B$6),1,0))</f>
        <v>17</v>
      </c>
      <c r="F488" s="20">
        <f>IF(AND($B$43&lt;='1 - Titoli e shock'!$B$17,$C488&lt;='1 - Titoli e shock'!$B$17),$D$43*F$6/2*(1-'1 - Titoli e shock'!$B$8),0)</f>
        <v>0</v>
      </c>
      <c r="G488" s="20">
        <f>IF(AND($B$43&lt;='1 - Titoli e shock'!$B$17,$C488&lt;='1 - Titoli e shock'!$B$17),$D$43*G$6/2*(1-'1 - Titoli e shock'!$B$8),0)</f>
        <v>0</v>
      </c>
      <c r="H488" s="20">
        <f>IF(AND($B$43&lt;='1 - Titoli e shock'!$B$17,$C488&lt;='1 - Titoli e shock'!$B$17),$D$43*H$6/2*(1-'1 - Titoli e shock'!$B$8),0)</f>
        <v>0</v>
      </c>
      <c r="I488" s="20">
        <f>IF(AND($B$43&lt;='1 - Titoli e shock'!$B$17,$C488&lt;='1 - Titoli e shock'!$B$17),$D$43*I$6/2*(1-'1 - Titoli e shock'!$B$8),0)</f>
        <v>0</v>
      </c>
      <c r="J488" s="20">
        <f>IF(AND($B$43&lt;='1 - Titoli e shock'!$B$17,$C488&lt;='1 - Titoli e shock'!$B$17),$D$43*J$6/2*(1-'1 - Titoli e shock'!$B$8),0)</f>
        <v>0</v>
      </c>
      <c r="K488" s="20">
        <f>IF(AND($B$43&lt;='1 - Titoli e shock'!$B$17,$C488&lt;='1 - Titoli e shock'!$B$17),$D$43*K$6/2*(1-'1 - Titoli e shock'!$B$8),0)</f>
        <v>0</v>
      </c>
      <c r="L488" s="20">
        <f>IF(AND($B$43&lt;='1 - Titoli e shock'!$B$17,$C488&lt;='1 - Titoli e shock'!$B$17),$D$43*L$6/2*(1-'1 - Titoli e shock'!$B$8),0)</f>
        <v>0</v>
      </c>
      <c r="M488" s="20">
        <f>IF(AND($B$43&lt;='1 - Titoli e shock'!$B$17,$C488&lt;='1 - Titoli e shock'!$B$17),$D$43*M$6/2*(1-'1 - Titoli e shock'!$B$8),0)</f>
        <v>0</v>
      </c>
      <c r="N488" s="20">
        <f>IF(AND($B$43&lt;='1 - Titoli e shock'!$B$17,$C488&lt;='1 - Titoli e shock'!$B$17),$D$43*N$6/2*(1-'1 - Titoli e shock'!$B$8),0)</f>
        <v>0</v>
      </c>
      <c r="O488" s="20">
        <f>IF(AND($B$43&lt;='1 - Titoli e shock'!$B$17,$C488&lt;='1 - Titoli e shock'!$B$17),$D$43*O$6/2*(1-'1 - Titoli e shock'!$B$8),0)</f>
        <v>0</v>
      </c>
      <c r="P488" s="20">
        <f>IF(AND($B$43&lt;='1 - Titoli e shock'!$B$17,$C488&lt;='1 - Titoli e shock'!$B$17),$D$43*P$6/2*(1-'1 - Titoli e shock'!$B$8),0)</f>
        <v>0</v>
      </c>
      <c r="Q488" s="20">
        <f>IF(AND($B$43&lt;='1 - Titoli e shock'!$B$17,$C488&lt;='1 - Titoli e shock'!$B$17),$D$43*Q$6/2*(1-'1 - Titoli e shock'!$B$8),0)</f>
        <v>0</v>
      </c>
      <c r="R488" s="20">
        <f>IF(AND($B$43&lt;='1 - Titoli e shock'!$B$17,$C488&lt;='1 - Titoli e shock'!$B$17),$D$43*R$6/2*(1-'1 - Titoli e shock'!$B$8),0)</f>
        <v>0</v>
      </c>
      <c r="S488" s="20">
        <f>IF(AND($B$43&lt;='1 - Titoli e shock'!$B$17,$C488&lt;='1 - Titoli e shock'!$B$17),$D$43*S$6/2*(1-'1 - Titoli e shock'!$B$8),0)</f>
        <v>0</v>
      </c>
      <c r="T488" s="20">
        <f>IF(AND($B$43&lt;='1 - Titoli e shock'!$B$17,$C488&lt;='1 - Titoli e shock'!$B$17),$D$43*T$6/2*(1-'1 - Titoli e shock'!$B$8),0)</f>
        <v>0</v>
      </c>
      <c r="U488" s="20">
        <f>IF(AND($B$43&lt;='1 - Titoli e shock'!$B$17,$C488&lt;='1 - Titoli e shock'!$B$17),$D$43*U$6/2*(1-'1 - Titoli e shock'!$B$8),0)</f>
        <v>0</v>
      </c>
    </row>
    <row r="489" spans="1:21">
      <c r="A489" s="15" t="s">
        <v>267</v>
      </c>
      <c r="B489" s="22" t="str">
        <f>A43</f>
        <v>BTP 4,00% ott 2036</v>
      </c>
      <c r="C489" s="13">
        <f>EDATE($B$43,6*15)</f>
        <v>52688</v>
      </c>
      <c r="D489" s="23">
        <f>MAX(1,(YEAR(C489)-YEAR('1 - Titoli e shock'!$B$6))+IF(MONTH(C489)*100+DAY(C489)&gt;MONTH('1 - Titoli e shock'!$B$6)*100+DAY('1 - Titoli e shock'!$B$6),1,0))</f>
        <v>18</v>
      </c>
      <c r="F489" s="20">
        <f>IF(AND($B$43&lt;='1 - Titoli e shock'!$B$17,$C489&lt;='1 - Titoli e shock'!$B$17),$D$43*F$6/2*(1-'1 - Titoli e shock'!$B$8),0)</f>
        <v>0</v>
      </c>
      <c r="G489" s="20">
        <f>IF(AND($B$43&lt;='1 - Titoli e shock'!$B$17,$C489&lt;='1 - Titoli e shock'!$B$17),$D$43*G$6/2*(1-'1 - Titoli e shock'!$B$8),0)</f>
        <v>0</v>
      </c>
      <c r="H489" s="20">
        <f>IF(AND($B$43&lt;='1 - Titoli e shock'!$B$17,$C489&lt;='1 - Titoli e shock'!$B$17),$D$43*H$6/2*(1-'1 - Titoli e shock'!$B$8),0)</f>
        <v>0</v>
      </c>
      <c r="I489" s="20">
        <f>IF(AND($B$43&lt;='1 - Titoli e shock'!$B$17,$C489&lt;='1 - Titoli e shock'!$B$17),$D$43*I$6/2*(1-'1 - Titoli e shock'!$B$8),0)</f>
        <v>0</v>
      </c>
      <c r="J489" s="20">
        <f>IF(AND($B$43&lt;='1 - Titoli e shock'!$B$17,$C489&lt;='1 - Titoli e shock'!$B$17),$D$43*J$6/2*(1-'1 - Titoli e shock'!$B$8),0)</f>
        <v>0</v>
      </c>
      <c r="K489" s="20">
        <f>IF(AND($B$43&lt;='1 - Titoli e shock'!$B$17,$C489&lt;='1 - Titoli e shock'!$B$17),$D$43*K$6/2*(1-'1 - Titoli e shock'!$B$8),0)</f>
        <v>0</v>
      </c>
      <c r="L489" s="20">
        <f>IF(AND($B$43&lt;='1 - Titoli e shock'!$B$17,$C489&lt;='1 - Titoli e shock'!$B$17),$D$43*L$6/2*(1-'1 - Titoli e shock'!$B$8),0)</f>
        <v>0</v>
      </c>
      <c r="M489" s="20">
        <f>IF(AND($B$43&lt;='1 - Titoli e shock'!$B$17,$C489&lt;='1 - Titoli e shock'!$B$17),$D$43*M$6/2*(1-'1 - Titoli e shock'!$B$8),0)</f>
        <v>0</v>
      </c>
      <c r="N489" s="20">
        <f>IF(AND($B$43&lt;='1 - Titoli e shock'!$B$17,$C489&lt;='1 - Titoli e shock'!$B$17),$D$43*N$6/2*(1-'1 - Titoli e shock'!$B$8),0)</f>
        <v>0</v>
      </c>
      <c r="O489" s="20">
        <f>IF(AND($B$43&lt;='1 - Titoli e shock'!$B$17,$C489&lt;='1 - Titoli e shock'!$B$17),$D$43*O$6/2*(1-'1 - Titoli e shock'!$B$8),0)</f>
        <v>0</v>
      </c>
      <c r="P489" s="20">
        <f>IF(AND($B$43&lt;='1 - Titoli e shock'!$B$17,$C489&lt;='1 - Titoli e shock'!$B$17),$D$43*P$6/2*(1-'1 - Titoli e shock'!$B$8),0)</f>
        <v>0</v>
      </c>
      <c r="Q489" s="20">
        <f>IF(AND($B$43&lt;='1 - Titoli e shock'!$B$17,$C489&lt;='1 - Titoli e shock'!$B$17),$D$43*Q$6/2*(1-'1 - Titoli e shock'!$B$8),0)</f>
        <v>0</v>
      </c>
      <c r="R489" s="20">
        <f>IF(AND($B$43&lt;='1 - Titoli e shock'!$B$17,$C489&lt;='1 - Titoli e shock'!$B$17),$D$43*R$6/2*(1-'1 - Titoli e shock'!$B$8),0)</f>
        <v>0</v>
      </c>
      <c r="S489" s="20">
        <f>IF(AND($B$43&lt;='1 - Titoli e shock'!$B$17,$C489&lt;='1 - Titoli e shock'!$B$17),$D$43*S$6/2*(1-'1 - Titoli e shock'!$B$8),0)</f>
        <v>0</v>
      </c>
      <c r="T489" s="20">
        <f>IF(AND($B$43&lt;='1 - Titoli e shock'!$B$17,$C489&lt;='1 - Titoli e shock'!$B$17),$D$43*T$6/2*(1-'1 - Titoli e shock'!$B$8),0)</f>
        <v>0</v>
      </c>
      <c r="U489" s="20">
        <f>IF(AND($B$43&lt;='1 - Titoli e shock'!$B$17,$C489&lt;='1 - Titoli e shock'!$B$17),$D$43*U$6/2*(1-'1 - Titoli e shock'!$B$8),0)</f>
        <v>0</v>
      </c>
    </row>
    <row r="490" spans="1:21">
      <c r="A490" s="15" t="s">
        <v>267</v>
      </c>
      <c r="B490" s="22" t="str">
        <f>A43</f>
        <v>BTP 4,00% ott 2036</v>
      </c>
      <c r="C490" s="13">
        <f>EDATE($B$43,6*16)</f>
        <v>52871</v>
      </c>
      <c r="D490" s="23">
        <f>MAX(1,(YEAR(C490)-YEAR('1 - Titoli e shock'!$B$6))+IF(MONTH(C490)*100+DAY(C490)&gt;MONTH('1 - Titoli e shock'!$B$6)*100+DAY('1 - Titoli e shock'!$B$6),1,0))</f>
        <v>18</v>
      </c>
      <c r="F490" s="20">
        <f>IF(AND($B$43&lt;='1 - Titoli e shock'!$B$17,$C490&lt;='1 - Titoli e shock'!$B$17),$D$43*F$6/2*(1-'1 - Titoli e shock'!$B$8),0)</f>
        <v>0</v>
      </c>
      <c r="G490" s="20">
        <f>IF(AND($B$43&lt;='1 - Titoli e shock'!$B$17,$C490&lt;='1 - Titoli e shock'!$B$17),$D$43*G$6/2*(1-'1 - Titoli e shock'!$B$8),0)</f>
        <v>0</v>
      </c>
      <c r="H490" s="20">
        <f>IF(AND($B$43&lt;='1 - Titoli e shock'!$B$17,$C490&lt;='1 - Titoli e shock'!$B$17),$D$43*H$6/2*(1-'1 - Titoli e shock'!$B$8),0)</f>
        <v>0</v>
      </c>
      <c r="I490" s="20">
        <f>IF(AND($B$43&lt;='1 - Titoli e shock'!$B$17,$C490&lt;='1 - Titoli e shock'!$B$17),$D$43*I$6/2*(1-'1 - Titoli e shock'!$B$8),0)</f>
        <v>0</v>
      </c>
      <c r="J490" s="20">
        <f>IF(AND($B$43&lt;='1 - Titoli e shock'!$B$17,$C490&lt;='1 - Titoli e shock'!$B$17),$D$43*J$6/2*(1-'1 - Titoli e shock'!$B$8),0)</f>
        <v>0</v>
      </c>
      <c r="K490" s="20">
        <f>IF(AND($B$43&lt;='1 - Titoli e shock'!$B$17,$C490&lt;='1 - Titoli e shock'!$B$17),$D$43*K$6/2*(1-'1 - Titoli e shock'!$B$8),0)</f>
        <v>0</v>
      </c>
      <c r="L490" s="20">
        <f>IF(AND($B$43&lt;='1 - Titoli e shock'!$B$17,$C490&lt;='1 - Titoli e shock'!$B$17),$D$43*L$6/2*(1-'1 - Titoli e shock'!$B$8),0)</f>
        <v>0</v>
      </c>
      <c r="M490" s="20">
        <f>IF(AND($B$43&lt;='1 - Titoli e shock'!$B$17,$C490&lt;='1 - Titoli e shock'!$B$17),$D$43*M$6/2*(1-'1 - Titoli e shock'!$B$8),0)</f>
        <v>0</v>
      </c>
      <c r="N490" s="20">
        <f>IF(AND($B$43&lt;='1 - Titoli e shock'!$B$17,$C490&lt;='1 - Titoli e shock'!$B$17),$D$43*N$6/2*(1-'1 - Titoli e shock'!$B$8),0)</f>
        <v>0</v>
      </c>
      <c r="O490" s="20">
        <f>IF(AND($B$43&lt;='1 - Titoli e shock'!$B$17,$C490&lt;='1 - Titoli e shock'!$B$17),$D$43*O$6/2*(1-'1 - Titoli e shock'!$B$8),0)</f>
        <v>0</v>
      </c>
      <c r="P490" s="20">
        <f>IF(AND($B$43&lt;='1 - Titoli e shock'!$B$17,$C490&lt;='1 - Titoli e shock'!$B$17),$D$43*P$6/2*(1-'1 - Titoli e shock'!$B$8),0)</f>
        <v>0</v>
      </c>
      <c r="Q490" s="20">
        <f>IF(AND($B$43&lt;='1 - Titoli e shock'!$B$17,$C490&lt;='1 - Titoli e shock'!$B$17),$D$43*Q$6/2*(1-'1 - Titoli e shock'!$B$8),0)</f>
        <v>0</v>
      </c>
      <c r="R490" s="20">
        <f>IF(AND($B$43&lt;='1 - Titoli e shock'!$B$17,$C490&lt;='1 - Titoli e shock'!$B$17),$D$43*R$6/2*(1-'1 - Titoli e shock'!$B$8),0)</f>
        <v>0</v>
      </c>
      <c r="S490" s="20">
        <f>IF(AND($B$43&lt;='1 - Titoli e shock'!$B$17,$C490&lt;='1 - Titoli e shock'!$B$17),$D$43*S$6/2*(1-'1 - Titoli e shock'!$B$8),0)</f>
        <v>0</v>
      </c>
      <c r="T490" s="20">
        <f>IF(AND($B$43&lt;='1 - Titoli e shock'!$B$17,$C490&lt;='1 - Titoli e shock'!$B$17),$D$43*T$6/2*(1-'1 - Titoli e shock'!$B$8),0)</f>
        <v>0</v>
      </c>
      <c r="U490" s="20">
        <f>IF(AND($B$43&lt;='1 - Titoli e shock'!$B$17,$C490&lt;='1 - Titoli e shock'!$B$17),$D$43*U$6/2*(1-'1 - Titoli e shock'!$B$8),0)</f>
        <v>0</v>
      </c>
    </row>
    <row r="491" spans="1:21">
      <c r="A491" s="15" t="s">
        <v>267</v>
      </c>
      <c r="B491" s="22" t="str">
        <f>A43</f>
        <v>BTP 4,00% ott 2036</v>
      </c>
      <c r="C491" s="13">
        <f>EDATE($B$43,6*17)</f>
        <v>53053</v>
      </c>
      <c r="D491" s="23">
        <f>MAX(1,(YEAR(C491)-YEAR('1 - Titoli e shock'!$B$6))+IF(MONTH(C491)*100+DAY(C491)&gt;MONTH('1 - Titoli e shock'!$B$6)*100+DAY('1 - Titoli e shock'!$B$6),1,0))</f>
        <v>19</v>
      </c>
      <c r="F491" s="20">
        <f>IF(AND($B$43&lt;='1 - Titoli e shock'!$B$17,$C491&lt;='1 - Titoli e shock'!$B$17),$D$43*F$6/2*(1-'1 - Titoli e shock'!$B$8),0)</f>
        <v>0</v>
      </c>
      <c r="G491" s="20">
        <f>IF(AND($B$43&lt;='1 - Titoli e shock'!$B$17,$C491&lt;='1 - Titoli e shock'!$B$17),$D$43*G$6/2*(1-'1 - Titoli e shock'!$B$8),0)</f>
        <v>0</v>
      </c>
      <c r="H491" s="20">
        <f>IF(AND($B$43&lt;='1 - Titoli e shock'!$B$17,$C491&lt;='1 - Titoli e shock'!$B$17),$D$43*H$6/2*(1-'1 - Titoli e shock'!$B$8),0)</f>
        <v>0</v>
      </c>
      <c r="I491" s="20">
        <f>IF(AND($B$43&lt;='1 - Titoli e shock'!$B$17,$C491&lt;='1 - Titoli e shock'!$B$17),$D$43*I$6/2*(1-'1 - Titoli e shock'!$B$8),0)</f>
        <v>0</v>
      </c>
      <c r="J491" s="20">
        <f>IF(AND($B$43&lt;='1 - Titoli e shock'!$B$17,$C491&lt;='1 - Titoli e shock'!$B$17),$D$43*J$6/2*(1-'1 - Titoli e shock'!$B$8),0)</f>
        <v>0</v>
      </c>
      <c r="K491" s="20">
        <f>IF(AND($B$43&lt;='1 - Titoli e shock'!$B$17,$C491&lt;='1 - Titoli e shock'!$B$17),$D$43*K$6/2*(1-'1 - Titoli e shock'!$B$8),0)</f>
        <v>0</v>
      </c>
      <c r="L491" s="20">
        <f>IF(AND($B$43&lt;='1 - Titoli e shock'!$B$17,$C491&lt;='1 - Titoli e shock'!$B$17),$D$43*L$6/2*(1-'1 - Titoli e shock'!$B$8),0)</f>
        <v>0</v>
      </c>
      <c r="M491" s="20">
        <f>IF(AND($B$43&lt;='1 - Titoli e shock'!$B$17,$C491&lt;='1 - Titoli e shock'!$B$17),$D$43*M$6/2*(1-'1 - Titoli e shock'!$B$8),0)</f>
        <v>0</v>
      </c>
      <c r="N491" s="20">
        <f>IF(AND($B$43&lt;='1 - Titoli e shock'!$B$17,$C491&lt;='1 - Titoli e shock'!$B$17),$D$43*N$6/2*(1-'1 - Titoli e shock'!$B$8),0)</f>
        <v>0</v>
      </c>
      <c r="O491" s="20">
        <f>IF(AND($B$43&lt;='1 - Titoli e shock'!$B$17,$C491&lt;='1 - Titoli e shock'!$B$17),$D$43*O$6/2*(1-'1 - Titoli e shock'!$B$8),0)</f>
        <v>0</v>
      </c>
      <c r="P491" s="20">
        <f>IF(AND($B$43&lt;='1 - Titoli e shock'!$B$17,$C491&lt;='1 - Titoli e shock'!$B$17),$D$43*P$6/2*(1-'1 - Titoli e shock'!$B$8),0)</f>
        <v>0</v>
      </c>
      <c r="Q491" s="20">
        <f>IF(AND($B$43&lt;='1 - Titoli e shock'!$B$17,$C491&lt;='1 - Titoli e shock'!$B$17),$D$43*Q$6/2*(1-'1 - Titoli e shock'!$B$8),0)</f>
        <v>0</v>
      </c>
      <c r="R491" s="20">
        <f>IF(AND($B$43&lt;='1 - Titoli e shock'!$B$17,$C491&lt;='1 - Titoli e shock'!$B$17),$D$43*R$6/2*(1-'1 - Titoli e shock'!$B$8),0)</f>
        <v>0</v>
      </c>
      <c r="S491" s="20">
        <f>IF(AND($B$43&lt;='1 - Titoli e shock'!$B$17,$C491&lt;='1 - Titoli e shock'!$B$17),$D$43*S$6/2*(1-'1 - Titoli e shock'!$B$8),0)</f>
        <v>0</v>
      </c>
      <c r="T491" s="20">
        <f>IF(AND($B$43&lt;='1 - Titoli e shock'!$B$17,$C491&lt;='1 - Titoli e shock'!$B$17),$D$43*T$6/2*(1-'1 - Titoli e shock'!$B$8),0)</f>
        <v>0</v>
      </c>
      <c r="U491" s="20">
        <f>IF(AND($B$43&lt;='1 - Titoli e shock'!$B$17,$C491&lt;='1 - Titoli e shock'!$B$17),$D$43*U$6/2*(1-'1 - Titoli e shock'!$B$8),0)</f>
        <v>0</v>
      </c>
    </row>
    <row r="492" spans="1:21">
      <c r="A492" s="15" t="s">
        <v>267</v>
      </c>
      <c r="B492" s="22" t="str">
        <f>A43</f>
        <v>BTP 4,00% ott 2036</v>
      </c>
      <c r="C492" s="13">
        <f>EDATE($B$43,6*18)</f>
        <v>53236</v>
      </c>
      <c r="D492" s="23">
        <f>MAX(1,(YEAR(C492)-YEAR('1 - Titoli e shock'!$B$6))+IF(MONTH(C492)*100+DAY(C492)&gt;MONTH('1 - Titoli e shock'!$B$6)*100+DAY('1 - Titoli e shock'!$B$6),1,0))</f>
        <v>19</v>
      </c>
      <c r="F492" s="20">
        <f>IF(AND($B$43&lt;='1 - Titoli e shock'!$B$17,$C492&lt;='1 - Titoli e shock'!$B$17),$D$43*F$6/2*(1-'1 - Titoli e shock'!$B$8),0)</f>
        <v>0</v>
      </c>
      <c r="G492" s="20">
        <f>IF(AND($B$43&lt;='1 - Titoli e shock'!$B$17,$C492&lt;='1 - Titoli e shock'!$B$17),$D$43*G$6/2*(1-'1 - Titoli e shock'!$B$8),0)</f>
        <v>0</v>
      </c>
      <c r="H492" s="20">
        <f>IF(AND($B$43&lt;='1 - Titoli e shock'!$B$17,$C492&lt;='1 - Titoli e shock'!$B$17),$D$43*H$6/2*(1-'1 - Titoli e shock'!$B$8),0)</f>
        <v>0</v>
      </c>
      <c r="I492" s="20">
        <f>IF(AND($B$43&lt;='1 - Titoli e shock'!$B$17,$C492&lt;='1 - Titoli e shock'!$B$17),$D$43*I$6/2*(1-'1 - Titoli e shock'!$B$8),0)</f>
        <v>0</v>
      </c>
      <c r="J492" s="20">
        <f>IF(AND($B$43&lt;='1 - Titoli e shock'!$B$17,$C492&lt;='1 - Titoli e shock'!$B$17),$D$43*J$6/2*(1-'1 - Titoli e shock'!$B$8),0)</f>
        <v>0</v>
      </c>
      <c r="K492" s="20">
        <f>IF(AND($B$43&lt;='1 - Titoli e shock'!$B$17,$C492&lt;='1 - Titoli e shock'!$B$17),$D$43*K$6/2*(1-'1 - Titoli e shock'!$B$8),0)</f>
        <v>0</v>
      </c>
      <c r="L492" s="20">
        <f>IF(AND($B$43&lt;='1 - Titoli e shock'!$B$17,$C492&lt;='1 - Titoli e shock'!$B$17),$D$43*L$6/2*(1-'1 - Titoli e shock'!$B$8),0)</f>
        <v>0</v>
      </c>
      <c r="M492" s="20">
        <f>IF(AND($B$43&lt;='1 - Titoli e shock'!$B$17,$C492&lt;='1 - Titoli e shock'!$B$17),$D$43*M$6/2*(1-'1 - Titoli e shock'!$B$8),0)</f>
        <v>0</v>
      </c>
      <c r="N492" s="20">
        <f>IF(AND($B$43&lt;='1 - Titoli e shock'!$B$17,$C492&lt;='1 - Titoli e shock'!$B$17),$D$43*N$6/2*(1-'1 - Titoli e shock'!$B$8),0)</f>
        <v>0</v>
      </c>
      <c r="O492" s="20">
        <f>IF(AND($B$43&lt;='1 - Titoli e shock'!$B$17,$C492&lt;='1 - Titoli e shock'!$B$17),$D$43*O$6/2*(1-'1 - Titoli e shock'!$B$8),0)</f>
        <v>0</v>
      </c>
      <c r="P492" s="20">
        <f>IF(AND($B$43&lt;='1 - Titoli e shock'!$B$17,$C492&lt;='1 - Titoli e shock'!$B$17),$D$43*P$6/2*(1-'1 - Titoli e shock'!$B$8),0)</f>
        <v>0</v>
      </c>
      <c r="Q492" s="20">
        <f>IF(AND($B$43&lt;='1 - Titoli e shock'!$B$17,$C492&lt;='1 - Titoli e shock'!$B$17),$D$43*Q$6/2*(1-'1 - Titoli e shock'!$B$8),0)</f>
        <v>0</v>
      </c>
      <c r="R492" s="20">
        <f>IF(AND($B$43&lt;='1 - Titoli e shock'!$B$17,$C492&lt;='1 - Titoli e shock'!$B$17),$D$43*R$6/2*(1-'1 - Titoli e shock'!$B$8),0)</f>
        <v>0</v>
      </c>
      <c r="S492" s="20">
        <f>IF(AND($B$43&lt;='1 - Titoli e shock'!$B$17,$C492&lt;='1 - Titoli e shock'!$B$17),$D$43*S$6/2*(1-'1 - Titoli e shock'!$B$8),0)</f>
        <v>0</v>
      </c>
      <c r="T492" s="20">
        <f>IF(AND($B$43&lt;='1 - Titoli e shock'!$B$17,$C492&lt;='1 - Titoli e shock'!$B$17),$D$43*T$6/2*(1-'1 - Titoli e shock'!$B$8),0)</f>
        <v>0</v>
      </c>
      <c r="U492" s="20">
        <f>IF(AND($B$43&lt;='1 - Titoli e shock'!$B$17,$C492&lt;='1 - Titoli e shock'!$B$17),$D$43*U$6/2*(1-'1 - Titoli e shock'!$B$8),0)</f>
        <v>0</v>
      </c>
    </row>
    <row r="493" spans="1:21">
      <c r="A493" s="15" t="s">
        <v>267</v>
      </c>
      <c r="B493" s="22" t="str">
        <f>A43</f>
        <v>BTP 4,00% ott 2036</v>
      </c>
      <c r="C493" s="13">
        <f>EDATE($B$43,6*19)</f>
        <v>53418</v>
      </c>
      <c r="D493" s="23">
        <f>MAX(1,(YEAR(C493)-YEAR('1 - Titoli e shock'!$B$6))+IF(MONTH(C493)*100+DAY(C493)&gt;MONTH('1 - Titoli e shock'!$B$6)*100+DAY('1 - Titoli e shock'!$B$6),1,0))</f>
        <v>20</v>
      </c>
      <c r="F493" s="20">
        <f>IF(AND($B$43&lt;='1 - Titoli e shock'!$B$17,$C493&lt;='1 - Titoli e shock'!$B$17),$D$43*F$6/2*(1-'1 - Titoli e shock'!$B$8),0)</f>
        <v>0</v>
      </c>
      <c r="G493" s="20">
        <f>IF(AND($B$43&lt;='1 - Titoli e shock'!$B$17,$C493&lt;='1 - Titoli e shock'!$B$17),$D$43*G$6/2*(1-'1 - Titoli e shock'!$B$8),0)</f>
        <v>0</v>
      </c>
      <c r="H493" s="20">
        <f>IF(AND($B$43&lt;='1 - Titoli e shock'!$B$17,$C493&lt;='1 - Titoli e shock'!$B$17),$D$43*H$6/2*(1-'1 - Titoli e shock'!$B$8),0)</f>
        <v>0</v>
      </c>
      <c r="I493" s="20">
        <f>IF(AND($B$43&lt;='1 - Titoli e shock'!$B$17,$C493&lt;='1 - Titoli e shock'!$B$17),$D$43*I$6/2*(1-'1 - Titoli e shock'!$B$8),0)</f>
        <v>0</v>
      </c>
      <c r="J493" s="20">
        <f>IF(AND($B$43&lt;='1 - Titoli e shock'!$B$17,$C493&lt;='1 - Titoli e shock'!$B$17),$D$43*J$6/2*(1-'1 - Titoli e shock'!$B$8),0)</f>
        <v>0</v>
      </c>
      <c r="K493" s="20">
        <f>IF(AND($B$43&lt;='1 - Titoli e shock'!$B$17,$C493&lt;='1 - Titoli e shock'!$B$17),$D$43*K$6/2*(1-'1 - Titoli e shock'!$B$8),0)</f>
        <v>0</v>
      </c>
      <c r="L493" s="20">
        <f>IF(AND($B$43&lt;='1 - Titoli e shock'!$B$17,$C493&lt;='1 - Titoli e shock'!$B$17),$D$43*L$6/2*(1-'1 - Titoli e shock'!$B$8),0)</f>
        <v>0</v>
      </c>
      <c r="M493" s="20">
        <f>IF(AND($B$43&lt;='1 - Titoli e shock'!$B$17,$C493&lt;='1 - Titoli e shock'!$B$17),$D$43*M$6/2*(1-'1 - Titoli e shock'!$B$8),0)</f>
        <v>0</v>
      </c>
      <c r="N493" s="20">
        <f>IF(AND($B$43&lt;='1 - Titoli e shock'!$B$17,$C493&lt;='1 - Titoli e shock'!$B$17),$D$43*N$6/2*(1-'1 - Titoli e shock'!$B$8),0)</f>
        <v>0</v>
      </c>
      <c r="O493" s="20">
        <f>IF(AND($B$43&lt;='1 - Titoli e shock'!$B$17,$C493&lt;='1 - Titoli e shock'!$B$17),$D$43*O$6/2*(1-'1 - Titoli e shock'!$B$8),0)</f>
        <v>0</v>
      </c>
      <c r="P493" s="20">
        <f>IF(AND($B$43&lt;='1 - Titoli e shock'!$B$17,$C493&lt;='1 - Titoli e shock'!$B$17),$D$43*P$6/2*(1-'1 - Titoli e shock'!$B$8),0)</f>
        <v>0</v>
      </c>
      <c r="Q493" s="20">
        <f>IF(AND($B$43&lt;='1 - Titoli e shock'!$B$17,$C493&lt;='1 - Titoli e shock'!$B$17),$D$43*Q$6/2*(1-'1 - Titoli e shock'!$B$8),0)</f>
        <v>0</v>
      </c>
      <c r="R493" s="20">
        <f>IF(AND($B$43&lt;='1 - Titoli e shock'!$B$17,$C493&lt;='1 - Titoli e shock'!$B$17),$D$43*R$6/2*(1-'1 - Titoli e shock'!$B$8),0)</f>
        <v>0</v>
      </c>
      <c r="S493" s="20">
        <f>IF(AND($B$43&lt;='1 - Titoli e shock'!$B$17,$C493&lt;='1 - Titoli e shock'!$B$17),$D$43*S$6/2*(1-'1 - Titoli e shock'!$B$8),0)</f>
        <v>0</v>
      </c>
      <c r="T493" s="20">
        <f>IF(AND($B$43&lt;='1 - Titoli e shock'!$B$17,$C493&lt;='1 - Titoli e shock'!$B$17),$D$43*T$6/2*(1-'1 - Titoli e shock'!$B$8),0)</f>
        <v>0</v>
      </c>
      <c r="U493" s="20">
        <f>IF(AND($B$43&lt;='1 - Titoli e shock'!$B$17,$C493&lt;='1 - Titoli e shock'!$B$17),$D$43*U$6/2*(1-'1 - Titoli e shock'!$B$8),0)</f>
        <v>0</v>
      </c>
    </row>
    <row r="494" spans="1:21">
      <c r="A494" s="15" t="s">
        <v>267</v>
      </c>
      <c r="B494" s="22" t="str">
        <f>A43</f>
        <v>BTP 4,00% ott 2036</v>
      </c>
      <c r="C494" s="13">
        <f>EDATE($B$43,6*20)</f>
        <v>53601</v>
      </c>
      <c r="D494" s="23">
        <f>MAX(1,(YEAR(C494)-YEAR('1 - Titoli e shock'!$B$6))+IF(MONTH(C494)*100+DAY(C494)&gt;MONTH('1 - Titoli e shock'!$B$6)*100+DAY('1 - Titoli e shock'!$B$6),1,0))</f>
        <v>20</v>
      </c>
      <c r="F494" s="20">
        <f>IF(AND($B$43&lt;='1 - Titoli e shock'!$B$17,$C494&lt;='1 - Titoli e shock'!$B$17),$D$43*F$6/2*(1-'1 - Titoli e shock'!$B$8),0)</f>
        <v>0</v>
      </c>
      <c r="G494" s="20">
        <f>IF(AND($B$43&lt;='1 - Titoli e shock'!$B$17,$C494&lt;='1 - Titoli e shock'!$B$17),$D$43*G$6/2*(1-'1 - Titoli e shock'!$B$8),0)</f>
        <v>0</v>
      </c>
      <c r="H494" s="20">
        <f>IF(AND($B$43&lt;='1 - Titoli e shock'!$B$17,$C494&lt;='1 - Titoli e shock'!$B$17),$D$43*H$6/2*(1-'1 - Titoli e shock'!$B$8),0)</f>
        <v>0</v>
      </c>
      <c r="I494" s="20">
        <f>IF(AND($B$43&lt;='1 - Titoli e shock'!$B$17,$C494&lt;='1 - Titoli e shock'!$B$17),$D$43*I$6/2*(1-'1 - Titoli e shock'!$B$8),0)</f>
        <v>0</v>
      </c>
      <c r="J494" s="20">
        <f>IF(AND($B$43&lt;='1 - Titoli e shock'!$B$17,$C494&lt;='1 - Titoli e shock'!$B$17),$D$43*J$6/2*(1-'1 - Titoli e shock'!$B$8),0)</f>
        <v>0</v>
      </c>
      <c r="K494" s="20">
        <f>IF(AND($B$43&lt;='1 - Titoli e shock'!$B$17,$C494&lt;='1 - Titoli e shock'!$B$17),$D$43*K$6/2*(1-'1 - Titoli e shock'!$B$8),0)</f>
        <v>0</v>
      </c>
      <c r="L494" s="20">
        <f>IF(AND($B$43&lt;='1 - Titoli e shock'!$B$17,$C494&lt;='1 - Titoli e shock'!$B$17),$D$43*L$6/2*(1-'1 - Titoli e shock'!$B$8),0)</f>
        <v>0</v>
      </c>
      <c r="M494" s="20">
        <f>IF(AND($B$43&lt;='1 - Titoli e shock'!$B$17,$C494&lt;='1 - Titoli e shock'!$B$17),$D$43*M$6/2*(1-'1 - Titoli e shock'!$B$8),0)</f>
        <v>0</v>
      </c>
      <c r="N494" s="20">
        <f>IF(AND($B$43&lt;='1 - Titoli e shock'!$B$17,$C494&lt;='1 - Titoli e shock'!$B$17),$D$43*N$6/2*(1-'1 - Titoli e shock'!$B$8),0)</f>
        <v>0</v>
      </c>
      <c r="O494" s="20">
        <f>IF(AND($B$43&lt;='1 - Titoli e shock'!$B$17,$C494&lt;='1 - Titoli e shock'!$B$17),$D$43*O$6/2*(1-'1 - Titoli e shock'!$B$8),0)</f>
        <v>0</v>
      </c>
      <c r="P494" s="20">
        <f>IF(AND($B$43&lt;='1 - Titoli e shock'!$B$17,$C494&lt;='1 - Titoli e shock'!$B$17),$D$43*P$6/2*(1-'1 - Titoli e shock'!$B$8),0)</f>
        <v>0</v>
      </c>
      <c r="Q494" s="20">
        <f>IF(AND($B$43&lt;='1 - Titoli e shock'!$B$17,$C494&lt;='1 - Titoli e shock'!$B$17),$D$43*Q$6/2*(1-'1 - Titoli e shock'!$B$8),0)</f>
        <v>0</v>
      </c>
      <c r="R494" s="20">
        <f>IF(AND($B$43&lt;='1 - Titoli e shock'!$B$17,$C494&lt;='1 - Titoli e shock'!$B$17),$D$43*R$6/2*(1-'1 - Titoli e shock'!$B$8),0)</f>
        <v>0</v>
      </c>
      <c r="S494" s="20">
        <f>IF(AND($B$43&lt;='1 - Titoli e shock'!$B$17,$C494&lt;='1 - Titoli e shock'!$B$17),$D$43*S$6/2*(1-'1 - Titoli e shock'!$B$8),0)</f>
        <v>0</v>
      </c>
      <c r="T494" s="20">
        <f>IF(AND($B$43&lt;='1 - Titoli e shock'!$B$17,$C494&lt;='1 - Titoli e shock'!$B$17),$D$43*T$6/2*(1-'1 - Titoli e shock'!$B$8),0)</f>
        <v>0</v>
      </c>
      <c r="U494" s="20">
        <f>IF(AND($B$43&lt;='1 - Titoli e shock'!$B$17,$C494&lt;='1 - Titoli e shock'!$B$17),$D$43*U$6/2*(1-'1 - Titoli e shock'!$B$8),0)</f>
        <v>0</v>
      </c>
    </row>
    <row r="495" spans="1:21">
      <c r="A495" s="15" t="s">
        <v>268</v>
      </c>
      <c r="B495" s="22" t="str">
        <f>A43</f>
        <v>BTP 4,00% ott 2036</v>
      </c>
      <c r="C495" s="13">
        <f>EDATE($B$43,120)</f>
        <v>53601</v>
      </c>
      <c r="D495" s="23">
        <f>MAX(1,(YEAR(C495)-YEAR('1 - Titoli e shock'!$B$6))+IF(MONTH(C495)*100+DAY(C495)&gt;MONTH('1 - Titoli e shock'!$B$6)*100+DAY('1 - Titoli e shock'!$B$6),1,0))</f>
        <v>20</v>
      </c>
      <c r="F495" s="20">
        <f>IF(AND($B$43&lt;='1 - Titoli e shock'!$B$17,$C495&lt;='1 - Titoli e shock'!$B$17),$D$43,0)</f>
        <v>0</v>
      </c>
      <c r="G495" s="20">
        <f>IF(AND($B$43&lt;='1 - Titoli e shock'!$B$17,$C495&lt;='1 - Titoli e shock'!$B$17),$D$43,0)</f>
        <v>0</v>
      </c>
      <c r="H495" s="20">
        <f>IF(AND($B$43&lt;='1 - Titoli e shock'!$B$17,$C495&lt;='1 - Titoli e shock'!$B$17),$D$43,0)</f>
        <v>0</v>
      </c>
      <c r="I495" s="20">
        <f>IF(AND($B$43&lt;='1 - Titoli e shock'!$B$17,$C495&lt;='1 - Titoli e shock'!$B$17),$D$43,0)</f>
        <v>0</v>
      </c>
      <c r="J495" s="20">
        <f>IF(AND($B$43&lt;='1 - Titoli e shock'!$B$17,$C495&lt;='1 - Titoli e shock'!$B$17),$D$43,0)</f>
        <v>0</v>
      </c>
      <c r="K495" s="20">
        <f>IF(AND($B$43&lt;='1 - Titoli e shock'!$B$17,$C495&lt;='1 - Titoli e shock'!$B$17),$D$43,0)</f>
        <v>0</v>
      </c>
      <c r="L495" s="20">
        <f>IF(AND($B$43&lt;='1 - Titoli e shock'!$B$17,$C495&lt;='1 - Titoli e shock'!$B$17),$D$43,0)</f>
        <v>0</v>
      </c>
      <c r="M495" s="20">
        <f>IF(AND($B$43&lt;='1 - Titoli e shock'!$B$17,$C495&lt;='1 - Titoli e shock'!$B$17),$D$43,0)</f>
        <v>0</v>
      </c>
      <c r="N495" s="20">
        <f>IF(AND($B$43&lt;='1 - Titoli e shock'!$B$17,$C495&lt;='1 - Titoli e shock'!$B$17),$D$43,0)</f>
        <v>0</v>
      </c>
      <c r="O495" s="20">
        <f>IF(AND($B$43&lt;='1 - Titoli e shock'!$B$17,$C495&lt;='1 - Titoli e shock'!$B$17),$D$43,0)</f>
        <v>0</v>
      </c>
      <c r="P495" s="20">
        <f>IF(AND($B$43&lt;='1 - Titoli e shock'!$B$17,$C495&lt;='1 - Titoli e shock'!$B$17),$D$43,0)</f>
        <v>0</v>
      </c>
      <c r="Q495" s="20">
        <f>IF(AND($B$43&lt;='1 - Titoli e shock'!$B$17,$C495&lt;='1 - Titoli e shock'!$B$17),$D$43,0)</f>
        <v>0</v>
      </c>
      <c r="R495" s="20">
        <f>IF(AND($B$43&lt;='1 - Titoli e shock'!$B$17,$C495&lt;='1 - Titoli e shock'!$B$17),$D$43,0)</f>
        <v>0</v>
      </c>
      <c r="S495" s="20">
        <f>IF(AND($B$43&lt;='1 - Titoli e shock'!$B$17,$C495&lt;='1 - Titoli e shock'!$B$17),$D$43,0)</f>
        <v>0</v>
      </c>
      <c r="T495" s="20">
        <f>IF(AND($B$43&lt;='1 - Titoli e shock'!$B$17,$C495&lt;='1 - Titoli e shock'!$B$17),$D$43,0)</f>
        <v>0</v>
      </c>
      <c r="U495" s="20">
        <f>IF(AND($B$43&lt;='1 - Titoli e shock'!$B$17,$C495&lt;='1 - Titoli e shock'!$B$17),$D$43,0)</f>
        <v>0</v>
      </c>
    </row>
    <row r="496" spans="1:21">
      <c r="A496" s="15" t="s">
        <v>269</v>
      </c>
      <c r="B496" s="15" t="s">
        <v>265</v>
      </c>
      <c r="C496" s="13">
        <f>'1 - Titoli e shock'!$B$17</f>
        <v>49967</v>
      </c>
      <c r="F496" s="20">
        <f t="shared" ref="F496:U496" si="50">F69</f>
        <v>204449.86570099342</v>
      </c>
      <c r="G496" s="20">
        <f t="shared" si="50"/>
        <v>204816.53192006442</v>
      </c>
      <c r="H496" s="20">
        <f t="shared" si="50"/>
        <v>205181.44771109585</v>
      </c>
      <c r="I496" s="20">
        <f t="shared" si="50"/>
        <v>205544.63790638198</v>
      </c>
      <c r="J496" s="20">
        <f t="shared" si="50"/>
        <v>204907.92399031692</v>
      </c>
      <c r="K496" s="20">
        <f t="shared" si="50"/>
        <v>204999.2070532075</v>
      </c>
      <c r="L496" s="20">
        <f t="shared" si="50"/>
        <v>205035.68984354433</v>
      </c>
      <c r="M496" s="20">
        <f t="shared" si="50"/>
        <v>205072.1552797895</v>
      </c>
      <c r="N496" s="20">
        <f t="shared" si="50"/>
        <v>205108.6033866845</v>
      </c>
      <c r="O496" s="20">
        <f t="shared" si="50"/>
        <v>205145.0341889119</v>
      </c>
      <c r="P496" s="20">
        <f t="shared" si="50"/>
        <v>205217.84397780208</v>
      </c>
      <c r="Q496" s="20">
        <f t="shared" si="50"/>
        <v>205254.22301353823</v>
      </c>
      <c r="R496" s="20">
        <f t="shared" si="50"/>
        <v>205290.584842754</v>
      </c>
      <c r="S496" s="20">
        <f t="shared" si="50"/>
        <v>205326.92948984131</v>
      </c>
      <c r="T496" s="20">
        <f t="shared" si="50"/>
        <v>205363.25697913437</v>
      </c>
      <c r="U496" s="20">
        <f t="shared" si="50"/>
        <v>205906.12675657633</v>
      </c>
    </row>
    <row r="497" spans="1:21">
      <c r="A497" s="15" t="s">
        <v>270</v>
      </c>
      <c r="B497" s="15" t="s">
        <v>265</v>
      </c>
      <c r="C497" s="13">
        <f>EDATE('1 - Titoli e shock'!$B$6,12*1)</f>
        <v>46679</v>
      </c>
      <c r="F497" s="20">
        <f>IF(0&lt;'1 - Titoli e shock'!$B$11,-'1 - Titoli e shock'!$B$9*F115,0)</f>
        <v>-397.0457055541612</v>
      </c>
      <c r="G497" s="20">
        <f>IF(0&lt;'1 - Titoli e shock'!$B$11,-'1 - Titoli e shock'!$B$9*F131,0)</f>
        <v>-397.0457055541612</v>
      </c>
      <c r="H497" s="20">
        <f>IF(0&lt;'1 - Titoli e shock'!$B$11,-'1 - Titoli e shock'!$B$9*F147,0)</f>
        <v>-397.0457055541612</v>
      </c>
      <c r="I497" s="20">
        <f>IF(0&lt;'1 - Titoli e shock'!$B$11,-'1 - Titoli e shock'!$B$9*F163,0)</f>
        <v>-397.0457055541612</v>
      </c>
      <c r="J497" s="20">
        <f>0</f>
        <v>0</v>
      </c>
      <c r="K497" s="20">
        <f>0</f>
        <v>0</v>
      </c>
      <c r="L497" s="20">
        <f>0</f>
        <v>0</v>
      </c>
      <c r="M497" s="20">
        <f>0</f>
        <v>0</v>
      </c>
      <c r="N497" s="20">
        <f>0</f>
        <v>0</v>
      </c>
      <c r="O497" s="20">
        <f>0</f>
        <v>0</v>
      </c>
      <c r="P497" s="20">
        <f>0</f>
        <v>0</v>
      </c>
      <c r="Q497" s="20">
        <f>0</f>
        <v>0</v>
      </c>
      <c r="R497" s="20">
        <f>0</f>
        <v>0</v>
      </c>
      <c r="S497" s="20">
        <f>0</f>
        <v>0</v>
      </c>
      <c r="T497" s="20">
        <f>0</f>
        <v>0</v>
      </c>
      <c r="U497" s="20">
        <f>0</f>
        <v>0</v>
      </c>
    </row>
    <row r="498" spans="1:21">
      <c r="A498" s="15" t="s">
        <v>270</v>
      </c>
      <c r="B498" s="15" t="s">
        <v>265</v>
      </c>
      <c r="C498" s="13">
        <f>EDATE('1 - Titoli e shock'!$B$6,12*2)</f>
        <v>47045</v>
      </c>
      <c r="F498" s="20">
        <f>IF(1&lt;'1 - Titoli e shock'!$B$11,-'1 - Titoli e shock'!$B$9*G115,0)</f>
        <v>-417.14743607564395</v>
      </c>
      <c r="G498" s="20">
        <f>IF(1&lt;'1 - Titoli e shock'!$B$11,-'1 - Titoli e shock'!$B$9*G131,0)</f>
        <v>-400.89780327786281</v>
      </c>
      <c r="H498" s="20">
        <f>IF(1&lt;'1 - Titoli e shock'!$B$11,-'1 - Titoli e shock'!$B$9*G147,0)</f>
        <v>-385.7017281504518</v>
      </c>
      <c r="I498" s="20">
        <f>IF(1&lt;'1 - Titoli e shock'!$B$11,-'1 - Titoli e shock'!$B$9*G163,0)</f>
        <v>-371.47506257592926</v>
      </c>
      <c r="J498" s="20">
        <f>0</f>
        <v>0</v>
      </c>
      <c r="K498" s="20">
        <f>0</f>
        <v>0</v>
      </c>
      <c r="L498" s="20">
        <f>0</f>
        <v>0</v>
      </c>
      <c r="M498" s="20">
        <f>0</f>
        <v>0</v>
      </c>
      <c r="N498" s="20">
        <f>0</f>
        <v>0</v>
      </c>
      <c r="O498" s="20">
        <f>0</f>
        <v>0</v>
      </c>
      <c r="P498" s="20">
        <f>0</f>
        <v>0</v>
      </c>
      <c r="Q498" s="20">
        <f>0</f>
        <v>0</v>
      </c>
      <c r="R498" s="20">
        <f>0</f>
        <v>0</v>
      </c>
      <c r="S498" s="20">
        <f>0</f>
        <v>0</v>
      </c>
      <c r="T498" s="20">
        <f>0</f>
        <v>0</v>
      </c>
      <c r="U498" s="20">
        <f>0</f>
        <v>0</v>
      </c>
    </row>
    <row r="499" spans="1:21">
      <c r="A499" s="15" t="s">
        <v>270</v>
      </c>
      <c r="B499" s="15" t="s">
        <v>265</v>
      </c>
      <c r="C499" s="13">
        <f>EDATE('1 - Titoli e shock'!$B$6,12*3)</f>
        <v>47410</v>
      </c>
      <c r="F499" s="20">
        <f>IF(2&lt;'1 - Titoli e shock'!$B$11,-'1 - Titoli e shock'!$B$9*H115,0)</f>
        <v>-417.21795451455006</v>
      </c>
      <c r="G499" s="20">
        <f>IF(2&lt;'1 - Titoli e shock'!$B$11,-'1 - Titoli e shock'!$B$9*H131,0)</f>
        <v>-403.94666045465192</v>
      </c>
      <c r="H499" s="20">
        <f>IF(2&lt;'1 - Titoli e shock'!$B$11,-'1 - Titoli e shock'!$B$9*H147,0)</f>
        <v>-391.46538438886904</v>
      </c>
      <c r="I499" s="20">
        <f>IF(2&lt;'1 - Titoli e shock'!$B$11,-'1 - Titoli e shock'!$B$9*H163,0)</f>
        <v>-379.71576768598402</v>
      </c>
      <c r="J499" s="20">
        <f>0</f>
        <v>0</v>
      </c>
      <c r="K499" s="20">
        <f>0</f>
        <v>0</v>
      </c>
      <c r="L499" s="20">
        <f>0</f>
        <v>0</v>
      </c>
      <c r="M499" s="20">
        <f>0</f>
        <v>0</v>
      </c>
      <c r="N499" s="20">
        <f>0</f>
        <v>0</v>
      </c>
      <c r="O499" s="20">
        <f>0</f>
        <v>0</v>
      </c>
      <c r="P499" s="20">
        <f>0</f>
        <v>0</v>
      </c>
      <c r="Q499" s="20">
        <f>0</f>
        <v>0</v>
      </c>
      <c r="R499" s="20">
        <f>0</f>
        <v>0</v>
      </c>
      <c r="S499" s="20">
        <f>0</f>
        <v>0</v>
      </c>
      <c r="T499" s="20">
        <f>0</f>
        <v>0</v>
      </c>
      <c r="U499" s="20">
        <f>0</f>
        <v>0</v>
      </c>
    </row>
    <row r="500" spans="1:21">
      <c r="A500" s="15" t="s">
        <v>270</v>
      </c>
      <c r="B500" s="15" t="s">
        <v>265</v>
      </c>
      <c r="C500" s="13">
        <f>EDATE('1 - Titoli e shock'!$B$6,12*4)</f>
        <v>47775</v>
      </c>
      <c r="F500" s="20">
        <f>IF(3&lt;'1 - Titoli e shock'!$B$11,-'1 - Titoli e shock'!$B$9*I115,0)</f>
        <v>-416.62360619614583</v>
      </c>
      <c r="G500" s="20">
        <f>IF(3&lt;'1 - Titoli e shock'!$B$11,-'1 - Titoli e shock'!$B$9*I131,0)</f>
        <v>-406.1145056825049</v>
      </c>
      <c r="H500" s="20">
        <f>IF(3&lt;'1 - Titoli e shock'!$B$11,-'1 - Titoli e shock'!$B$9*I147,0)</f>
        <v>-396.17622365070838</v>
      </c>
      <c r="I500" s="20">
        <f>IF(3&lt;'1 - Titoli e shock'!$B$11,-'1 - Titoli e shock'!$B$9*I163,0)</f>
        <v>-386.77011345503269</v>
      </c>
      <c r="J500" s="20">
        <f>0</f>
        <v>0</v>
      </c>
      <c r="K500" s="20">
        <f>0</f>
        <v>0</v>
      </c>
      <c r="L500" s="20">
        <f>0</f>
        <v>0</v>
      </c>
      <c r="M500" s="20">
        <f>0</f>
        <v>0</v>
      </c>
      <c r="N500" s="20">
        <f>0</f>
        <v>0</v>
      </c>
      <c r="O500" s="20">
        <f>0</f>
        <v>0</v>
      </c>
      <c r="P500" s="20">
        <f>0</f>
        <v>0</v>
      </c>
      <c r="Q500" s="20">
        <f>0</f>
        <v>0</v>
      </c>
      <c r="R500" s="20">
        <f>0</f>
        <v>0</v>
      </c>
      <c r="S500" s="20">
        <f>0</f>
        <v>0</v>
      </c>
      <c r="T500" s="20">
        <f>0</f>
        <v>0</v>
      </c>
      <c r="U500" s="20">
        <f>0</f>
        <v>0</v>
      </c>
    </row>
    <row r="501" spans="1:21">
      <c r="A501" s="15" t="s">
        <v>270</v>
      </c>
      <c r="B501" s="15" t="s">
        <v>265</v>
      </c>
      <c r="C501" s="13">
        <f>EDATE('1 - Titoli e shock'!$B$6,12*5)</f>
        <v>48140</v>
      </c>
      <c r="F501" s="20">
        <f>IF(4&lt;'1 - Titoli e shock'!$B$11,-'1 - Titoli e shock'!$B$9*J115,0)</f>
        <v>-415.54482416687199</v>
      </c>
      <c r="G501" s="20">
        <f>IF(4&lt;'1 - Titoli e shock'!$B$11,-'1 - Titoli e shock'!$B$9*J131,0)</f>
        <v>-407.48390882127717</v>
      </c>
      <c r="H501" s="20">
        <f>IF(4&lt;'1 - Titoli e shock'!$B$11,-'1 - Titoli e shock'!$B$9*J147,0)</f>
        <v>-399.81568392022808</v>
      </c>
      <c r="I501" s="20">
        <f>IF(4&lt;'1 - Titoli e shock'!$B$11,-'1 - Titoli e shock'!$B$9*J163,0)</f>
        <v>-392.51606062153962</v>
      </c>
      <c r="J501" s="20">
        <f>0</f>
        <v>0</v>
      </c>
      <c r="K501" s="20">
        <f>0</f>
        <v>0</v>
      </c>
      <c r="L501" s="20">
        <f>0</f>
        <v>0</v>
      </c>
      <c r="M501" s="20">
        <f>0</f>
        <v>0</v>
      </c>
      <c r="N501" s="20">
        <f>0</f>
        <v>0</v>
      </c>
      <c r="O501" s="20">
        <f>0</f>
        <v>0</v>
      </c>
      <c r="P501" s="20">
        <f>0</f>
        <v>0</v>
      </c>
      <c r="Q501" s="20">
        <f>0</f>
        <v>0</v>
      </c>
      <c r="R501" s="20">
        <f>0</f>
        <v>0</v>
      </c>
      <c r="S501" s="20">
        <f>0</f>
        <v>0</v>
      </c>
      <c r="T501" s="20">
        <f>0</f>
        <v>0</v>
      </c>
      <c r="U501" s="20">
        <f>0</f>
        <v>0</v>
      </c>
    </row>
    <row r="502" spans="1:21">
      <c r="A502" s="15" t="s">
        <v>270</v>
      </c>
      <c r="B502" s="15" t="s">
        <v>265</v>
      </c>
      <c r="C502" s="13">
        <f>EDATE('1 - Titoli e shock'!$B$6,12*6)</f>
        <v>48506</v>
      </c>
      <c r="F502" s="20">
        <f>IF(5&lt;'1 - Titoli e shock'!$B$11,-'1 - Titoli e shock'!$B$9*K115,0)</f>
        <v>-414.11376797918405</v>
      </c>
      <c r="G502" s="20">
        <f>IF(5&lt;'1 - Titoli e shock'!$B$11,-'1 - Titoli e shock'!$B$9*K131,0)</f>
        <v>-408.22221211021082</v>
      </c>
      <c r="H502" s="20">
        <f>IF(5&lt;'1 - Titoli e shock'!$B$11,-'1 - Titoli e shock'!$B$9*K147,0)</f>
        <v>-402.58315356609432</v>
      </c>
      <c r="I502" s="20">
        <f>IF(5&lt;'1 - Titoli e shock'!$B$11,-'1 - Titoli e shock'!$B$9*K163,0)</f>
        <v>-397.18274302625099</v>
      </c>
      <c r="J502" s="20">
        <f>0</f>
        <v>0</v>
      </c>
      <c r="K502" s="20">
        <f>0</f>
        <v>0</v>
      </c>
      <c r="L502" s="20">
        <f>0</f>
        <v>0</v>
      </c>
      <c r="M502" s="20">
        <f>0</f>
        <v>0</v>
      </c>
      <c r="N502" s="20">
        <f>0</f>
        <v>0</v>
      </c>
      <c r="O502" s="20">
        <f>0</f>
        <v>0</v>
      </c>
      <c r="P502" s="20">
        <f>0</f>
        <v>0</v>
      </c>
      <c r="Q502" s="20">
        <f>0</f>
        <v>0</v>
      </c>
      <c r="R502" s="20">
        <f>0</f>
        <v>0</v>
      </c>
      <c r="S502" s="20">
        <f>0</f>
        <v>0</v>
      </c>
      <c r="T502" s="20">
        <f>0</f>
        <v>0</v>
      </c>
      <c r="U502" s="20">
        <f>0</f>
        <v>0</v>
      </c>
    </row>
    <row r="503" spans="1:21">
      <c r="A503" s="15" t="s">
        <v>270</v>
      </c>
      <c r="B503" s="15" t="s">
        <v>265</v>
      </c>
      <c r="C503" s="13">
        <f>EDATE('1 - Titoli e shock'!$B$6,12*7)</f>
        <v>48871</v>
      </c>
      <c r="F503" s="20">
        <f>IF(6&lt;'1 - Titoli e shock'!$B$11,-'1 - Titoli e shock'!$B$9*L115,0)</f>
        <v>-412.29118510571226</v>
      </c>
      <c r="G503" s="20">
        <f>IF(6&lt;'1 - Titoli e shock'!$B$11,-'1 - Titoli e shock'!$B$9*L131,0)</f>
        <v>-408.27954692674439</v>
      </c>
      <c r="H503" s="20">
        <f>IF(6&lt;'1 - Titoli e shock'!$B$11,-'1 - Titoli e shock'!$B$9*L147,0)</f>
        <v>-404.41613014249992</v>
      </c>
      <c r="I503" s="20">
        <f>IF(6&lt;'1 - Titoli e shock'!$B$11,-'1 - Titoli e shock'!$B$9*L163,0)</f>
        <v>-400.69379353794875</v>
      </c>
      <c r="J503" s="20">
        <f>0</f>
        <v>0</v>
      </c>
      <c r="K503" s="20">
        <f>0</f>
        <v>0</v>
      </c>
      <c r="L503" s="20">
        <f>0</f>
        <v>0</v>
      </c>
      <c r="M503" s="20">
        <f>0</f>
        <v>0</v>
      </c>
      <c r="N503" s="20">
        <f>0</f>
        <v>0</v>
      </c>
      <c r="O503" s="20">
        <f>0</f>
        <v>0</v>
      </c>
      <c r="P503" s="20">
        <f>0</f>
        <v>0</v>
      </c>
      <c r="Q503" s="20">
        <f>0</f>
        <v>0</v>
      </c>
      <c r="R503" s="20">
        <f>0</f>
        <v>0</v>
      </c>
      <c r="S503" s="20">
        <f>0</f>
        <v>0</v>
      </c>
      <c r="T503" s="20">
        <f>0</f>
        <v>0</v>
      </c>
      <c r="U503" s="20">
        <f>0</f>
        <v>0</v>
      </c>
    </row>
    <row r="504" spans="1:21">
      <c r="A504" s="15" t="s">
        <v>270</v>
      </c>
      <c r="B504" s="15" t="s">
        <v>265</v>
      </c>
      <c r="C504" s="13">
        <f>EDATE('1 - Titoli e shock'!$B$6,12*8)</f>
        <v>49236</v>
      </c>
      <c r="F504" s="20">
        <f>IF(7&lt;'1 - Titoli e shock'!$B$11,-'1 - Titoli e shock'!$B$9*M115,0)</f>
        <v>-410.38150787624261</v>
      </c>
      <c r="G504" s="20">
        <f>IF(7&lt;'1 - Titoli e shock'!$B$11,-'1 - Titoli e shock'!$B$9*M131,0)</f>
        <v>-407.90743575014091</v>
      </c>
      <c r="H504" s="20">
        <f>IF(7&lt;'1 - Titoli e shock'!$B$11,-'1 - Titoli e shock'!$B$9*M147,0)</f>
        <v>-405.50936778424062</v>
      </c>
      <c r="I504" s="20">
        <f>IF(7&lt;'1 - Titoli e shock'!$B$11,-'1 - Titoli e shock'!$B$9*M163,0)</f>
        <v>-403.18416714995988</v>
      </c>
      <c r="J504" s="20">
        <f>0</f>
        <v>0</v>
      </c>
      <c r="K504" s="20">
        <f>0</f>
        <v>0</v>
      </c>
      <c r="L504" s="20">
        <f>0</f>
        <v>0</v>
      </c>
      <c r="M504" s="20">
        <f>0</f>
        <v>0</v>
      </c>
      <c r="N504" s="20">
        <f>0</f>
        <v>0</v>
      </c>
      <c r="O504" s="20">
        <f>0</f>
        <v>0</v>
      </c>
      <c r="P504" s="20">
        <f>0</f>
        <v>0</v>
      </c>
      <c r="Q504" s="20">
        <f>0</f>
        <v>0</v>
      </c>
      <c r="R504" s="20">
        <f>0</f>
        <v>0</v>
      </c>
      <c r="S504" s="20">
        <f>0</f>
        <v>0</v>
      </c>
      <c r="T504" s="20">
        <f>0</f>
        <v>0</v>
      </c>
      <c r="U504" s="20">
        <f>0</f>
        <v>0</v>
      </c>
    </row>
    <row r="505" spans="1:21">
      <c r="A505" s="15" t="s">
        <v>270</v>
      </c>
      <c r="B505" s="15" t="s">
        <v>265</v>
      </c>
      <c r="C505" s="13">
        <f>EDATE('1 - Titoli e shock'!$B$6,12*9)</f>
        <v>49601</v>
      </c>
      <c r="F505" s="20">
        <f>IF(8&lt;'1 - Titoli e shock'!$B$11,-'1 - Titoli e shock'!$B$9*N115,0)</f>
        <v>-408.97658235728335</v>
      </c>
      <c r="G505" s="20">
        <f>IF(8&lt;'1 - Titoli e shock'!$B$11,-'1 - Titoli e shock'!$B$9*N131,0)</f>
        <v>-407.69035258500321</v>
      </c>
      <c r="H505" s="20">
        <f>IF(8&lt;'1 - Titoli e shock'!$B$11,-'1 - Titoli e shock'!$B$9*N147,0)</f>
        <v>-406.43438275815731</v>
      </c>
      <c r="I505" s="20">
        <f>IF(8&lt;'1 - Titoli e shock'!$B$11,-'1 - Titoli e shock'!$B$9*N163,0)</f>
        <v>-405.20763709724616</v>
      </c>
      <c r="J505" s="20">
        <f>0</f>
        <v>0</v>
      </c>
      <c r="K505" s="20">
        <f>0</f>
        <v>0</v>
      </c>
      <c r="L505" s="20">
        <f>0</f>
        <v>0</v>
      </c>
      <c r="M505" s="20">
        <f>0</f>
        <v>0</v>
      </c>
      <c r="N505" s="20">
        <f>0</f>
        <v>0</v>
      </c>
      <c r="O505" s="20">
        <f>0</f>
        <v>0</v>
      </c>
      <c r="P505" s="20">
        <f>0</f>
        <v>0</v>
      </c>
      <c r="Q505" s="20">
        <f>0</f>
        <v>0</v>
      </c>
      <c r="R505" s="20">
        <f>0</f>
        <v>0</v>
      </c>
      <c r="S505" s="20">
        <f>0</f>
        <v>0</v>
      </c>
      <c r="T505" s="20">
        <f>0</f>
        <v>0</v>
      </c>
      <c r="U505" s="20">
        <f>0</f>
        <v>0</v>
      </c>
    </row>
    <row r="506" spans="1:21">
      <c r="A506" s="15" t="s">
        <v>270</v>
      </c>
      <c r="B506" s="15" t="s">
        <v>265</v>
      </c>
      <c r="C506" s="13">
        <f>EDATE('1 - Titoli e shock'!$B$6,12*10)</f>
        <v>49967</v>
      </c>
      <c r="F506" s="20">
        <f>IF(9&lt;'1 - Titoli e shock'!$B$11,-'1 - Titoli e shock'!$B$9*O115,0)</f>
        <v>-407.20198109998051</v>
      </c>
      <c r="G506" s="20">
        <f>IF(9&lt;'1 - Titoli e shock'!$B$11,-'1 - Titoli e shock'!$B$9*O131,0)</f>
        <v>-406.81740526392076</v>
      </c>
      <c r="H506" s="20">
        <f>IF(9&lt;'1 - Titoli e shock'!$B$11,-'1 - Titoli e shock'!$B$9*O147,0)</f>
        <v>-406.44001509875551</v>
      </c>
      <c r="I506" s="20">
        <f>IF(9&lt;'1 - Titoli e shock'!$B$11,-'1 - Titoli e shock'!$B$9*O163,0)</f>
        <v>-406.06960920700431</v>
      </c>
      <c r="J506" s="20">
        <f>0</f>
        <v>0</v>
      </c>
      <c r="K506" s="20">
        <f>0</f>
        <v>0</v>
      </c>
      <c r="L506" s="20">
        <f>0</f>
        <v>0</v>
      </c>
      <c r="M506" s="20">
        <f>0</f>
        <v>0</v>
      </c>
      <c r="N506" s="20">
        <f>0</f>
        <v>0</v>
      </c>
      <c r="O506" s="20">
        <f>0</f>
        <v>0</v>
      </c>
      <c r="P506" s="20">
        <f>0</f>
        <v>0</v>
      </c>
      <c r="Q506" s="20">
        <f>0</f>
        <v>0</v>
      </c>
      <c r="R506" s="20">
        <f>0</f>
        <v>0</v>
      </c>
      <c r="S506" s="20">
        <f>0</f>
        <v>0</v>
      </c>
      <c r="T506" s="20">
        <f>0</f>
        <v>0</v>
      </c>
      <c r="U506" s="20">
        <f>0</f>
        <v>0</v>
      </c>
    </row>
    <row r="507" spans="1:21">
      <c r="A507" s="15" t="s">
        <v>270</v>
      </c>
      <c r="B507" s="15" t="s">
        <v>265</v>
      </c>
      <c r="C507" s="13">
        <f>EDATE('1 - Titoli e shock'!$B$6,12*11)</f>
        <v>50332</v>
      </c>
      <c r="F507" s="20">
        <f>IF(10&lt;'1 - Titoli e shock'!$B$11,-'1 - Titoli e shock'!$B$9*P115,0)</f>
        <v>0</v>
      </c>
      <c r="G507" s="20">
        <f>IF(10&lt;'1 - Titoli e shock'!$B$11,-'1 - Titoli e shock'!$B$9*P131,0)</f>
        <v>0</v>
      </c>
      <c r="H507" s="20">
        <f>IF(10&lt;'1 - Titoli e shock'!$B$11,-'1 - Titoli e shock'!$B$9*P147,0)</f>
        <v>0</v>
      </c>
      <c r="I507" s="20">
        <f>IF(10&lt;'1 - Titoli e shock'!$B$11,-'1 - Titoli e shock'!$B$9*P163,0)</f>
        <v>0</v>
      </c>
      <c r="J507" s="20">
        <f>0</f>
        <v>0</v>
      </c>
      <c r="K507" s="20">
        <f>0</f>
        <v>0</v>
      </c>
      <c r="L507" s="20">
        <f>0</f>
        <v>0</v>
      </c>
      <c r="M507" s="20">
        <f>0</f>
        <v>0</v>
      </c>
      <c r="N507" s="20">
        <f>0</f>
        <v>0</v>
      </c>
      <c r="O507" s="20">
        <f>0</f>
        <v>0</v>
      </c>
      <c r="P507" s="20">
        <f>0</f>
        <v>0</v>
      </c>
      <c r="Q507" s="20">
        <f>0</f>
        <v>0</v>
      </c>
      <c r="R507" s="20">
        <f>0</f>
        <v>0</v>
      </c>
      <c r="S507" s="20">
        <f>0</f>
        <v>0</v>
      </c>
      <c r="T507" s="20">
        <f>0</f>
        <v>0</v>
      </c>
      <c r="U507" s="20">
        <f>0</f>
        <v>0</v>
      </c>
    </row>
    <row r="508" spans="1:21">
      <c r="A508" s="15" t="s">
        <v>270</v>
      </c>
      <c r="B508" s="15" t="s">
        <v>265</v>
      </c>
      <c r="C508" s="13">
        <f>EDATE('1 - Titoli e shock'!$B$6,12*12)</f>
        <v>50697</v>
      </c>
      <c r="F508" s="20">
        <f>IF(11&lt;'1 - Titoli e shock'!$B$11,-'1 - Titoli e shock'!$B$9*Q115,0)</f>
        <v>0</v>
      </c>
      <c r="G508" s="20">
        <f>IF(11&lt;'1 - Titoli e shock'!$B$11,-'1 - Titoli e shock'!$B$9*Q131,0)</f>
        <v>0</v>
      </c>
      <c r="H508" s="20">
        <f>IF(11&lt;'1 - Titoli e shock'!$B$11,-'1 - Titoli e shock'!$B$9*Q147,0)</f>
        <v>0</v>
      </c>
      <c r="I508" s="20">
        <f>IF(11&lt;'1 - Titoli e shock'!$B$11,-'1 - Titoli e shock'!$B$9*Q163,0)</f>
        <v>0</v>
      </c>
      <c r="J508" s="20">
        <f>0</f>
        <v>0</v>
      </c>
      <c r="K508" s="20">
        <f>0</f>
        <v>0</v>
      </c>
      <c r="L508" s="20">
        <f>0</f>
        <v>0</v>
      </c>
      <c r="M508" s="20">
        <f>0</f>
        <v>0</v>
      </c>
      <c r="N508" s="20">
        <f>0</f>
        <v>0</v>
      </c>
      <c r="O508" s="20">
        <f>0</f>
        <v>0</v>
      </c>
      <c r="P508" s="20">
        <f>0</f>
        <v>0</v>
      </c>
      <c r="Q508" s="20">
        <f>0</f>
        <v>0</v>
      </c>
      <c r="R508" s="20">
        <f>0</f>
        <v>0</v>
      </c>
      <c r="S508" s="20">
        <f>0</f>
        <v>0</v>
      </c>
      <c r="T508" s="20">
        <f>0</f>
        <v>0</v>
      </c>
      <c r="U508" s="20">
        <f>0</f>
        <v>0</v>
      </c>
    </row>
    <row r="509" spans="1:21">
      <c r="A509" s="15" t="s">
        <v>270</v>
      </c>
      <c r="B509" s="15" t="s">
        <v>265</v>
      </c>
      <c r="C509" s="13">
        <f>EDATE('1 - Titoli e shock'!$B$6,12*13)</f>
        <v>51062</v>
      </c>
      <c r="F509" s="20">
        <f>IF(12&lt;'1 - Titoli e shock'!$B$11,-'1 - Titoli e shock'!$B$9*R115,0)</f>
        <v>0</v>
      </c>
      <c r="G509" s="20">
        <f>IF(12&lt;'1 - Titoli e shock'!$B$11,-'1 - Titoli e shock'!$B$9*R131,0)</f>
        <v>0</v>
      </c>
      <c r="H509" s="20">
        <f>IF(12&lt;'1 - Titoli e shock'!$B$11,-'1 - Titoli e shock'!$B$9*R147,0)</f>
        <v>0</v>
      </c>
      <c r="I509" s="20">
        <f>IF(12&lt;'1 - Titoli e shock'!$B$11,-'1 - Titoli e shock'!$B$9*R163,0)</f>
        <v>0</v>
      </c>
      <c r="J509" s="20">
        <f>0</f>
        <v>0</v>
      </c>
      <c r="K509" s="20">
        <f>0</f>
        <v>0</v>
      </c>
      <c r="L509" s="20">
        <f>0</f>
        <v>0</v>
      </c>
      <c r="M509" s="20">
        <f>0</f>
        <v>0</v>
      </c>
      <c r="N509" s="20">
        <f>0</f>
        <v>0</v>
      </c>
      <c r="O509" s="20">
        <f>0</f>
        <v>0</v>
      </c>
      <c r="P509" s="20">
        <f>0</f>
        <v>0</v>
      </c>
      <c r="Q509" s="20">
        <f>0</f>
        <v>0</v>
      </c>
      <c r="R509" s="20">
        <f>0</f>
        <v>0</v>
      </c>
      <c r="S509" s="20">
        <f>0</f>
        <v>0</v>
      </c>
      <c r="T509" s="20">
        <f>0</f>
        <v>0</v>
      </c>
      <c r="U509" s="20">
        <f>0</f>
        <v>0</v>
      </c>
    </row>
    <row r="510" spans="1:21">
      <c r="A510" s="15" t="s">
        <v>270</v>
      </c>
      <c r="B510" s="15" t="s">
        <v>265</v>
      </c>
      <c r="C510" s="13">
        <f>EDATE('1 - Titoli e shock'!$B$6,12*14)</f>
        <v>51428</v>
      </c>
      <c r="F510" s="20">
        <f>IF(13&lt;'1 - Titoli e shock'!$B$11,-'1 - Titoli e shock'!$B$9*S115,0)</f>
        <v>0</v>
      </c>
      <c r="G510" s="20">
        <f>IF(13&lt;'1 - Titoli e shock'!$B$11,-'1 - Titoli e shock'!$B$9*S131,0)</f>
        <v>0</v>
      </c>
      <c r="H510" s="20">
        <f>IF(13&lt;'1 - Titoli e shock'!$B$11,-'1 - Titoli e shock'!$B$9*S147,0)</f>
        <v>0</v>
      </c>
      <c r="I510" s="20">
        <f>IF(13&lt;'1 - Titoli e shock'!$B$11,-'1 - Titoli e shock'!$B$9*S163,0)</f>
        <v>0</v>
      </c>
      <c r="J510" s="20">
        <f>0</f>
        <v>0</v>
      </c>
      <c r="K510" s="20">
        <f>0</f>
        <v>0</v>
      </c>
      <c r="L510" s="20">
        <f>0</f>
        <v>0</v>
      </c>
      <c r="M510" s="20">
        <f>0</f>
        <v>0</v>
      </c>
      <c r="N510" s="20">
        <f>0</f>
        <v>0</v>
      </c>
      <c r="O510" s="20">
        <f>0</f>
        <v>0</v>
      </c>
      <c r="P510" s="20">
        <f>0</f>
        <v>0</v>
      </c>
      <c r="Q510" s="20">
        <f>0</f>
        <v>0</v>
      </c>
      <c r="R510" s="20">
        <f>0</f>
        <v>0</v>
      </c>
      <c r="S510" s="20">
        <f>0</f>
        <v>0</v>
      </c>
      <c r="T510" s="20">
        <f>0</f>
        <v>0</v>
      </c>
      <c r="U510" s="20">
        <f>0</f>
        <v>0</v>
      </c>
    </row>
    <row r="511" spans="1:21">
      <c r="A511" s="15" t="s">
        <v>270</v>
      </c>
      <c r="B511" s="15" t="s">
        <v>265</v>
      </c>
      <c r="C511" s="13">
        <f>EDATE('1 - Titoli e shock'!$B$6,12*15)</f>
        <v>51793</v>
      </c>
      <c r="F511" s="20">
        <f>IF(14&lt;'1 - Titoli e shock'!$B$11,-'1 - Titoli e shock'!$B$9*T115,0)</f>
        <v>0</v>
      </c>
      <c r="G511" s="20">
        <f>IF(14&lt;'1 - Titoli e shock'!$B$11,-'1 - Titoli e shock'!$B$9*T131,0)</f>
        <v>0</v>
      </c>
      <c r="H511" s="20">
        <f>IF(14&lt;'1 - Titoli e shock'!$B$11,-'1 - Titoli e shock'!$B$9*T147,0)</f>
        <v>0</v>
      </c>
      <c r="I511" s="20">
        <f>IF(14&lt;'1 - Titoli e shock'!$B$11,-'1 - Titoli e shock'!$B$9*T163,0)</f>
        <v>0</v>
      </c>
      <c r="J511" s="20">
        <f>0</f>
        <v>0</v>
      </c>
      <c r="K511" s="20">
        <f>0</f>
        <v>0</v>
      </c>
      <c r="L511" s="20">
        <f>0</f>
        <v>0</v>
      </c>
      <c r="M511" s="20">
        <f>0</f>
        <v>0</v>
      </c>
      <c r="N511" s="20">
        <f>0</f>
        <v>0</v>
      </c>
      <c r="O511" s="20">
        <f>0</f>
        <v>0</v>
      </c>
      <c r="P511" s="20">
        <f>0</f>
        <v>0</v>
      </c>
      <c r="Q511" s="20">
        <f>0</f>
        <v>0</v>
      </c>
      <c r="R511" s="20">
        <f>0</f>
        <v>0</v>
      </c>
      <c r="S511" s="20">
        <f>0</f>
        <v>0</v>
      </c>
      <c r="T511" s="20">
        <f>0</f>
        <v>0</v>
      </c>
      <c r="U511" s="20">
        <f>0</f>
        <v>0</v>
      </c>
    </row>
    <row r="512" spans="1:21">
      <c r="A512" s="15" t="s">
        <v>270</v>
      </c>
      <c r="B512" s="15" t="s">
        <v>265</v>
      </c>
      <c r="C512" s="13">
        <f>EDATE('1 - Titoli e shock'!$B$6,12*16)</f>
        <v>52158</v>
      </c>
      <c r="F512" s="20">
        <f>IF(15&lt;'1 - Titoli e shock'!$B$11,-'1 - Titoli e shock'!$B$9*U115,0)</f>
        <v>0</v>
      </c>
      <c r="G512" s="20">
        <f>IF(15&lt;'1 - Titoli e shock'!$B$11,-'1 - Titoli e shock'!$B$9*U131,0)</f>
        <v>0</v>
      </c>
      <c r="H512" s="20">
        <f>IF(15&lt;'1 - Titoli e shock'!$B$11,-'1 - Titoli e shock'!$B$9*U147,0)</f>
        <v>0</v>
      </c>
      <c r="I512" s="20">
        <f>IF(15&lt;'1 - Titoli e shock'!$B$11,-'1 - Titoli e shock'!$B$9*U163,0)</f>
        <v>0</v>
      </c>
      <c r="J512" s="20">
        <f>0</f>
        <v>0</v>
      </c>
      <c r="K512" s="20">
        <f>0</f>
        <v>0</v>
      </c>
      <c r="L512" s="20">
        <f>0</f>
        <v>0</v>
      </c>
      <c r="M512" s="20">
        <f>0</f>
        <v>0</v>
      </c>
      <c r="N512" s="20">
        <f>0</f>
        <v>0</v>
      </c>
      <c r="O512" s="20">
        <f>0</f>
        <v>0</v>
      </c>
      <c r="P512" s="20">
        <f>0</f>
        <v>0</v>
      </c>
      <c r="Q512" s="20">
        <f>0</f>
        <v>0</v>
      </c>
      <c r="R512" s="20">
        <f>0</f>
        <v>0</v>
      </c>
      <c r="S512" s="20">
        <f>0</f>
        <v>0</v>
      </c>
      <c r="T512" s="20">
        <f>0</f>
        <v>0</v>
      </c>
      <c r="U512" s="20">
        <f>0</f>
        <v>0</v>
      </c>
    </row>
    <row r="514" spans="1:21">
      <c r="A514" s="36" t="s">
        <v>271</v>
      </c>
      <c r="B514" s="33"/>
      <c r="C514" s="33"/>
      <c r="D514" s="33"/>
      <c r="E514" s="33"/>
      <c r="F514" s="33"/>
      <c r="G514" s="33"/>
      <c r="H514" s="33"/>
      <c r="I514" s="33"/>
      <c r="J514" s="33"/>
    </row>
    <row r="515" spans="1:21">
      <c r="A515" s="15" t="s">
        <v>264</v>
      </c>
      <c r="B515" s="15" t="s">
        <v>272</v>
      </c>
      <c r="C515" s="13">
        <f>'1 - Titoli e shock'!$B$6</f>
        <v>46314</v>
      </c>
      <c r="F515" s="20">
        <f>-'1 - Titoli e shock'!$B$7</f>
        <v>-200000</v>
      </c>
      <c r="G515" s="20">
        <f>-'1 - Titoli e shock'!$B$7</f>
        <v>-200000</v>
      </c>
      <c r="H515" s="20">
        <f>-'1 - Titoli e shock'!$B$7</f>
        <v>-200000</v>
      </c>
      <c r="I515" s="20">
        <f>-'1 - Titoli e shock'!$B$7</f>
        <v>-200000</v>
      </c>
      <c r="J515" s="20">
        <f>-'1 - Titoli e shock'!$B$7</f>
        <v>-200000</v>
      </c>
      <c r="K515" s="20">
        <f>-'1 - Titoli e shock'!$B$7</f>
        <v>-200000</v>
      </c>
      <c r="L515" s="20">
        <f>-'1 - Titoli e shock'!$B$7</f>
        <v>-200000</v>
      </c>
      <c r="M515" s="20">
        <f>-'1 - Titoli e shock'!$B$7</f>
        <v>-200000</v>
      </c>
      <c r="N515" s="20">
        <f>-'1 - Titoli e shock'!$B$7</f>
        <v>-200000</v>
      </c>
      <c r="O515" s="20">
        <f>-'1 - Titoli e shock'!$B$7</f>
        <v>-200000</v>
      </c>
      <c r="P515" s="20">
        <f>-'1 - Titoli e shock'!$B$7</f>
        <v>-200000</v>
      </c>
      <c r="Q515" s="20">
        <f>-'1 - Titoli e shock'!$B$7</f>
        <v>-200000</v>
      </c>
      <c r="R515" s="20">
        <f>-'1 - Titoli e shock'!$B$7</f>
        <v>-200000</v>
      </c>
      <c r="S515" s="20">
        <f>-'1 - Titoli e shock'!$B$7</f>
        <v>-200000</v>
      </c>
      <c r="T515" s="20">
        <f>-'1 - Titoli e shock'!$B$7</f>
        <v>-200000</v>
      </c>
      <c r="U515" s="20">
        <f>-'1 - Titoli e shock'!$B$7</f>
        <v>-200000</v>
      </c>
    </row>
    <row r="516" spans="1:21">
      <c r="A516" s="15" t="s">
        <v>266</v>
      </c>
      <c r="B516" s="15" t="s">
        <v>272</v>
      </c>
      <c r="C516" s="13">
        <f>EDATE($B$44,-6*53)</f>
        <v>46478</v>
      </c>
      <c r="D516" s="23">
        <f>MAX(1,(YEAR(C516)-YEAR('1 - Titoli e shock'!$B$6))+IF(MONTH(C516)*100+DAY(C516)&gt;MONTH('1 - Titoli e shock'!$B$6)*100+DAY('1 - Titoli e shock'!$B$6),1,0))</f>
        <v>1</v>
      </c>
      <c r="E516" s="20">
        <f>IF(C516&lt;='1 - Titoli e shock'!$B$17,('1 - Titoli e shock'!$C$33*100/2-'1 - Titoli e shock'!$B$8*'1 - Titoli e shock'!$C$33*100/2*IF(EDATE(C516,-6)&lt;='1 - Titoli e shock'!$B$6,(C516-'1 - Titoli e shock'!$B$6)/(C516-EDATE(C516,-6)),1))*$C$44,0)</f>
        <v>4281.6037441277076</v>
      </c>
      <c r="F516" s="20">
        <f t="shared" ref="F516:U525" si="51">$E516</f>
        <v>4281.6037441277076</v>
      </c>
      <c r="G516" s="20">
        <f t="shared" si="51"/>
        <v>4281.6037441277076</v>
      </c>
      <c r="H516" s="20">
        <f t="shared" si="51"/>
        <v>4281.6037441277076</v>
      </c>
      <c r="I516" s="20">
        <f t="shared" si="51"/>
        <v>4281.6037441277076</v>
      </c>
      <c r="J516" s="20">
        <f t="shared" si="51"/>
        <v>4281.6037441277076</v>
      </c>
      <c r="K516" s="20">
        <f t="shared" si="51"/>
        <v>4281.6037441277076</v>
      </c>
      <c r="L516" s="20">
        <f t="shared" si="51"/>
        <v>4281.6037441277076</v>
      </c>
      <c r="M516" s="20">
        <f t="shared" si="51"/>
        <v>4281.6037441277076</v>
      </c>
      <c r="N516" s="20">
        <f t="shared" si="51"/>
        <v>4281.6037441277076</v>
      </c>
      <c r="O516" s="20">
        <f t="shared" si="51"/>
        <v>4281.6037441277076</v>
      </c>
      <c r="P516" s="20">
        <f t="shared" si="51"/>
        <v>4281.6037441277076</v>
      </c>
      <c r="Q516" s="20">
        <f t="shared" si="51"/>
        <v>4281.6037441277076</v>
      </c>
      <c r="R516" s="20">
        <f t="shared" si="51"/>
        <v>4281.6037441277076</v>
      </c>
      <c r="S516" s="20">
        <f t="shared" si="51"/>
        <v>4281.6037441277076</v>
      </c>
      <c r="T516" s="20">
        <f t="shared" si="51"/>
        <v>4281.6037441277076</v>
      </c>
      <c r="U516" s="20">
        <f t="shared" si="51"/>
        <v>4281.6037441277076</v>
      </c>
    </row>
    <row r="517" spans="1:21">
      <c r="A517" s="15" t="s">
        <v>266</v>
      </c>
      <c r="B517" s="15" t="s">
        <v>272</v>
      </c>
      <c r="C517" s="13">
        <f>EDATE($B$44,-6*52)</f>
        <v>46661</v>
      </c>
      <c r="D517" s="23">
        <f>MAX(1,(YEAR(C517)-YEAR('1 - Titoli e shock'!$B$6))+IF(MONTH(C517)*100+DAY(C517)&gt;MONTH('1 - Titoli e shock'!$B$6)*100+DAY('1 - Titoli e shock'!$B$6),1,0))</f>
        <v>1</v>
      </c>
      <c r="E517" s="20">
        <f>IF(C517&lt;='1 - Titoli e shock'!$B$17,('1 - Titoli e shock'!$C$33*100/2-'1 - Titoli e shock'!$B$8*'1 - Titoli e shock'!$C$33*100/2*IF(EDATE(C517,-6)&lt;='1 - Titoli e shock'!$B$6,(C517-'1 - Titoli e shock'!$B$6)/(C517-EDATE(C517,-6)),1))*$C$44,0)</f>
        <v>4221.952917971129</v>
      </c>
      <c r="F517" s="20">
        <f t="shared" si="51"/>
        <v>4221.952917971129</v>
      </c>
      <c r="G517" s="20">
        <f t="shared" si="51"/>
        <v>4221.952917971129</v>
      </c>
      <c r="H517" s="20">
        <f t="shared" si="51"/>
        <v>4221.952917971129</v>
      </c>
      <c r="I517" s="20">
        <f t="shared" si="51"/>
        <v>4221.952917971129</v>
      </c>
      <c r="J517" s="20">
        <f t="shared" si="51"/>
        <v>4221.952917971129</v>
      </c>
      <c r="K517" s="20">
        <f t="shared" si="51"/>
        <v>4221.952917971129</v>
      </c>
      <c r="L517" s="20">
        <f t="shared" si="51"/>
        <v>4221.952917971129</v>
      </c>
      <c r="M517" s="20">
        <f t="shared" si="51"/>
        <v>4221.952917971129</v>
      </c>
      <c r="N517" s="20">
        <f t="shared" si="51"/>
        <v>4221.952917971129</v>
      </c>
      <c r="O517" s="20">
        <f t="shared" si="51"/>
        <v>4221.952917971129</v>
      </c>
      <c r="P517" s="20">
        <f t="shared" si="51"/>
        <v>4221.952917971129</v>
      </c>
      <c r="Q517" s="20">
        <f t="shared" si="51"/>
        <v>4221.952917971129</v>
      </c>
      <c r="R517" s="20">
        <f t="shared" si="51"/>
        <v>4221.952917971129</v>
      </c>
      <c r="S517" s="20">
        <f t="shared" si="51"/>
        <v>4221.952917971129</v>
      </c>
      <c r="T517" s="20">
        <f t="shared" si="51"/>
        <v>4221.952917971129</v>
      </c>
      <c r="U517" s="20">
        <f t="shared" si="51"/>
        <v>4221.952917971129</v>
      </c>
    </row>
    <row r="518" spans="1:21">
      <c r="A518" s="15" t="s">
        <v>266</v>
      </c>
      <c r="B518" s="15" t="s">
        <v>272</v>
      </c>
      <c r="C518" s="13">
        <f>EDATE($B$44,-6*51)</f>
        <v>46844</v>
      </c>
      <c r="D518" s="23">
        <f>MAX(1,(YEAR(C518)-YEAR('1 - Titoli e shock'!$B$6))+IF(MONTH(C518)*100+DAY(C518)&gt;MONTH('1 - Titoli e shock'!$B$6)*100+DAY('1 - Titoli e shock'!$B$6),1,0))</f>
        <v>2</v>
      </c>
      <c r="E518" s="20">
        <f>IF(C518&lt;='1 - Titoli e shock'!$B$17,('1 - Titoli e shock'!$C$33*100/2-'1 - Titoli e shock'!$B$8*'1 - Titoli e shock'!$C$33*100/2*IF(EDATE(C518,-6)&lt;='1 - Titoli e shock'!$B$6,(C518-'1 - Titoli e shock'!$B$6)/(C518-EDATE(C518,-6)),1))*$C$44,0)</f>
        <v>4221.952917971129</v>
      </c>
      <c r="F518" s="20">
        <f t="shared" si="51"/>
        <v>4221.952917971129</v>
      </c>
      <c r="G518" s="20">
        <f t="shared" si="51"/>
        <v>4221.952917971129</v>
      </c>
      <c r="H518" s="20">
        <f t="shared" si="51"/>
        <v>4221.952917971129</v>
      </c>
      <c r="I518" s="20">
        <f t="shared" si="51"/>
        <v>4221.952917971129</v>
      </c>
      <c r="J518" s="20">
        <f t="shared" si="51"/>
        <v>4221.952917971129</v>
      </c>
      <c r="K518" s="20">
        <f t="shared" si="51"/>
        <v>4221.952917971129</v>
      </c>
      <c r="L518" s="20">
        <f t="shared" si="51"/>
        <v>4221.952917971129</v>
      </c>
      <c r="M518" s="20">
        <f t="shared" si="51"/>
        <v>4221.952917971129</v>
      </c>
      <c r="N518" s="20">
        <f t="shared" si="51"/>
        <v>4221.952917971129</v>
      </c>
      <c r="O518" s="20">
        <f t="shared" si="51"/>
        <v>4221.952917971129</v>
      </c>
      <c r="P518" s="20">
        <f t="shared" si="51"/>
        <v>4221.952917971129</v>
      </c>
      <c r="Q518" s="20">
        <f t="shared" si="51"/>
        <v>4221.952917971129</v>
      </c>
      <c r="R518" s="20">
        <f t="shared" si="51"/>
        <v>4221.952917971129</v>
      </c>
      <c r="S518" s="20">
        <f t="shared" si="51"/>
        <v>4221.952917971129</v>
      </c>
      <c r="T518" s="20">
        <f t="shared" si="51"/>
        <v>4221.952917971129</v>
      </c>
      <c r="U518" s="20">
        <f t="shared" si="51"/>
        <v>4221.952917971129</v>
      </c>
    </row>
    <row r="519" spans="1:21">
      <c r="A519" s="15" t="s">
        <v>266</v>
      </c>
      <c r="B519" s="15" t="s">
        <v>272</v>
      </c>
      <c r="C519" s="13">
        <f>EDATE($B$44,-6*50)</f>
        <v>47027</v>
      </c>
      <c r="D519" s="23">
        <f>MAX(1,(YEAR(C519)-YEAR('1 - Titoli e shock'!$B$6))+IF(MONTH(C519)*100+DAY(C519)&gt;MONTH('1 - Titoli e shock'!$B$6)*100+DAY('1 - Titoli e shock'!$B$6),1,0))</f>
        <v>2</v>
      </c>
      <c r="E519" s="20">
        <f>IF(C519&lt;='1 - Titoli e shock'!$B$17,('1 - Titoli e shock'!$C$33*100/2-'1 - Titoli e shock'!$B$8*'1 - Titoli e shock'!$C$33*100/2*IF(EDATE(C519,-6)&lt;='1 - Titoli e shock'!$B$6,(C519-'1 - Titoli e shock'!$B$6)/(C519-EDATE(C519,-6)),1))*$C$44,0)</f>
        <v>4221.952917971129</v>
      </c>
      <c r="F519" s="20">
        <f t="shared" si="51"/>
        <v>4221.952917971129</v>
      </c>
      <c r="G519" s="20">
        <f t="shared" si="51"/>
        <v>4221.952917971129</v>
      </c>
      <c r="H519" s="20">
        <f t="shared" si="51"/>
        <v>4221.952917971129</v>
      </c>
      <c r="I519" s="20">
        <f t="shared" si="51"/>
        <v>4221.952917971129</v>
      </c>
      <c r="J519" s="20">
        <f t="shared" si="51"/>
        <v>4221.952917971129</v>
      </c>
      <c r="K519" s="20">
        <f t="shared" si="51"/>
        <v>4221.952917971129</v>
      </c>
      <c r="L519" s="20">
        <f t="shared" si="51"/>
        <v>4221.952917971129</v>
      </c>
      <c r="M519" s="20">
        <f t="shared" si="51"/>
        <v>4221.952917971129</v>
      </c>
      <c r="N519" s="20">
        <f t="shared" si="51"/>
        <v>4221.952917971129</v>
      </c>
      <c r="O519" s="20">
        <f t="shared" si="51"/>
        <v>4221.952917971129</v>
      </c>
      <c r="P519" s="20">
        <f t="shared" si="51"/>
        <v>4221.952917971129</v>
      </c>
      <c r="Q519" s="20">
        <f t="shared" si="51"/>
        <v>4221.952917971129</v>
      </c>
      <c r="R519" s="20">
        <f t="shared" si="51"/>
        <v>4221.952917971129</v>
      </c>
      <c r="S519" s="20">
        <f t="shared" si="51"/>
        <v>4221.952917971129</v>
      </c>
      <c r="T519" s="20">
        <f t="shared" si="51"/>
        <v>4221.952917971129</v>
      </c>
      <c r="U519" s="20">
        <f t="shared" si="51"/>
        <v>4221.952917971129</v>
      </c>
    </row>
    <row r="520" spans="1:21">
      <c r="A520" s="15" t="s">
        <v>266</v>
      </c>
      <c r="B520" s="15" t="s">
        <v>272</v>
      </c>
      <c r="C520" s="13">
        <f>EDATE($B$44,-6*49)</f>
        <v>47209</v>
      </c>
      <c r="D520" s="23">
        <f>MAX(1,(YEAR(C520)-YEAR('1 - Titoli e shock'!$B$6))+IF(MONTH(C520)*100+DAY(C520)&gt;MONTH('1 - Titoli e shock'!$B$6)*100+DAY('1 - Titoli e shock'!$B$6),1,0))</f>
        <v>3</v>
      </c>
      <c r="E520" s="20">
        <f>IF(C520&lt;='1 - Titoli e shock'!$B$17,('1 - Titoli e shock'!$C$33*100/2-'1 - Titoli e shock'!$B$8*'1 - Titoli e shock'!$C$33*100/2*IF(EDATE(C520,-6)&lt;='1 - Titoli e shock'!$B$6,(C520-'1 - Titoli e shock'!$B$6)/(C520-EDATE(C520,-6)),1))*$C$44,0)</f>
        <v>4221.952917971129</v>
      </c>
      <c r="F520" s="20">
        <f t="shared" si="51"/>
        <v>4221.952917971129</v>
      </c>
      <c r="G520" s="20">
        <f t="shared" si="51"/>
        <v>4221.952917971129</v>
      </c>
      <c r="H520" s="20">
        <f t="shared" si="51"/>
        <v>4221.952917971129</v>
      </c>
      <c r="I520" s="20">
        <f t="shared" si="51"/>
        <v>4221.952917971129</v>
      </c>
      <c r="J520" s="20">
        <f t="shared" si="51"/>
        <v>4221.952917971129</v>
      </c>
      <c r="K520" s="20">
        <f t="shared" si="51"/>
        <v>4221.952917971129</v>
      </c>
      <c r="L520" s="20">
        <f t="shared" si="51"/>
        <v>4221.952917971129</v>
      </c>
      <c r="M520" s="20">
        <f t="shared" si="51"/>
        <v>4221.952917971129</v>
      </c>
      <c r="N520" s="20">
        <f t="shared" si="51"/>
        <v>4221.952917971129</v>
      </c>
      <c r="O520" s="20">
        <f t="shared" si="51"/>
        <v>4221.952917971129</v>
      </c>
      <c r="P520" s="20">
        <f t="shared" si="51"/>
        <v>4221.952917971129</v>
      </c>
      <c r="Q520" s="20">
        <f t="shared" si="51"/>
        <v>4221.952917971129</v>
      </c>
      <c r="R520" s="20">
        <f t="shared" si="51"/>
        <v>4221.952917971129</v>
      </c>
      <c r="S520" s="20">
        <f t="shared" si="51"/>
        <v>4221.952917971129</v>
      </c>
      <c r="T520" s="20">
        <f t="shared" si="51"/>
        <v>4221.952917971129</v>
      </c>
      <c r="U520" s="20">
        <f t="shared" si="51"/>
        <v>4221.952917971129</v>
      </c>
    </row>
    <row r="521" spans="1:21">
      <c r="A521" s="15" t="s">
        <v>266</v>
      </c>
      <c r="B521" s="15" t="s">
        <v>272</v>
      </c>
      <c r="C521" s="13">
        <f>EDATE($B$44,-6*48)</f>
        <v>47392</v>
      </c>
      <c r="D521" s="23">
        <f>MAX(1,(YEAR(C521)-YEAR('1 - Titoli e shock'!$B$6))+IF(MONTH(C521)*100+DAY(C521)&gt;MONTH('1 - Titoli e shock'!$B$6)*100+DAY('1 - Titoli e shock'!$B$6),1,0))</f>
        <v>3</v>
      </c>
      <c r="E521" s="20">
        <f>IF(C521&lt;='1 - Titoli e shock'!$B$17,('1 - Titoli e shock'!$C$33*100/2-'1 - Titoli e shock'!$B$8*'1 - Titoli e shock'!$C$33*100/2*IF(EDATE(C521,-6)&lt;='1 - Titoli e shock'!$B$6,(C521-'1 - Titoli e shock'!$B$6)/(C521-EDATE(C521,-6)),1))*$C$44,0)</f>
        <v>4221.952917971129</v>
      </c>
      <c r="F521" s="20">
        <f t="shared" si="51"/>
        <v>4221.952917971129</v>
      </c>
      <c r="G521" s="20">
        <f t="shared" si="51"/>
        <v>4221.952917971129</v>
      </c>
      <c r="H521" s="20">
        <f t="shared" si="51"/>
        <v>4221.952917971129</v>
      </c>
      <c r="I521" s="20">
        <f t="shared" si="51"/>
        <v>4221.952917971129</v>
      </c>
      <c r="J521" s="20">
        <f t="shared" si="51"/>
        <v>4221.952917971129</v>
      </c>
      <c r="K521" s="20">
        <f t="shared" si="51"/>
        <v>4221.952917971129</v>
      </c>
      <c r="L521" s="20">
        <f t="shared" si="51"/>
        <v>4221.952917971129</v>
      </c>
      <c r="M521" s="20">
        <f t="shared" si="51"/>
        <v>4221.952917971129</v>
      </c>
      <c r="N521" s="20">
        <f t="shared" si="51"/>
        <v>4221.952917971129</v>
      </c>
      <c r="O521" s="20">
        <f t="shared" si="51"/>
        <v>4221.952917971129</v>
      </c>
      <c r="P521" s="20">
        <f t="shared" si="51"/>
        <v>4221.952917971129</v>
      </c>
      <c r="Q521" s="20">
        <f t="shared" si="51"/>
        <v>4221.952917971129</v>
      </c>
      <c r="R521" s="20">
        <f t="shared" si="51"/>
        <v>4221.952917971129</v>
      </c>
      <c r="S521" s="20">
        <f t="shared" si="51"/>
        <v>4221.952917971129</v>
      </c>
      <c r="T521" s="20">
        <f t="shared" si="51"/>
        <v>4221.952917971129</v>
      </c>
      <c r="U521" s="20">
        <f t="shared" si="51"/>
        <v>4221.952917971129</v>
      </c>
    </row>
    <row r="522" spans="1:21">
      <c r="A522" s="15" t="s">
        <v>266</v>
      </c>
      <c r="B522" s="15" t="s">
        <v>272</v>
      </c>
      <c r="C522" s="13">
        <f>EDATE($B$44,-6*47)</f>
        <v>47574</v>
      </c>
      <c r="D522" s="23">
        <f>MAX(1,(YEAR(C522)-YEAR('1 - Titoli e shock'!$B$6))+IF(MONTH(C522)*100+DAY(C522)&gt;MONTH('1 - Titoli e shock'!$B$6)*100+DAY('1 - Titoli e shock'!$B$6),1,0))</f>
        <v>4</v>
      </c>
      <c r="E522" s="20">
        <f>IF(C522&lt;='1 - Titoli e shock'!$B$17,('1 - Titoli e shock'!$C$33*100/2-'1 - Titoli e shock'!$B$8*'1 - Titoli e shock'!$C$33*100/2*IF(EDATE(C522,-6)&lt;='1 - Titoli e shock'!$B$6,(C522-'1 - Titoli e shock'!$B$6)/(C522-EDATE(C522,-6)),1))*$C$44,0)</f>
        <v>4221.952917971129</v>
      </c>
      <c r="F522" s="20">
        <f t="shared" si="51"/>
        <v>4221.952917971129</v>
      </c>
      <c r="G522" s="20">
        <f t="shared" si="51"/>
        <v>4221.952917971129</v>
      </c>
      <c r="H522" s="20">
        <f t="shared" si="51"/>
        <v>4221.952917971129</v>
      </c>
      <c r="I522" s="20">
        <f t="shared" si="51"/>
        <v>4221.952917971129</v>
      </c>
      <c r="J522" s="20">
        <f t="shared" si="51"/>
        <v>4221.952917971129</v>
      </c>
      <c r="K522" s="20">
        <f t="shared" si="51"/>
        <v>4221.952917971129</v>
      </c>
      <c r="L522" s="20">
        <f t="shared" si="51"/>
        <v>4221.952917971129</v>
      </c>
      <c r="M522" s="20">
        <f t="shared" si="51"/>
        <v>4221.952917971129</v>
      </c>
      <c r="N522" s="20">
        <f t="shared" si="51"/>
        <v>4221.952917971129</v>
      </c>
      <c r="O522" s="20">
        <f t="shared" si="51"/>
        <v>4221.952917971129</v>
      </c>
      <c r="P522" s="20">
        <f t="shared" si="51"/>
        <v>4221.952917971129</v>
      </c>
      <c r="Q522" s="20">
        <f t="shared" si="51"/>
        <v>4221.952917971129</v>
      </c>
      <c r="R522" s="20">
        <f t="shared" si="51"/>
        <v>4221.952917971129</v>
      </c>
      <c r="S522" s="20">
        <f t="shared" si="51"/>
        <v>4221.952917971129</v>
      </c>
      <c r="T522" s="20">
        <f t="shared" si="51"/>
        <v>4221.952917971129</v>
      </c>
      <c r="U522" s="20">
        <f t="shared" si="51"/>
        <v>4221.952917971129</v>
      </c>
    </row>
    <row r="523" spans="1:21">
      <c r="A523" s="15" t="s">
        <v>266</v>
      </c>
      <c r="B523" s="15" t="s">
        <v>272</v>
      </c>
      <c r="C523" s="13">
        <f>EDATE($B$44,-6*46)</f>
        <v>47757</v>
      </c>
      <c r="D523" s="23">
        <f>MAX(1,(YEAR(C523)-YEAR('1 - Titoli e shock'!$B$6))+IF(MONTH(C523)*100+DAY(C523)&gt;MONTH('1 - Titoli e shock'!$B$6)*100+DAY('1 - Titoli e shock'!$B$6),1,0))</f>
        <v>4</v>
      </c>
      <c r="E523" s="20">
        <f>IF(C523&lt;='1 - Titoli e shock'!$B$17,('1 - Titoli e shock'!$C$33*100/2-'1 - Titoli e shock'!$B$8*'1 - Titoli e shock'!$C$33*100/2*IF(EDATE(C523,-6)&lt;='1 - Titoli e shock'!$B$6,(C523-'1 - Titoli e shock'!$B$6)/(C523-EDATE(C523,-6)),1))*$C$44,0)</f>
        <v>4221.952917971129</v>
      </c>
      <c r="F523" s="20">
        <f t="shared" si="51"/>
        <v>4221.952917971129</v>
      </c>
      <c r="G523" s="20">
        <f t="shared" si="51"/>
        <v>4221.952917971129</v>
      </c>
      <c r="H523" s="20">
        <f t="shared" si="51"/>
        <v>4221.952917971129</v>
      </c>
      <c r="I523" s="20">
        <f t="shared" si="51"/>
        <v>4221.952917971129</v>
      </c>
      <c r="J523" s="20">
        <f t="shared" si="51"/>
        <v>4221.952917971129</v>
      </c>
      <c r="K523" s="20">
        <f t="shared" si="51"/>
        <v>4221.952917971129</v>
      </c>
      <c r="L523" s="20">
        <f t="shared" si="51"/>
        <v>4221.952917971129</v>
      </c>
      <c r="M523" s="20">
        <f t="shared" si="51"/>
        <v>4221.952917971129</v>
      </c>
      <c r="N523" s="20">
        <f t="shared" si="51"/>
        <v>4221.952917971129</v>
      </c>
      <c r="O523" s="20">
        <f t="shared" si="51"/>
        <v>4221.952917971129</v>
      </c>
      <c r="P523" s="20">
        <f t="shared" si="51"/>
        <v>4221.952917971129</v>
      </c>
      <c r="Q523" s="20">
        <f t="shared" si="51"/>
        <v>4221.952917971129</v>
      </c>
      <c r="R523" s="20">
        <f t="shared" si="51"/>
        <v>4221.952917971129</v>
      </c>
      <c r="S523" s="20">
        <f t="shared" si="51"/>
        <v>4221.952917971129</v>
      </c>
      <c r="T523" s="20">
        <f t="shared" si="51"/>
        <v>4221.952917971129</v>
      </c>
      <c r="U523" s="20">
        <f t="shared" si="51"/>
        <v>4221.952917971129</v>
      </c>
    </row>
    <row r="524" spans="1:21">
      <c r="A524" s="15" t="s">
        <v>266</v>
      </c>
      <c r="B524" s="15" t="s">
        <v>272</v>
      </c>
      <c r="C524" s="13">
        <f>EDATE($B$44,-6*45)</f>
        <v>47939</v>
      </c>
      <c r="D524" s="23">
        <f>MAX(1,(YEAR(C524)-YEAR('1 - Titoli e shock'!$B$6))+IF(MONTH(C524)*100+DAY(C524)&gt;MONTH('1 - Titoli e shock'!$B$6)*100+DAY('1 - Titoli e shock'!$B$6),1,0))</f>
        <v>5</v>
      </c>
      <c r="E524" s="20">
        <f>IF(C524&lt;='1 - Titoli e shock'!$B$17,('1 - Titoli e shock'!$C$33*100/2-'1 - Titoli e shock'!$B$8*'1 - Titoli e shock'!$C$33*100/2*IF(EDATE(C524,-6)&lt;='1 - Titoli e shock'!$B$6,(C524-'1 - Titoli e shock'!$B$6)/(C524-EDATE(C524,-6)),1))*$C$44,0)</f>
        <v>4221.952917971129</v>
      </c>
      <c r="F524" s="20">
        <f t="shared" si="51"/>
        <v>4221.952917971129</v>
      </c>
      <c r="G524" s="20">
        <f t="shared" si="51"/>
        <v>4221.952917971129</v>
      </c>
      <c r="H524" s="20">
        <f t="shared" si="51"/>
        <v>4221.952917971129</v>
      </c>
      <c r="I524" s="20">
        <f t="shared" si="51"/>
        <v>4221.952917971129</v>
      </c>
      <c r="J524" s="20">
        <f t="shared" si="51"/>
        <v>4221.952917971129</v>
      </c>
      <c r="K524" s="20">
        <f t="shared" si="51"/>
        <v>4221.952917971129</v>
      </c>
      <c r="L524" s="20">
        <f t="shared" si="51"/>
        <v>4221.952917971129</v>
      </c>
      <c r="M524" s="20">
        <f t="shared" si="51"/>
        <v>4221.952917971129</v>
      </c>
      <c r="N524" s="20">
        <f t="shared" si="51"/>
        <v>4221.952917971129</v>
      </c>
      <c r="O524" s="20">
        <f t="shared" si="51"/>
        <v>4221.952917971129</v>
      </c>
      <c r="P524" s="20">
        <f t="shared" si="51"/>
        <v>4221.952917971129</v>
      </c>
      <c r="Q524" s="20">
        <f t="shared" si="51"/>
        <v>4221.952917971129</v>
      </c>
      <c r="R524" s="20">
        <f t="shared" si="51"/>
        <v>4221.952917971129</v>
      </c>
      <c r="S524" s="20">
        <f t="shared" si="51"/>
        <v>4221.952917971129</v>
      </c>
      <c r="T524" s="20">
        <f t="shared" si="51"/>
        <v>4221.952917971129</v>
      </c>
      <c r="U524" s="20">
        <f t="shared" si="51"/>
        <v>4221.952917971129</v>
      </c>
    </row>
    <row r="525" spans="1:21">
      <c r="A525" s="15" t="s">
        <v>266</v>
      </c>
      <c r="B525" s="15" t="s">
        <v>272</v>
      </c>
      <c r="C525" s="13">
        <f>EDATE($B$44,-6*44)</f>
        <v>48122</v>
      </c>
      <c r="D525" s="23">
        <f>MAX(1,(YEAR(C525)-YEAR('1 - Titoli e shock'!$B$6))+IF(MONTH(C525)*100+DAY(C525)&gt;MONTH('1 - Titoli e shock'!$B$6)*100+DAY('1 - Titoli e shock'!$B$6),1,0))</f>
        <v>5</v>
      </c>
      <c r="E525" s="20">
        <f>IF(C525&lt;='1 - Titoli e shock'!$B$17,('1 - Titoli e shock'!$C$33*100/2-'1 - Titoli e shock'!$B$8*'1 - Titoli e shock'!$C$33*100/2*IF(EDATE(C525,-6)&lt;='1 - Titoli e shock'!$B$6,(C525-'1 - Titoli e shock'!$B$6)/(C525-EDATE(C525,-6)),1))*$C$44,0)</f>
        <v>4221.952917971129</v>
      </c>
      <c r="F525" s="20">
        <f t="shared" si="51"/>
        <v>4221.952917971129</v>
      </c>
      <c r="G525" s="20">
        <f t="shared" si="51"/>
        <v>4221.952917971129</v>
      </c>
      <c r="H525" s="20">
        <f t="shared" si="51"/>
        <v>4221.952917971129</v>
      </c>
      <c r="I525" s="20">
        <f t="shared" si="51"/>
        <v>4221.952917971129</v>
      </c>
      <c r="J525" s="20">
        <f t="shared" si="51"/>
        <v>4221.952917971129</v>
      </c>
      <c r="K525" s="20">
        <f t="shared" si="51"/>
        <v>4221.952917971129</v>
      </c>
      <c r="L525" s="20">
        <f t="shared" si="51"/>
        <v>4221.952917971129</v>
      </c>
      <c r="M525" s="20">
        <f t="shared" si="51"/>
        <v>4221.952917971129</v>
      </c>
      <c r="N525" s="20">
        <f t="shared" si="51"/>
        <v>4221.952917971129</v>
      </c>
      <c r="O525" s="20">
        <f t="shared" si="51"/>
        <v>4221.952917971129</v>
      </c>
      <c r="P525" s="20">
        <f t="shared" si="51"/>
        <v>4221.952917971129</v>
      </c>
      <c r="Q525" s="20">
        <f t="shared" si="51"/>
        <v>4221.952917971129</v>
      </c>
      <c r="R525" s="20">
        <f t="shared" si="51"/>
        <v>4221.952917971129</v>
      </c>
      <c r="S525" s="20">
        <f t="shared" si="51"/>
        <v>4221.952917971129</v>
      </c>
      <c r="T525" s="20">
        <f t="shared" si="51"/>
        <v>4221.952917971129</v>
      </c>
      <c r="U525" s="20">
        <f t="shared" si="51"/>
        <v>4221.952917971129</v>
      </c>
    </row>
    <row r="526" spans="1:21">
      <c r="A526" s="15" t="s">
        <v>266</v>
      </c>
      <c r="B526" s="15" t="s">
        <v>272</v>
      </c>
      <c r="C526" s="13">
        <f>EDATE($B$44,-6*43)</f>
        <v>48305</v>
      </c>
      <c r="D526" s="23">
        <f>MAX(1,(YEAR(C526)-YEAR('1 - Titoli e shock'!$B$6))+IF(MONTH(C526)*100+DAY(C526)&gt;MONTH('1 - Titoli e shock'!$B$6)*100+DAY('1 - Titoli e shock'!$B$6),1,0))</f>
        <v>6</v>
      </c>
      <c r="E526" s="20">
        <f>IF(C526&lt;='1 - Titoli e shock'!$B$17,('1 - Titoli e shock'!$C$33*100/2-'1 - Titoli e shock'!$B$8*'1 - Titoli e shock'!$C$33*100/2*IF(EDATE(C526,-6)&lt;='1 - Titoli e shock'!$B$6,(C526-'1 - Titoli e shock'!$B$6)/(C526-EDATE(C526,-6)),1))*$C$44,0)</f>
        <v>4221.952917971129</v>
      </c>
      <c r="F526" s="20">
        <f t="shared" ref="F526:U535" si="52">$E526</f>
        <v>4221.952917971129</v>
      </c>
      <c r="G526" s="20">
        <f t="shared" si="52"/>
        <v>4221.952917971129</v>
      </c>
      <c r="H526" s="20">
        <f t="shared" si="52"/>
        <v>4221.952917971129</v>
      </c>
      <c r="I526" s="20">
        <f t="shared" si="52"/>
        <v>4221.952917971129</v>
      </c>
      <c r="J526" s="20">
        <f t="shared" si="52"/>
        <v>4221.952917971129</v>
      </c>
      <c r="K526" s="20">
        <f t="shared" si="52"/>
        <v>4221.952917971129</v>
      </c>
      <c r="L526" s="20">
        <f t="shared" si="52"/>
        <v>4221.952917971129</v>
      </c>
      <c r="M526" s="20">
        <f t="shared" si="52"/>
        <v>4221.952917971129</v>
      </c>
      <c r="N526" s="20">
        <f t="shared" si="52"/>
        <v>4221.952917971129</v>
      </c>
      <c r="O526" s="20">
        <f t="shared" si="52"/>
        <v>4221.952917971129</v>
      </c>
      <c r="P526" s="20">
        <f t="shared" si="52"/>
        <v>4221.952917971129</v>
      </c>
      <c r="Q526" s="20">
        <f t="shared" si="52"/>
        <v>4221.952917971129</v>
      </c>
      <c r="R526" s="20">
        <f t="shared" si="52"/>
        <v>4221.952917971129</v>
      </c>
      <c r="S526" s="20">
        <f t="shared" si="52"/>
        <v>4221.952917971129</v>
      </c>
      <c r="T526" s="20">
        <f t="shared" si="52"/>
        <v>4221.952917971129</v>
      </c>
      <c r="U526" s="20">
        <f t="shared" si="52"/>
        <v>4221.952917971129</v>
      </c>
    </row>
    <row r="527" spans="1:21">
      <c r="A527" s="15" t="s">
        <v>266</v>
      </c>
      <c r="B527" s="15" t="s">
        <v>272</v>
      </c>
      <c r="C527" s="13">
        <f>EDATE($B$44,-6*42)</f>
        <v>48488</v>
      </c>
      <c r="D527" s="23">
        <f>MAX(1,(YEAR(C527)-YEAR('1 - Titoli e shock'!$B$6))+IF(MONTH(C527)*100+DAY(C527)&gt;MONTH('1 - Titoli e shock'!$B$6)*100+DAY('1 - Titoli e shock'!$B$6),1,0))</f>
        <v>6</v>
      </c>
      <c r="E527" s="20">
        <f>IF(C527&lt;='1 - Titoli e shock'!$B$17,('1 - Titoli e shock'!$C$33*100/2-'1 - Titoli e shock'!$B$8*'1 - Titoli e shock'!$C$33*100/2*IF(EDATE(C527,-6)&lt;='1 - Titoli e shock'!$B$6,(C527-'1 - Titoli e shock'!$B$6)/(C527-EDATE(C527,-6)),1))*$C$44,0)</f>
        <v>4221.952917971129</v>
      </c>
      <c r="F527" s="20">
        <f t="shared" si="52"/>
        <v>4221.952917971129</v>
      </c>
      <c r="G527" s="20">
        <f t="shared" si="52"/>
        <v>4221.952917971129</v>
      </c>
      <c r="H527" s="20">
        <f t="shared" si="52"/>
        <v>4221.952917971129</v>
      </c>
      <c r="I527" s="20">
        <f t="shared" si="52"/>
        <v>4221.952917971129</v>
      </c>
      <c r="J527" s="20">
        <f t="shared" si="52"/>
        <v>4221.952917971129</v>
      </c>
      <c r="K527" s="20">
        <f t="shared" si="52"/>
        <v>4221.952917971129</v>
      </c>
      <c r="L527" s="20">
        <f t="shared" si="52"/>
        <v>4221.952917971129</v>
      </c>
      <c r="M527" s="20">
        <f t="shared" si="52"/>
        <v>4221.952917971129</v>
      </c>
      <c r="N527" s="20">
        <f t="shared" si="52"/>
        <v>4221.952917971129</v>
      </c>
      <c r="O527" s="20">
        <f t="shared" si="52"/>
        <v>4221.952917971129</v>
      </c>
      <c r="P527" s="20">
        <f t="shared" si="52"/>
        <v>4221.952917971129</v>
      </c>
      <c r="Q527" s="20">
        <f t="shared" si="52"/>
        <v>4221.952917971129</v>
      </c>
      <c r="R527" s="20">
        <f t="shared" si="52"/>
        <v>4221.952917971129</v>
      </c>
      <c r="S527" s="20">
        <f t="shared" si="52"/>
        <v>4221.952917971129</v>
      </c>
      <c r="T527" s="20">
        <f t="shared" si="52"/>
        <v>4221.952917971129</v>
      </c>
      <c r="U527" s="20">
        <f t="shared" si="52"/>
        <v>4221.952917971129</v>
      </c>
    </row>
    <row r="528" spans="1:21">
      <c r="A528" s="15" t="s">
        <v>266</v>
      </c>
      <c r="B528" s="15" t="s">
        <v>272</v>
      </c>
      <c r="C528" s="13">
        <f>EDATE($B$44,-6*41)</f>
        <v>48670</v>
      </c>
      <c r="D528" s="23">
        <f>MAX(1,(YEAR(C528)-YEAR('1 - Titoli e shock'!$B$6))+IF(MONTH(C528)*100+DAY(C528)&gt;MONTH('1 - Titoli e shock'!$B$6)*100+DAY('1 - Titoli e shock'!$B$6),1,0))</f>
        <v>7</v>
      </c>
      <c r="E528" s="20">
        <f>IF(C528&lt;='1 - Titoli e shock'!$B$17,('1 - Titoli e shock'!$C$33*100/2-'1 - Titoli e shock'!$B$8*'1 - Titoli e shock'!$C$33*100/2*IF(EDATE(C528,-6)&lt;='1 - Titoli e shock'!$B$6,(C528-'1 - Titoli e shock'!$B$6)/(C528-EDATE(C528,-6)),1))*$C$44,0)</f>
        <v>4221.952917971129</v>
      </c>
      <c r="F528" s="20">
        <f t="shared" si="52"/>
        <v>4221.952917971129</v>
      </c>
      <c r="G528" s="20">
        <f t="shared" si="52"/>
        <v>4221.952917971129</v>
      </c>
      <c r="H528" s="20">
        <f t="shared" si="52"/>
        <v>4221.952917971129</v>
      </c>
      <c r="I528" s="20">
        <f t="shared" si="52"/>
        <v>4221.952917971129</v>
      </c>
      <c r="J528" s="20">
        <f t="shared" si="52"/>
        <v>4221.952917971129</v>
      </c>
      <c r="K528" s="20">
        <f t="shared" si="52"/>
        <v>4221.952917971129</v>
      </c>
      <c r="L528" s="20">
        <f t="shared" si="52"/>
        <v>4221.952917971129</v>
      </c>
      <c r="M528" s="20">
        <f t="shared" si="52"/>
        <v>4221.952917971129</v>
      </c>
      <c r="N528" s="20">
        <f t="shared" si="52"/>
        <v>4221.952917971129</v>
      </c>
      <c r="O528" s="20">
        <f t="shared" si="52"/>
        <v>4221.952917971129</v>
      </c>
      <c r="P528" s="20">
        <f t="shared" si="52"/>
        <v>4221.952917971129</v>
      </c>
      <c r="Q528" s="20">
        <f t="shared" si="52"/>
        <v>4221.952917971129</v>
      </c>
      <c r="R528" s="20">
        <f t="shared" si="52"/>
        <v>4221.952917971129</v>
      </c>
      <c r="S528" s="20">
        <f t="shared" si="52"/>
        <v>4221.952917971129</v>
      </c>
      <c r="T528" s="20">
        <f t="shared" si="52"/>
        <v>4221.952917971129</v>
      </c>
      <c r="U528" s="20">
        <f t="shared" si="52"/>
        <v>4221.952917971129</v>
      </c>
    </row>
    <row r="529" spans="1:21">
      <c r="A529" s="15" t="s">
        <v>266</v>
      </c>
      <c r="B529" s="15" t="s">
        <v>272</v>
      </c>
      <c r="C529" s="13">
        <f>EDATE($B$44,-6*40)</f>
        <v>48853</v>
      </c>
      <c r="D529" s="23">
        <f>MAX(1,(YEAR(C529)-YEAR('1 - Titoli e shock'!$B$6))+IF(MONTH(C529)*100+DAY(C529)&gt;MONTH('1 - Titoli e shock'!$B$6)*100+DAY('1 - Titoli e shock'!$B$6),1,0))</f>
        <v>7</v>
      </c>
      <c r="E529" s="20">
        <f>IF(C529&lt;='1 - Titoli e shock'!$B$17,('1 - Titoli e shock'!$C$33*100/2-'1 - Titoli e shock'!$B$8*'1 - Titoli e shock'!$C$33*100/2*IF(EDATE(C529,-6)&lt;='1 - Titoli e shock'!$B$6,(C529-'1 - Titoli e shock'!$B$6)/(C529-EDATE(C529,-6)),1))*$C$44,0)</f>
        <v>4221.952917971129</v>
      </c>
      <c r="F529" s="20">
        <f t="shared" si="52"/>
        <v>4221.952917971129</v>
      </c>
      <c r="G529" s="20">
        <f t="shared" si="52"/>
        <v>4221.952917971129</v>
      </c>
      <c r="H529" s="20">
        <f t="shared" si="52"/>
        <v>4221.952917971129</v>
      </c>
      <c r="I529" s="20">
        <f t="shared" si="52"/>
        <v>4221.952917971129</v>
      </c>
      <c r="J529" s="20">
        <f t="shared" si="52"/>
        <v>4221.952917971129</v>
      </c>
      <c r="K529" s="20">
        <f t="shared" si="52"/>
        <v>4221.952917971129</v>
      </c>
      <c r="L529" s="20">
        <f t="shared" si="52"/>
        <v>4221.952917971129</v>
      </c>
      <c r="M529" s="20">
        <f t="shared" si="52"/>
        <v>4221.952917971129</v>
      </c>
      <c r="N529" s="20">
        <f t="shared" si="52"/>
        <v>4221.952917971129</v>
      </c>
      <c r="O529" s="20">
        <f t="shared" si="52"/>
        <v>4221.952917971129</v>
      </c>
      <c r="P529" s="20">
        <f t="shared" si="52"/>
        <v>4221.952917971129</v>
      </c>
      <c r="Q529" s="20">
        <f t="shared" si="52"/>
        <v>4221.952917971129</v>
      </c>
      <c r="R529" s="20">
        <f t="shared" si="52"/>
        <v>4221.952917971129</v>
      </c>
      <c r="S529" s="20">
        <f t="shared" si="52"/>
        <v>4221.952917971129</v>
      </c>
      <c r="T529" s="20">
        <f t="shared" si="52"/>
        <v>4221.952917971129</v>
      </c>
      <c r="U529" s="20">
        <f t="shared" si="52"/>
        <v>4221.952917971129</v>
      </c>
    </row>
    <row r="530" spans="1:21">
      <c r="A530" s="15" t="s">
        <v>266</v>
      </c>
      <c r="B530" s="15" t="s">
        <v>272</v>
      </c>
      <c r="C530" s="13">
        <f>EDATE($B$44,-6*39)</f>
        <v>49035</v>
      </c>
      <c r="D530" s="23">
        <f>MAX(1,(YEAR(C530)-YEAR('1 - Titoli e shock'!$B$6))+IF(MONTH(C530)*100+DAY(C530)&gt;MONTH('1 - Titoli e shock'!$B$6)*100+DAY('1 - Titoli e shock'!$B$6),1,0))</f>
        <v>8</v>
      </c>
      <c r="E530" s="20">
        <f>IF(C530&lt;='1 - Titoli e shock'!$B$17,('1 - Titoli e shock'!$C$33*100/2-'1 - Titoli e shock'!$B$8*'1 - Titoli e shock'!$C$33*100/2*IF(EDATE(C530,-6)&lt;='1 - Titoli e shock'!$B$6,(C530-'1 - Titoli e shock'!$B$6)/(C530-EDATE(C530,-6)),1))*$C$44,0)</f>
        <v>4221.952917971129</v>
      </c>
      <c r="F530" s="20">
        <f t="shared" si="52"/>
        <v>4221.952917971129</v>
      </c>
      <c r="G530" s="20">
        <f t="shared" si="52"/>
        <v>4221.952917971129</v>
      </c>
      <c r="H530" s="20">
        <f t="shared" si="52"/>
        <v>4221.952917971129</v>
      </c>
      <c r="I530" s="20">
        <f t="shared" si="52"/>
        <v>4221.952917971129</v>
      </c>
      <c r="J530" s="20">
        <f t="shared" si="52"/>
        <v>4221.952917971129</v>
      </c>
      <c r="K530" s="20">
        <f t="shared" si="52"/>
        <v>4221.952917971129</v>
      </c>
      <c r="L530" s="20">
        <f t="shared" si="52"/>
        <v>4221.952917971129</v>
      </c>
      <c r="M530" s="20">
        <f t="shared" si="52"/>
        <v>4221.952917971129</v>
      </c>
      <c r="N530" s="20">
        <f t="shared" si="52"/>
        <v>4221.952917971129</v>
      </c>
      <c r="O530" s="20">
        <f t="shared" si="52"/>
        <v>4221.952917971129</v>
      </c>
      <c r="P530" s="20">
        <f t="shared" si="52"/>
        <v>4221.952917971129</v>
      </c>
      <c r="Q530" s="20">
        <f t="shared" si="52"/>
        <v>4221.952917971129</v>
      </c>
      <c r="R530" s="20">
        <f t="shared" si="52"/>
        <v>4221.952917971129</v>
      </c>
      <c r="S530" s="20">
        <f t="shared" si="52"/>
        <v>4221.952917971129</v>
      </c>
      <c r="T530" s="20">
        <f t="shared" si="52"/>
        <v>4221.952917971129</v>
      </c>
      <c r="U530" s="20">
        <f t="shared" si="52"/>
        <v>4221.952917971129</v>
      </c>
    </row>
    <row r="531" spans="1:21">
      <c r="A531" s="15" t="s">
        <v>266</v>
      </c>
      <c r="B531" s="15" t="s">
        <v>272</v>
      </c>
      <c r="C531" s="13">
        <f>EDATE($B$44,-6*38)</f>
        <v>49218</v>
      </c>
      <c r="D531" s="23">
        <f>MAX(1,(YEAR(C531)-YEAR('1 - Titoli e shock'!$B$6))+IF(MONTH(C531)*100+DAY(C531)&gt;MONTH('1 - Titoli e shock'!$B$6)*100+DAY('1 - Titoli e shock'!$B$6),1,0))</f>
        <v>8</v>
      </c>
      <c r="E531" s="20">
        <f>IF(C531&lt;='1 - Titoli e shock'!$B$17,('1 - Titoli e shock'!$C$33*100/2-'1 - Titoli e shock'!$B$8*'1 - Titoli e shock'!$C$33*100/2*IF(EDATE(C531,-6)&lt;='1 - Titoli e shock'!$B$6,(C531-'1 - Titoli e shock'!$B$6)/(C531-EDATE(C531,-6)),1))*$C$44,0)</f>
        <v>4221.952917971129</v>
      </c>
      <c r="F531" s="20">
        <f t="shared" si="52"/>
        <v>4221.952917971129</v>
      </c>
      <c r="G531" s="20">
        <f t="shared" si="52"/>
        <v>4221.952917971129</v>
      </c>
      <c r="H531" s="20">
        <f t="shared" si="52"/>
        <v>4221.952917971129</v>
      </c>
      <c r="I531" s="20">
        <f t="shared" si="52"/>
        <v>4221.952917971129</v>
      </c>
      <c r="J531" s="20">
        <f t="shared" si="52"/>
        <v>4221.952917971129</v>
      </c>
      <c r="K531" s="20">
        <f t="shared" si="52"/>
        <v>4221.952917971129</v>
      </c>
      <c r="L531" s="20">
        <f t="shared" si="52"/>
        <v>4221.952917971129</v>
      </c>
      <c r="M531" s="20">
        <f t="shared" si="52"/>
        <v>4221.952917971129</v>
      </c>
      <c r="N531" s="20">
        <f t="shared" si="52"/>
        <v>4221.952917971129</v>
      </c>
      <c r="O531" s="20">
        <f t="shared" si="52"/>
        <v>4221.952917971129</v>
      </c>
      <c r="P531" s="20">
        <f t="shared" si="52"/>
        <v>4221.952917971129</v>
      </c>
      <c r="Q531" s="20">
        <f t="shared" si="52"/>
        <v>4221.952917971129</v>
      </c>
      <c r="R531" s="20">
        <f t="shared" si="52"/>
        <v>4221.952917971129</v>
      </c>
      <c r="S531" s="20">
        <f t="shared" si="52"/>
        <v>4221.952917971129</v>
      </c>
      <c r="T531" s="20">
        <f t="shared" si="52"/>
        <v>4221.952917971129</v>
      </c>
      <c r="U531" s="20">
        <f t="shared" si="52"/>
        <v>4221.952917971129</v>
      </c>
    </row>
    <row r="532" spans="1:21">
      <c r="A532" s="15" t="s">
        <v>266</v>
      </c>
      <c r="B532" s="15" t="s">
        <v>272</v>
      </c>
      <c r="C532" s="13">
        <f>EDATE($B$44,-6*37)</f>
        <v>49400</v>
      </c>
      <c r="D532" s="23">
        <f>MAX(1,(YEAR(C532)-YEAR('1 - Titoli e shock'!$B$6))+IF(MONTH(C532)*100+DAY(C532)&gt;MONTH('1 - Titoli e shock'!$B$6)*100+DAY('1 - Titoli e shock'!$B$6),1,0))</f>
        <v>9</v>
      </c>
      <c r="E532" s="20">
        <f>IF(C532&lt;='1 - Titoli e shock'!$B$17,('1 - Titoli e shock'!$C$33*100/2-'1 - Titoli e shock'!$B$8*'1 - Titoli e shock'!$C$33*100/2*IF(EDATE(C532,-6)&lt;='1 - Titoli e shock'!$B$6,(C532-'1 - Titoli e shock'!$B$6)/(C532-EDATE(C532,-6)),1))*$C$44,0)</f>
        <v>4221.952917971129</v>
      </c>
      <c r="F532" s="20">
        <f t="shared" si="52"/>
        <v>4221.952917971129</v>
      </c>
      <c r="G532" s="20">
        <f t="shared" si="52"/>
        <v>4221.952917971129</v>
      </c>
      <c r="H532" s="20">
        <f t="shared" si="52"/>
        <v>4221.952917971129</v>
      </c>
      <c r="I532" s="20">
        <f t="shared" si="52"/>
        <v>4221.952917971129</v>
      </c>
      <c r="J532" s="20">
        <f t="shared" si="52"/>
        <v>4221.952917971129</v>
      </c>
      <c r="K532" s="20">
        <f t="shared" si="52"/>
        <v>4221.952917971129</v>
      </c>
      <c r="L532" s="20">
        <f t="shared" si="52"/>
        <v>4221.952917971129</v>
      </c>
      <c r="M532" s="20">
        <f t="shared" si="52"/>
        <v>4221.952917971129</v>
      </c>
      <c r="N532" s="20">
        <f t="shared" si="52"/>
        <v>4221.952917971129</v>
      </c>
      <c r="O532" s="20">
        <f t="shared" si="52"/>
        <v>4221.952917971129</v>
      </c>
      <c r="P532" s="20">
        <f t="shared" si="52"/>
        <v>4221.952917971129</v>
      </c>
      <c r="Q532" s="20">
        <f t="shared" si="52"/>
        <v>4221.952917971129</v>
      </c>
      <c r="R532" s="20">
        <f t="shared" si="52"/>
        <v>4221.952917971129</v>
      </c>
      <c r="S532" s="20">
        <f t="shared" si="52"/>
        <v>4221.952917971129</v>
      </c>
      <c r="T532" s="20">
        <f t="shared" si="52"/>
        <v>4221.952917971129</v>
      </c>
      <c r="U532" s="20">
        <f t="shared" si="52"/>
        <v>4221.952917971129</v>
      </c>
    </row>
    <row r="533" spans="1:21">
      <c r="A533" s="15" t="s">
        <v>266</v>
      </c>
      <c r="B533" s="15" t="s">
        <v>272</v>
      </c>
      <c r="C533" s="13">
        <f>EDATE($B$44,-6*36)</f>
        <v>49583</v>
      </c>
      <c r="D533" s="23">
        <f>MAX(1,(YEAR(C533)-YEAR('1 - Titoli e shock'!$B$6))+IF(MONTH(C533)*100+DAY(C533)&gt;MONTH('1 - Titoli e shock'!$B$6)*100+DAY('1 - Titoli e shock'!$B$6),1,0))</f>
        <v>9</v>
      </c>
      <c r="E533" s="20">
        <f>IF(C533&lt;='1 - Titoli e shock'!$B$17,('1 - Titoli e shock'!$C$33*100/2-'1 - Titoli e shock'!$B$8*'1 - Titoli e shock'!$C$33*100/2*IF(EDATE(C533,-6)&lt;='1 - Titoli e shock'!$B$6,(C533-'1 - Titoli e shock'!$B$6)/(C533-EDATE(C533,-6)),1))*$C$44,0)</f>
        <v>4221.952917971129</v>
      </c>
      <c r="F533" s="20">
        <f t="shared" si="52"/>
        <v>4221.952917971129</v>
      </c>
      <c r="G533" s="20">
        <f t="shared" si="52"/>
        <v>4221.952917971129</v>
      </c>
      <c r="H533" s="20">
        <f t="shared" si="52"/>
        <v>4221.952917971129</v>
      </c>
      <c r="I533" s="20">
        <f t="shared" si="52"/>
        <v>4221.952917971129</v>
      </c>
      <c r="J533" s="20">
        <f t="shared" si="52"/>
        <v>4221.952917971129</v>
      </c>
      <c r="K533" s="20">
        <f t="shared" si="52"/>
        <v>4221.952917971129</v>
      </c>
      <c r="L533" s="20">
        <f t="shared" si="52"/>
        <v>4221.952917971129</v>
      </c>
      <c r="M533" s="20">
        <f t="shared" si="52"/>
        <v>4221.952917971129</v>
      </c>
      <c r="N533" s="20">
        <f t="shared" si="52"/>
        <v>4221.952917971129</v>
      </c>
      <c r="O533" s="20">
        <f t="shared" si="52"/>
        <v>4221.952917971129</v>
      </c>
      <c r="P533" s="20">
        <f t="shared" si="52"/>
        <v>4221.952917971129</v>
      </c>
      <c r="Q533" s="20">
        <f t="shared" si="52"/>
        <v>4221.952917971129</v>
      </c>
      <c r="R533" s="20">
        <f t="shared" si="52"/>
        <v>4221.952917971129</v>
      </c>
      <c r="S533" s="20">
        <f t="shared" si="52"/>
        <v>4221.952917971129</v>
      </c>
      <c r="T533" s="20">
        <f t="shared" si="52"/>
        <v>4221.952917971129</v>
      </c>
      <c r="U533" s="20">
        <f t="shared" si="52"/>
        <v>4221.952917971129</v>
      </c>
    </row>
    <row r="534" spans="1:21">
      <c r="A534" s="15" t="s">
        <v>266</v>
      </c>
      <c r="B534" s="15" t="s">
        <v>272</v>
      </c>
      <c r="C534" s="13">
        <f>EDATE($B$44,-6*35)</f>
        <v>49766</v>
      </c>
      <c r="D534" s="23">
        <f>MAX(1,(YEAR(C534)-YEAR('1 - Titoli e shock'!$B$6))+IF(MONTH(C534)*100+DAY(C534)&gt;MONTH('1 - Titoli e shock'!$B$6)*100+DAY('1 - Titoli e shock'!$B$6),1,0))</f>
        <v>10</v>
      </c>
      <c r="E534" s="20">
        <f>IF(C534&lt;='1 - Titoli e shock'!$B$17,('1 - Titoli e shock'!$C$33*100/2-'1 - Titoli e shock'!$B$8*'1 - Titoli e shock'!$C$33*100/2*IF(EDATE(C534,-6)&lt;='1 - Titoli e shock'!$B$6,(C534-'1 - Titoli e shock'!$B$6)/(C534-EDATE(C534,-6)),1))*$C$44,0)</f>
        <v>4221.952917971129</v>
      </c>
      <c r="F534" s="20">
        <f t="shared" si="52"/>
        <v>4221.952917971129</v>
      </c>
      <c r="G534" s="20">
        <f t="shared" si="52"/>
        <v>4221.952917971129</v>
      </c>
      <c r="H534" s="20">
        <f t="shared" si="52"/>
        <v>4221.952917971129</v>
      </c>
      <c r="I534" s="20">
        <f t="shared" si="52"/>
        <v>4221.952917971129</v>
      </c>
      <c r="J534" s="20">
        <f t="shared" si="52"/>
        <v>4221.952917971129</v>
      </c>
      <c r="K534" s="20">
        <f t="shared" si="52"/>
        <v>4221.952917971129</v>
      </c>
      <c r="L534" s="20">
        <f t="shared" si="52"/>
        <v>4221.952917971129</v>
      </c>
      <c r="M534" s="20">
        <f t="shared" si="52"/>
        <v>4221.952917971129</v>
      </c>
      <c r="N534" s="20">
        <f t="shared" si="52"/>
        <v>4221.952917971129</v>
      </c>
      <c r="O534" s="20">
        <f t="shared" si="52"/>
        <v>4221.952917971129</v>
      </c>
      <c r="P534" s="20">
        <f t="shared" si="52"/>
        <v>4221.952917971129</v>
      </c>
      <c r="Q534" s="20">
        <f t="shared" si="52"/>
        <v>4221.952917971129</v>
      </c>
      <c r="R534" s="20">
        <f t="shared" si="52"/>
        <v>4221.952917971129</v>
      </c>
      <c r="S534" s="20">
        <f t="shared" si="52"/>
        <v>4221.952917971129</v>
      </c>
      <c r="T534" s="20">
        <f t="shared" si="52"/>
        <v>4221.952917971129</v>
      </c>
      <c r="U534" s="20">
        <f t="shared" si="52"/>
        <v>4221.952917971129</v>
      </c>
    </row>
    <row r="535" spans="1:21">
      <c r="A535" s="15" t="s">
        <v>266</v>
      </c>
      <c r="B535" s="15" t="s">
        <v>272</v>
      </c>
      <c r="C535" s="13">
        <f>EDATE($B$44,-6*34)</f>
        <v>49949</v>
      </c>
      <c r="D535" s="23">
        <f>MAX(1,(YEAR(C535)-YEAR('1 - Titoli e shock'!$B$6))+IF(MONTH(C535)*100+DAY(C535)&gt;MONTH('1 - Titoli e shock'!$B$6)*100+DAY('1 - Titoli e shock'!$B$6),1,0))</f>
        <v>10</v>
      </c>
      <c r="E535" s="20">
        <f>IF(C535&lt;='1 - Titoli e shock'!$B$17,('1 - Titoli e shock'!$C$33*100/2-'1 - Titoli e shock'!$B$8*'1 - Titoli e shock'!$C$33*100/2*IF(EDATE(C535,-6)&lt;='1 - Titoli e shock'!$B$6,(C535-'1 - Titoli e shock'!$B$6)/(C535-EDATE(C535,-6)),1))*$C$44,0)</f>
        <v>4221.952917971129</v>
      </c>
      <c r="F535" s="20">
        <f t="shared" si="52"/>
        <v>4221.952917971129</v>
      </c>
      <c r="G535" s="20">
        <f t="shared" si="52"/>
        <v>4221.952917971129</v>
      </c>
      <c r="H535" s="20">
        <f t="shared" si="52"/>
        <v>4221.952917971129</v>
      </c>
      <c r="I535" s="20">
        <f t="shared" si="52"/>
        <v>4221.952917971129</v>
      </c>
      <c r="J535" s="20">
        <f t="shared" si="52"/>
        <v>4221.952917971129</v>
      </c>
      <c r="K535" s="20">
        <f t="shared" si="52"/>
        <v>4221.952917971129</v>
      </c>
      <c r="L535" s="20">
        <f t="shared" si="52"/>
        <v>4221.952917971129</v>
      </c>
      <c r="M535" s="20">
        <f t="shared" si="52"/>
        <v>4221.952917971129</v>
      </c>
      <c r="N535" s="20">
        <f t="shared" si="52"/>
        <v>4221.952917971129</v>
      </c>
      <c r="O535" s="20">
        <f t="shared" si="52"/>
        <v>4221.952917971129</v>
      </c>
      <c r="P535" s="20">
        <f t="shared" si="52"/>
        <v>4221.952917971129</v>
      </c>
      <c r="Q535" s="20">
        <f t="shared" si="52"/>
        <v>4221.952917971129</v>
      </c>
      <c r="R535" s="20">
        <f t="shared" si="52"/>
        <v>4221.952917971129</v>
      </c>
      <c r="S535" s="20">
        <f t="shared" si="52"/>
        <v>4221.952917971129</v>
      </c>
      <c r="T535" s="20">
        <f t="shared" si="52"/>
        <v>4221.952917971129</v>
      </c>
      <c r="U535" s="20">
        <f t="shared" si="52"/>
        <v>4221.952917971129</v>
      </c>
    </row>
    <row r="536" spans="1:21">
      <c r="A536" s="15" t="s">
        <v>266</v>
      </c>
      <c r="B536" s="15" t="s">
        <v>272</v>
      </c>
      <c r="C536" s="13">
        <f>EDATE($B$44,-6*33)</f>
        <v>50131</v>
      </c>
      <c r="D536" s="23">
        <f>MAX(1,(YEAR(C536)-YEAR('1 - Titoli e shock'!$B$6))+IF(MONTH(C536)*100+DAY(C536)&gt;MONTH('1 - Titoli e shock'!$B$6)*100+DAY('1 - Titoli e shock'!$B$6),1,0))</f>
        <v>11</v>
      </c>
      <c r="E536" s="20">
        <f>IF(C536&lt;='1 - Titoli e shock'!$B$17,('1 - Titoli e shock'!$C$33*100/2-'1 - Titoli e shock'!$B$8*'1 - Titoli e shock'!$C$33*100/2*IF(EDATE(C536,-6)&lt;='1 - Titoli e shock'!$B$6,(C536-'1 - Titoli e shock'!$B$6)/(C536-EDATE(C536,-6)),1))*$C$44,0)</f>
        <v>0</v>
      </c>
      <c r="F536" s="20">
        <f t="shared" ref="F536:U547" si="53">$E536</f>
        <v>0</v>
      </c>
      <c r="G536" s="20">
        <f t="shared" si="53"/>
        <v>0</v>
      </c>
      <c r="H536" s="20">
        <f t="shared" si="53"/>
        <v>0</v>
      </c>
      <c r="I536" s="20">
        <f t="shared" si="53"/>
        <v>0</v>
      </c>
      <c r="J536" s="20">
        <f t="shared" si="53"/>
        <v>0</v>
      </c>
      <c r="K536" s="20">
        <f t="shared" si="53"/>
        <v>0</v>
      </c>
      <c r="L536" s="20">
        <f t="shared" si="53"/>
        <v>0</v>
      </c>
      <c r="M536" s="20">
        <f t="shared" si="53"/>
        <v>0</v>
      </c>
      <c r="N536" s="20">
        <f t="shared" si="53"/>
        <v>0</v>
      </c>
      <c r="O536" s="20">
        <f t="shared" si="53"/>
        <v>0</v>
      </c>
      <c r="P536" s="20">
        <f t="shared" si="53"/>
        <v>0</v>
      </c>
      <c r="Q536" s="20">
        <f t="shared" si="53"/>
        <v>0</v>
      </c>
      <c r="R536" s="20">
        <f t="shared" si="53"/>
        <v>0</v>
      </c>
      <c r="S536" s="20">
        <f t="shared" si="53"/>
        <v>0</v>
      </c>
      <c r="T536" s="20">
        <f t="shared" si="53"/>
        <v>0</v>
      </c>
      <c r="U536" s="20">
        <f t="shared" si="53"/>
        <v>0</v>
      </c>
    </row>
    <row r="537" spans="1:21">
      <c r="A537" s="15" t="s">
        <v>266</v>
      </c>
      <c r="B537" s="15" t="s">
        <v>272</v>
      </c>
      <c r="C537" s="13">
        <f>EDATE($B$44,-6*32)</f>
        <v>50314</v>
      </c>
      <c r="D537" s="23">
        <f>MAX(1,(YEAR(C537)-YEAR('1 - Titoli e shock'!$B$6))+IF(MONTH(C537)*100+DAY(C537)&gt;MONTH('1 - Titoli e shock'!$B$6)*100+DAY('1 - Titoli e shock'!$B$6),1,0))</f>
        <v>11</v>
      </c>
      <c r="E537" s="20">
        <f>IF(C537&lt;='1 - Titoli e shock'!$B$17,('1 - Titoli e shock'!$C$33*100/2-'1 - Titoli e shock'!$B$8*'1 - Titoli e shock'!$C$33*100/2*IF(EDATE(C537,-6)&lt;='1 - Titoli e shock'!$B$6,(C537-'1 - Titoli e shock'!$B$6)/(C537-EDATE(C537,-6)),1))*$C$44,0)</f>
        <v>0</v>
      </c>
      <c r="F537" s="20">
        <f t="shared" si="53"/>
        <v>0</v>
      </c>
      <c r="G537" s="20">
        <f t="shared" si="53"/>
        <v>0</v>
      </c>
      <c r="H537" s="20">
        <f t="shared" si="53"/>
        <v>0</v>
      </c>
      <c r="I537" s="20">
        <f t="shared" si="53"/>
        <v>0</v>
      </c>
      <c r="J537" s="20">
        <f t="shared" si="53"/>
        <v>0</v>
      </c>
      <c r="K537" s="20">
        <f t="shared" si="53"/>
        <v>0</v>
      </c>
      <c r="L537" s="20">
        <f t="shared" si="53"/>
        <v>0</v>
      </c>
      <c r="M537" s="20">
        <f t="shared" si="53"/>
        <v>0</v>
      </c>
      <c r="N537" s="20">
        <f t="shared" si="53"/>
        <v>0</v>
      </c>
      <c r="O537" s="20">
        <f t="shared" si="53"/>
        <v>0</v>
      </c>
      <c r="P537" s="20">
        <f t="shared" si="53"/>
        <v>0</v>
      </c>
      <c r="Q537" s="20">
        <f t="shared" si="53"/>
        <v>0</v>
      </c>
      <c r="R537" s="20">
        <f t="shared" si="53"/>
        <v>0</v>
      </c>
      <c r="S537" s="20">
        <f t="shared" si="53"/>
        <v>0</v>
      </c>
      <c r="T537" s="20">
        <f t="shared" si="53"/>
        <v>0</v>
      </c>
      <c r="U537" s="20">
        <f t="shared" si="53"/>
        <v>0</v>
      </c>
    </row>
    <row r="538" spans="1:21">
      <c r="A538" s="15" t="s">
        <v>266</v>
      </c>
      <c r="B538" s="15" t="s">
        <v>272</v>
      </c>
      <c r="C538" s="13">
        <f>EDATE($B$44,-6*31)</f>
        <v>50496</v>
      </c>
      <c r="D538" s="23">
        <f>MAX(1,(YEAR(C538)-YEAR('1 - Titoli e shock'!$B$6))+IF(MONTH(C538)*100+DAY(C538)&gt;MONTH('1 - Titoli e shock'!$B$6)*100+DAY('1 - Titoli e shock'!$B$6),1,0))</f>
        <v>12</v>
      </c>
      <c r="E538" s="20">
        <f>IF(C538&lt;='1 - Titoli e shock'!$B$17,('1 - Titoli e shock'!$C$33*100/2-'1 - Titoli e shock'!$B$8*'1 - Titoli e shock'!$C$33*100/2*IF(EDATE(C538,-6)&lt;='1 - Titoli e shock'!$B$6,(C538-'1 - Titoli e shock'!$B$6)/(C538-EDATE(C538,-6)),1))*$C$44,0)</f>
        <v>0</v>
      </c>
      <c r="F538" s="20">
        <f t="shared" si="53"/>
        <v>0</v>
      </c>
      <c r="G538" s="20">
        <f t="shared" si="53"/>
        <v>0</v>
      </c>
      <c r="H538" s="20">
        <f t="shared" si="53"/>
        <v>0</v>
      </c>
      <c r="I538" s="20">
        <f t="shared" si="53"/>
        <v>0</v>
      </c>
      <c r="J538" s="20">
        <f t="shared" si="53"/>
        <v>0</v>
      </c>
      <c r="K538" s="20">
        <f t="shared" si="53"/>
        <v>0</v>
      </c>
      <c r="L538" s="20">
        <f t="shared" si="53"/>
        <v>0</v>
      </c>
      <c r="M538" s="20">
        <f t="shared" si="53"/>
        <v>0</v>
      </c>
      <c r="N538" s="20">
        <f t="shared" si="53"/>
        <v>0</v>
      </c>
      <c r="O538" s="20">
        <f t="shared" si="53"/>
        <v>0</v>
      </c>
      <c r="P538" s="20">
        <f t="shared" si="53"/>
        <v>0</v>
      </c>
      <c r="Q538" s="20">
        <f t="shared" si="53"/>
        <v>0</v>
      </c>
      <c r="R538" s="20">
        <f t="shared" si="53"/>
        <v>0</v>
      </c>
      <c r="S538" s="20">
        <f t="shared" si="53"/>
        <v>0</v>
      </c>
      <c r="T538" s="20">
        <f t="shared" si="53"/>
        <v>0</v>
      </c>
      <c r="U538" s="20">
        <f t="shared" si="53"/>
        <v>0</v>
      </c>
    </row>
    <row r="539" spans="1:21">
      <c r="A539" s="15" t="s">
        <v>266</v>
      </c>
      <c r="B539" s="15" t="s">
        <v>272</v>
      </c>
      <c r="C539" s="13">
        <f>EDATE($B$44,-6*30)</f>
        <v>50679</v>
      </c>
      <c r="D539" s="23">
        <f>MAX(1,(YEAR(C539)-YEAR('1 - Titoli e shock'!$B$6))+IF(MONTH(C539)*100+DAY(C539)&gt;MONTH('1 - Titoli e shock'!$B$6)*100+DAY('1 - Titoli e shock'!$B$6),1,0))</f>
        <v>12</v>
      </c>
      <c r="E539" s="20">
        <f>IF(C539&lt;='1 - Titoli e shock'!$B$17,('1 - Titoli e shock'!$C$33*100/2-'1 - Titoli e shock'!$B$8*'1 - Titoli e shock'!$C$33*100/2*IF(EDATE(C539,-6)&lt;='1 - Titoli e shock'!$B$6,(C539-'1 - Titoli e shock'!$B$6)/(C539-EDATE(C539,-6)),1))*$C$44,0)</f>
        <v>0</v>
      </c>
      <c r="F539" s="20">
        <f t="shared" si="53"/>
        <v>0</v>
      </c>
      <c r="G539" s="20">
        <f t="shared" si="53"/>
        <v>0</v>
      </c>
      <c r="H539" s="20">
        <f t="shared" si="53"/>
        <v>0</v>
      </c>
      <c r="I539" s="20">
        <f t="shared" si="53"/>
        <v>0</v>
      </c>
      <c r="J539" s="20">
        <f t="shared" si="53"/>
        <v>0</v>
      </c>
      <c r="K539" s="20">
        <f t="shared" si="53"/>
        <v>0</v>
      </c>
      <c r="L539" s="20">
        <f t="shared" si="53"/>
        <v>0</v>
      </c>
      <c r="M539" s="20">
        <f t="shared" si="53"/>
        <v>0</v>
      </c>
      <c r="N539" s="20">
        <f t="shared" si="53"/>
        <v>0</v>
      </c>
      <c r="O539" s="20">
        <f t="shared" si="53"/>
        <v>0</v>
      </c>
      <c r="P539" s="20">
        <f t="shared" si="53"/>
        <v>0</v>
      </c>
      <c r="Q539" s="20">
        <f t="shared" si="53"/>
        <v>0</v>
      </c>
      <c r="R539" s="20">
        <f t="shared" si="53"/>
        <v>0</v>
      </c>
      <c r="S539" s="20">
        <f t="shared" si="53"/>
        <v>0</v>
      </c>
      <c r="T539" s="20">
        <f t="shared" si="53"/>
        <v>0</v>
      </c>
      <c r="U539" s="20">
        <f t="shared" si="53"/>
        <v>0</v>
      </c>
    </row>
    <row r="540" spans="1:21">
      <c r="A540" s="15" t="s">
        <v>266</v>
      </c>
      <c r="B540" s="15" t="s">
        <v>272</v>
      </c>
      <c r="C540" s="13">
        <f>EDATE($B$44,-6*29)</f>
        <v>50861</v>
      </c>
      <c r="D540" s="23">
        <f>MAX(1,(YEAR(C540)-YEAR('1 - Titoli e shock'!$B$6))+IF(MONTH(C540)*100+DAY(C540)&gt;MONTH('1 - Titoli e shock'!$B$6)*100+DAY('1 - Titoli e shock'!$B$6),1,0))</f>
        <v>13</v>
      </c>
      <c r="E540" s="20">
        <f>IF(C540&lt;='1 - Titoli e shock'!$B$17,('1 - Titoli e shock'!$C$33*100/2-'1 - Titoli e shock'!$B$8*'1 - Titoli e shock'!$C$33*100/2*IF(EDATE(C540,-6)&lt;='1 - Titoli e shock'!$B$6,(C540-'1 - Titoli e shock'!$B$6)/(C540-EDATE(C540,-6)),1))*$C$44,0)</f>
        <v>0</v>
      </c>
      <c r="F540" s="20">
        <f t="shared" si="53"/>
        <v>0</v>
      </c>
      <c r="G540" s="20">
        <f t="shared" si="53"/>
        <v>0</v>
      </c>
      <c r="H540" s="20">
        <f t="shared" si="53"/>
        <v>0</v>
      </c>
      <c r="I540" s="20">
        <f t="shared" si="53"/>
        <v>0</v>
      </c>
      <c r="J540" s="20">
        <f t="shared" si="53"/>
        <v>0</v>
      </c>
      <c r="K540" s="20">
        <f t="shared" si="53"/>
        <v>0</v>
      </c>
      <c r="L540" s="20">
        <f t="shared" si="53"/>
        <v>0</v>
      </c>
      <c r="M540" s="20">
        <f t="shared" si="53"/>
        <v>0</v>
      </c>
      <c r="N540" s="20">
        <f t="shared" si="53"/>
        <v>0</v>
      </c>
      <c r="O540" s="20">
        <f t="shared" si="53"/>
        <v>0</v>
      </c>
      <c r="P540" s="20">
        <f t="shared" si="53"/>
        <v>0</v>
      </c>
      <c r="Q540" s="20">
        <f t="shared" si="53"/>
        <v>0</v>
      </c>
      <c r="R540" s="20">
        <f t="shared" si="53"/>
        <v>0</v>
      </c>
      <c r="S540" s="20">
        <f t="shared" si="53"/>
        <v>0</v>
      </c>
      <c r="T540" s="20">
        <f t="shared" si="53"/>
        <v>0</v>
      </c>
      <c r="U540" s="20">
        <f t="shared" si="53"/>
        <v>0</v>
      </c>
    </row>
    <row r="541" spans="1:21">
      <c r="A541" s="15" t="s">
        <v>266</v>
      </c>
      <c r="B541" s="15" t="s">
        <v>272</v>
      </c>
      <c r="C541" s="13">
        <f>EDATE($B$44,-6*28)</f>
        <v>51044</v>
      </c>
      <c r="D541" s="23">
        <f>MAX(1,(YEAR(C541)-YEAR('1 - Titoli e shock'!$B$6))+IF(MONTH(C541)*100+DAY(C541)&gt;MONTH('1 - Titoli e shock'!$B$6)*100+DAY('1 - Titoli e shock'!$B$6),1,0))</f>
        <v>13</v>
      </c>
      <c r="E541" s="20">
        <f>IF(C541&lt;='1 - Titoli e shock'!$B$17,('1 - Titoli e shock'!$C$33*100/2-'1 - Titoli e shock'!$B$8*'1 - Titoli e shock'!$C$33*100/2*IF(EDATE(C541,-6)&lt;='1 - Titoli e shock'!$B$6,(C541-'1 - Titoli e shock'!$B$6)/(C541-EDATE(C541,-6)),1))*$C$44,0)</f>
        <v>0</v>
      </c>
      <c r="F541" s="20">
        <f t="shared" si="53"/>
        <v>0</v>
      </c>
      <c r="G541" s="20">
        <f t="shared" si="53"/>
        <v>0</v>
      </c>
      <c r="H541" s="20">
        <f t="shared" si="53"/>
        <v>0</v>
      </c>
      <c r="I541" s="20">
        <f t="shared" si="53"/>
        <v>0</v>
      </c>
      <c r="J541" s="20">
        <f t="shared" si="53"/>
        <v>0</v>
      </c>
      <c r="K541" s="20">
        <f t="shared" si="53"/>
        <v>0</v>
      </c>
      <c r="L541" s="20">
        <f t="shared" si="53"/>
        <v>0</v>
      </c>
      <c r="M541" s="20">
        <f t="shared" si="53"/>
        <v>0</v>
      </c>
      <c r="N541" s="20">
        <f t="shared" si="53"/>
        <v>0</v>
      </c>
      <c r="O541" s="20">
        <f t="shared" si="53"/>
        <v>0</v>
      </c>
      <c r="P541" s="20">
        <f t="shared" si="53"/>
        <v>0</v>
      </c>
      <c r="Q541" s="20">
        <f t="shared" si="53"/>
        <v>0</v>
      </c>
      <c r="R541" s="20">
        <f t="shared" si="53"/>
        <v>0</v>
      </c>
      <c r="S541" s="20">
        <f t="shared" si="53"/>
        <v>0</v>
      </c>
      <c r="T541" s="20">
        <f t="shared" si="53"/>
        <v>0</v>
      </c>
      <c r="U541" s="20">
        <f t="shared" si="53"/>
        <v>0</v>
      </c>
    </row>
    <row r="542" spans="1:21">
      <c r="A542" s="15" t="s">
        <v>266</v>
      </c>
      <c r="B542" s="15" t="s">
        <v>272</v>
      </c>
      <c r="C542" s="13">
        <f>EDATE($B$44,-6*27)</f>
        <v>51227</v>
      </c>
      <c r="D542" s="23">
        <f>MAX(1,(YEAR(C542)-YEAR('1 - Titoli e shock'!$B$6))+IF(MONTH(C542)*100+DAY(C542)&gt;MONTH('1 - Titoli e shock'!$B$6)*100+DAY('1 - Titoli e shock'!$B$6),1,0))</f>
        <v>14</v>
      </c>
      <c r="E542" s="20">
        <f>IF(C542&lt;='1 - Titoli e shock'!$B$17,('1 - Titoli e shock'!$C$33*100/2-'1 - Titoli e shock'!$B$8*'1 - Titoli e shock'!$C$33*100/2*IF(EDATE(C542,-6)&lt;='1 - Titoli e shock'!$B$6,(C542-'1 - Titoli e shock'!$B$6)/(C542-EDATE(C542,-6)),1))*$C$44,0)</f>
        <v>0</v>
      </c>
      <c r="F542" s="20">
        <f t="shared" si="53"/>
        <v>0</v>
      </c>
      <c r="G542" s="20">
        <f t="shared" si="53"/>
        <v>0</v>
      </c>
      <c r="H542" s="20">
        <f t="shared" si="53"/>
        <v>0</v>
      </c>
      <c r="I542" s="20">
        <f t="shared" si="53"/>
        <v>0</v>
      </c>
      <c r="J542" s="20">
        <f t="shared" si="53"/>
        <v>0</v>
      </c>
      <c r="K542" s="20">
        <f t="shared" si="53"/>
        <v>0</v>
      </c>
      <c r="L542" s="20">
        <f t="shared" si="53"/>
        <v>0</v>
      </c>
      <c r="M542" s="20">
        <f t="shared" si="53"/>
        <v>0</v>
      </c>
      <c r="N542" s="20">
        <f t="shared" si="53"/>
        <v>0</v>
      </c>
      <c r="O542" s="20">
        <f t="shared" si="53"/>
        <v>0</v>
      </c>
      <c r="P542" s="20">
        <f t="shared" si="53"/>
        <v>0</v>
      </c>
      <c r="Q542" s="20">
        <f t="shared" si="53"/>
        <v>0</v>
      </c>
      <c r="R542" s="20">
        <f t="shared" si="53"/>
        <v>0</v>
      </c>
      <c r="S542" s="20">
        <f t="shared" si="53"/>
        <v>0</v>
      </c>
      <c r="T542" s="20">
        <f t="shared" si="53"/>
        <v>0</v>
      </c>
      <c r="U542" s="20">
        <f t="shared" si="53"/>
        <v>0</v>
      </c>
    </row>
    <row r="543" spans="1:21">
      <c r="A543" s="15" t="s">
        <v>266</v>
      </c>
      <c r="B543" s="15" t="s">
        <v>272</v>
      </c>
      <c r="C543" s="13">
        <f>EDATE($B$44,-6*26)</f>
        <v>51410</v>
      </c>
      <c r="D543" s="23">
        <f>MAX(1,(YEAR(C543)-YEAR('1 - Titoli e shock'!$B$6))+IF(MONTH(C543)*100+DAY(C543)&gt;MONTH('1 - Titoli e shock'!$B$6)*100+DAY('1 - Titoli e shock'!$B$6),1,0))</f>
        <v>14</v>
      </c>
      <c r="E543" s="20">
        <f>IF(C543&lt;='1 - Titoli e shock'!$B$17,('1 - Titoli e shock'!$C$33*100/2-'1 - Titoli e shock'!$B$8*'1 - Titoli e shock'!$C$33*100/2*IF(EDATE(C543,-6)&lt;='1 - Titoli e shock'!$B$6,(C543-'1 - Titoli e shock'!$B$6)/(C543-EDATE(C543,-6)),1))*$C$44,0)</f>
        <v>0</v>
      </c>
      <c r="F543" s="20">
        <f t="shared" si="53"/>
        <v>0</v>
      </c>
      <c r="G543" s="20">
        <f t="shared" si="53"/>
        <v>0</v>
      </c>
      <c r="H543" s="20">
        <f t="shared" si="53"/>
        <v>0</v>
      </c>
      <c r="I543" s="20">
        <f t="shared" si="53"/>
        <v>0</v>
      </c>
      <c r="J543" s="20">
        <f t="shared" si="53"/>
        <v>0</v>
      </c>
      <c r="K543" s="20">
        <f t="shared" si="53"/>
        <v>0</v>
      </c>
      <c r="L543" s="20">
        <f t="shared" si="53"/>
        <v>0</v>
      </c>
      <c r="M543" s="20">
        <f t="shared" si="53"/>
        <v>0</v>
      </c>
      <c r="N543" s="20">
        <f t="shared" si="53"/>
        <v>0</v>
      </c>
      <c r="O543" s="20">
        <f t="shared" si="53"/>
        <v>0</v>
      </c>
      <c r="P543" s="20">
        <f t="shared" si="53"/>
        <v>0</v>
      </c>
      <c r="Q543" s="20">
        <f t="shared" si="53"/>
        <v>0</v>
      </c>
      <c r="R543" s="20">
        <f t="shared" si="53"/>
        <v>0</v>
      </c>
      <c r="S543" s="20">
        <f t="shared" si="53"/>
        <v>0</v>
      </c>
      <c r="T543" s="20">
        <f t="shared" si="53"/>
        <v>0</v>
      </c>
      <c r="U543" s="20">
        <f t="shared" si="53"/>
        <v>0</v>
      </c>
    </row>
    <row r="544" spans="1:21">
      <c r="A544" s="15" t="s">
        <v>266</v>
      </c>
      <c r="B544" s="15" t="s">
        <v>272</v>
      </c>
      <c r="C544" s="13">
        <f>EDATE($B$44,-6*25)</f>
        <v>51592</v>
      </c>
      <c r="D544" s="23">
        <f>MAX(1,(YEAR(C544)-YEAR('1 - Titoli e shock'!$B$6))+IF(MONTH(C544)*100+DAY(C544)&gt;MONTH('1 - Titoli e shock'!$B$6)*100+DAY('1 - Titoli e shock'!$B$6),1,0))</f>
        <v>15</v>
      </c>
      <c r="E544" s="20">
        <f>IF(C544&lt;='1 - Titoli e shock'!$B$17,('1 - Titoli e shock'!$C$33*100/2-'1 - Titoli e shock'!$B$8*'1 - Titoli e shock'!$C$33*100/2*IF(EDATE(C544,-6)&lt;='1 - Titoli e shock'!$B$6,(C544-'1 - Titoli e shock'!$B$6)/(C544-EDATE(C544,-6)),1))*$C$44,0)</f>
        <v>0</v>
      </c>
      <c r="F544" s="20">
        <f t="shared" si="53"/>
        <v>0</v>
      </c>
      <c r="G544" s="20">
        <f t="shared" si="53"/>
        <v>0</v>
      </c>
      <c r="H544" s="20">
        <f t="shared" si="53"/>
        <v>0</v>
      </c>
      <c r="I544" s="20">
        <f t="shared" si="53"/>
        <v>0</v>
      </c>
      <c r="J544" s="20">
        <f t="shared" si="53"/>
        <v>0</v>
      </c>
      <c r="K544" s="20">
        <f t="shared" si="53"/>
        <v>0</v>
      </c>
      <c r="L544" s="20">
        <f t="shared" si="53"/>
        <v>0</v>
      </c>
      <c r="M544" s="20">
        <f t="shared" si="53"/>
        <v>0</v>
      </c>
      <c r="N544" s="20">
        <f t="shared" si="53"/>
        <v>0</v>
      </c>
      <c r="O544" s="20">
        <f t="shared" si="53"/>
        <v>0</v>
      </c>
      <c r="P544" s="20">
        <f t="shared" si="53"/>
        <v>0</v>
      </c>
      <c r="Q544" s="20">
        <f t="shared" si="53"/>
        <v>0</v>
      </c>
      <c r="R544" s="20">
        <f t="shared" si="53"/>
        <v>0</v>
      </c>
      <c r="S544" s="20">
        <f t="shared" si="53"/>
        <v>0</v>
      </c>
      <c r="T544" s="20">
        <f t="shared" si="53"/>
        <v>0</v>
      </c>
      <c r="U544" s="20">
        <f t="shared" si="53"/>
        <v>0</v>
      </c>
    </row>
    <row r="545" spans="1:21">
      <c r="A545" s="15" t="s">
        <v>266</v>
      </c>
      <c r="B545" s="15" t="s">
        <v>272</v>
      </c>
      <c r="C545" s="13">
        <f>EDATE($B$44,-6*24)</f>
        <v>51775</v>
      </c>
      <c r="D545" s="23">
        <f>MAX(1,(YEAR(C545)-YEAR('1 - Titoli e shock'!$B$6))+IF(MONTH(C545)*100+DAY(C545)&gt;MONTH('1 - Titoli e shock'!$B$6)*100+DAY('1 - Titoli e shock'!$B$6),1,0))</f>
        <v>15</v>
      </c>
      <c r="E545" s="20">
        <f>IF(C545&lt;='1 - Titoli e shock'!$B$17,('1 - Titoli e shock'!$C$33*100/2-'1 - Titoli e shock'!$B$8*'1 - Titoli e shock'!$C$33*100/2*IF(EDATE(C545,-6)&lt;='1 - Titoli e shock'!$B$6,(C545-'1 - Titoli e shock'!$B$6)/(C545-EDATE(C545,-6)),1))*$C$44,0)</f>
        <v>0</v>
      </c>
      <c r="F545" s="20">
        <f t="shared" si="53"/>
        <v>0</v>
      </c>
      <c r="G545" s="20">
        <f t="shared" si="53"/>
        <v>0</v>
      </c>
      <c r="H545" s="20">
        <f t="shared" si="53"/>
        <v>0</v>
      </c>
      <c r="I545" s="20">
        <f t="shared" si="53"/>
        <v>0</v>
      </c>
      <c r="J545" s="20">
        <f t="shared" si="53"/>
        <v>0</v>
      </c>
      <c r="K545" s="20">
        <f t="shared" si="53"/>
        <v>0</v>
      </c>
      <c r="L545" s="20">
        <f t="shared" si="53"/>
        <v>0</v>
      </c>
      <c r="M545" s="20">
        <f t="shared" si="53"/>
        <v>0</v>
      </c>
      <c r="N545" s="20">
        <f t="shared" si="53"/>
        <v>0</v>
      </c>
      <c r="O545" s="20">
        <f t="shared" si="53"/>
        <v>0</v>
      </c>
      <c r="P545" s="20">
        <f t="shared" si="53"/>
        <v>0</v>
      </c>
      <c r="Q545" s="20">
        <f t="shared" si="53"/>
        <v>0</v>
      </c>
      <c r="R545" s="20">
        <f t="shared" si="53"/>
        <v>0</v>
      </c>
      <c r="S545" s="20">
        <f t="shared" si="53"/>
        <v>0</v>
      </c>
      <c r="T545" s="20">
        <f t="shared" si="53"/>
        <v>0</v>
      </c>
      <c r="U545" s="20">
        <f t="shared" si="53"/>
        <v>0</v>
      </c>
    </row>
    <row r="546" spans="1:21">
      <c r="A546" s="15" t="s">
        <v>266</v>
      </c>
      <c r="B546" s="15" t="s">
        <v>272</v>
      </c>
      <c r="C546" s="13">
        <f>EDATE($B$44,-6*23)</f>
        <v>51957</v>
      </c>
      <c r="D546" s="23">
        <f>MAX(1,(YEAR(C546)-YEAR('1 - Titoli e shock'!$B$6))+IF(MONTH(C546)*100+DAY(C546)&gt;MONTH('1 - Titoli e shock'!$B$6)*100+DAY('1 - Titoli e shock'!$B$6),1,0))</f>
        <v>16</v>
      </c>
      <c r="E546" s="20">
        <f>IF(C546&lt;='1 - Titoli e shock'!$B$17,('1 - Titoli e shock'!$C$33*100/2-'1 - Titoli e shock'!$B$8*'1 - Titoli e shock'!$C$33*100/2*IF(EDATE(C546,-6)&lt;='1 - Titoli e shock'!$B$6,(C546-'1 - Titoli e shock'!$B$6)/(C546-EDATE(C546,-6)),1))*$C$44,0)</f>
        <v>0</v>
      </c>
      <c r="F546" s="20">
        <f t="shared" si="53"/>
        <v>0</v>
      </c>
      <c r="G546" s="20">
        <f t="shared" si="53"/>
        <v>0</v>
      </c>
      <c r="H546" s="20">
        <f t="shared" si="53"/>
        <v>0</v>
      </c>
      <c r="I546" s="20">
        <f t="shared" si="53"/>
        <v>0</v>
      </c>
      <c r="J546" s="20">
        <f t="shared" si="53"/>
        <v>0</v>
      </c>
      <c r="K546" s="20">
        <f t="shared" si="53"/>
        <v>0</v>
      </c>
      <c r="L546" s="20">
        <f t="shared" si="53"/>
        <v>0</v>
      </c>
      <c r="M546" s="20">
        <f t="shared" si="53"/>
        <v>0</v>
      </c>
      <c r="N546" s="20">
        <f t="shared" si="53"/>
        <v>0</v>
      </c>
      <c r="O546" s="20">
        <f t="shared" si="53"/>
        <v>0</v>
      </c>
      <c r="P546" s="20">
        <f t="shared" si="53"/>
        <v>0</v>
      </c>
      <c r="Q546" s="20">
        <f t="shared" si="53"/>
        <v>0</v>
      </c>
      <c r="R546" s="20">
        <f t="shared" si="53"/>
        <v>0</v>
      </c>
      <c r="S546" s="20">
        <f t="shared" si="53"/>
        <v>0</v>
      </c>
      <c r="T546" s="20">
        <f t="shared" si="53"/>
        <v>0</v>
      </c>
      <c r="U546" s="20">
        <f t="shared" si="53"/>
        <v>0</v>
      </c>
    </row>
    <row r="547" spans="1:21">
      <c r="A547" s="15" t="s">
        <v>266</v>
      </c>
      <c r="B547" s="15" t="s">
        <v>272</v>
      </c>
      <c r="C547" s="13">
        <f>EDATE($B$44,-6*22)</f>
        <v>52140</v>
      </c>
      <c r="D547" s="23">
        <f>MAX(1,(YEAR(C547)-YEAR('1 - Titoli e shock'!$B$6))+IF(MONTH(C547)*100+DAY(C547)&gt;MONTH('1 - Titoli e shock'!$B$6)*100+DAY('1 - Titoli e shock'!$B$6),1,0))</f>
        <v>16</v>
      </c>
      <c r="E547" s="20">
        <f>IF(C547&lt;='1 - Titoli e shock'!$B$17,('1 - Titoli e shock'!$C$33*100/2-'1 - Titoli e shock'!$B$8*'1 - Titoli e shock'!$C$33*100/2*IF(EDATE(C547,-6)&lt;='1 - Titoli e shock'!$B$6,(C547-'1 - Titoli e shock'!$B$6)/(C547-EDATE(C547,-6)),1))*$C$44,0)</f>
        <v>0</v>
      </c>
      <c r="F547" s="20">
        <f t="shared" si="53"/>
        <v>0</v>
      </c>
      <c r="G547" s="20">
        <f t="shared" si="53"/>
        <v>0</v>
      </c>
      <c r="H547" s="20">
        <f t="shared" si="53"/>
        <v>0</v>
      </c>
      <c r="I547" s="20">
        <f t="shared" si="53"/>
        <v>0</v>
      </c>
      <c r="J547" s="20">
        <f t="shared" si="53"/>
        <v>0</v>
      </c>
      <c r="K547" s="20">
        <f t="shared" si="53"/>
        <v>0</v>
      </c>
      <c r="L547" s="20">
        <f t="shared" si="53"/>
        <v>0</v>
      </c>
      <c r="M547" s="20">
        <f t="shared" si="53"/>
        <v>0</v>
      </c>
      <c r="N547" s="20">
        <f t="shared" si="53"/>
        <v>0</v>
      </c>
      <c r="O547" s="20">
        <f t="shared" si="53"/>
        <v>0</v>
      </c>
      <c r="P547" s="20">
        <f t="shared" si="53"/>
        <v>0</v>
      </c>
      <c r="Q547" s="20">
        <f t="shared" si="53"/>
        <v>0</v>
      </c>
      <c r="R547" s="20">
        <f t="shared" si="53"/>
        <v>0</v>
      </c>
      <c r="S547" s="20">
        <f t="shared" si="53"/>
        <v>0</v>
      </c>
      <c r="T547" s="20">
        <f t="shared" si="53"/>
        <v>0</v>
      </c>
      <c r="U547" s="20">
        <f t="shared" si="53"/>
        <v>0</v>
      </c>
    </row>
    <row r="548" spans="1:21">
      <c r="A548" s="15" t="s">
        <v>269</v>
      </c>
      <c r="B548" s="15" t="s">
        <v>272</v>
      </c>
      <c r="C548" s="13">
        <f>'1 - Titoli e shock'!$B$17</f>
        <v>49967</v>
      </c>
      <c r="F548" s="20">
        <f t="shared" ref="F548:U548" si="54">F70</f>
        <v>229132.95607125692</v>
      </c>
      <c r="G548" s="20">
        <f t="shared" si="54"/>
        <v>206816.26500109362</v>
      </c>
      <c r="H548" s="20">
        <f t="shared" si="54"/>
        <v>185862.28468905302</v>
      </c>
      <c r="I548" s="20">
        <f t="shared" si="54"/>
        <v>166941.99756490107</v>
      </c>
      <c r="J548" s="20">
        <f t="shared" si="54"/>
        <v>201745.38044963847</v>
      </c>
      <c r="K548" s="20">
        <f t="shared" si="54"/>
        <v>196421.23314839136</v>
      </c>
      <c r="L548" s="20">
        <f t="shared" si="54"/>
        <v>194246.166454661</v>
      </c>
      <c r="M548" s="20">
        <f t="shared" si="54"/>
        <v>192103.2688388667</v>
      </c>
      <c r="N548" s="20">
        <f t="shared" si="54"/>
        <v>189992.00492898139</v>
      </c>
      <c r="O548" s="20">
        <f t="shared" si="54"/>
        <v>187911.84897984372</v>
      </c>
      <c r="P548" s="20">
        <f t="shared" si="54"/>
        <v>183842.80501659098</v>
      </c>
      <c r="Q548" s="20">
        <f t="shared" si="54"/>
        <v>181852.91200806462</v>
      </c>
      <c r="R548" s="20">
        <f t="shared" si="54"/>
        <v>179892.1166215181</v>
      </c>
      <c r="S548" s="20">
        <f t="shared" si="54"/>
        <v>177959.93855772165</v>
      </c>
      <c r="T548" s="20">
        <f t="shared" si="54"/>
        <v>176055.90609387791</v>
      </c>
      <c r="U548" s="20">
        <f t="shared" si="54"/>
        <v>150576.55388687638</v>
      </c>
    </row>
    <row r="549" spans="1:21">
      <c r="A549" s="15" t="s">
        <v>270</v>
      </c>
      <c r="B549" s="15" t="s">
        <v>272</v>
      </c>
      <c r="C549" s="13">
        <f>EDATE('1 - Titoli e shock'!$B$6,12*1)</f>
        <v>46679</v>
      </c>
      <c r="F549" s="20">
        <f>IF(0&lt;'1 - Titoli e shock'!$B$11,-'1 - Titoli e shock'!$B$9*F116,0)</f>
        <v>-399.04558678149482</v>
      </c>
      <c r="G549" s="20">
        <f>IF(0&lt;'1 - Titoli e shock'!$B$11,-'1 - Titoli e shock'!$B$9*F132,0)</f>
        <v>-399.04558678149482</v>
      </c>
      <c r="H549" s="20">
        <f>IF(0&lt;'1 - Titoli e shock'!$B$11,-'1 - Titoli e shock'!$B$9*F148,0)</f>
        <v>-399.04558678149482</v>
      </c>
      <c r="I549" s="20">
        <f>IF(0&lt;'1 - Titoli e shock'!$B$11,-'1 - Titoli e shock'!$B$9*F164,0)</f>
        <v>-399.04558678149482</v>
      </c>
      <c r="J549" s="20">
        <f>0</f>
        <v>0</v>
      </c>
      <c r="K549" s="20">
        <f>0</f>
        <v>0</v>
      </c>
      <c r="L549" s="20">
        <f>0</f>
        <v>0</v>
      </c>
      <c r="M549" s="20">
        <f>0</f>
        <v>0</v>
      </c>
      <c r="N549" s="20">
        <f>0</f>
        <v>0</v>
      </c>
      <c r="O549" s="20">
        <f>0</f>
        <v>0</v>
      </c>
      <c r="P549" s="20">
        <f>0</f>
        <v>0</v>
      </c>
      <c r="Q549" s="20">
        <f>0</f>
        <v>0</v>
      </c>
      <c r="R549" s="20">
        <f>0</f>
        <v>0</v>
      </c>
      <c r="S549" s="20">
        <f>0</f>
        <v>0</v>
      </c>
      <c r="T549" s="20">
        <f>0</f>
        <v>0</v>
      </c>
      <c r="U549" s="20">
        <f>0</f>
        <v>0</v>
      </c>
    </row>
    <row r="550" spans="1:21">
      <c r="A550" s="15" t="s">
        <v>270</v>
      </c>
      <c r="B550" s="15" t="s">
        <v>272</v>
      </c>
      <c r="C550" s="13">
        <f>EDATE('1 - Titoli e shock'!$B$6,12*2)</f>
        <v>47045</v>
      </c>
      <c r="F550" s="20">
        <f>IF(1&lt;'1 - Titoli e shock'!$B$11,-'1 - Titoli e shock'!$B$9*G116,0)</f>
        <v>-465.09870485693131</v>
      </c>
      <c r="G550" s="20">
        <f>IF(1&lt;'1 - Titoli e shock'!$B$11,-'1 - Titoli e shock'!$B$9*G132,0)</f>
        <v>-400.63763199495395</v>
      </c>
      <c r="H550" s="20">
        <f>IF(1&lt;'1 - Titoli e shock'!$B$11,-'1 - Titoli e shock'!$B$9*G148,0)</f>
        <v>-348.29223901364622</v>
      </c>
      <c r="I550" s="20">
        <f>IF(1&lt;'1 - Titoli e shock'!$B$11,-'1 - Titoli e shock'!$B$9*G164,0)</f>
        <v>-305.51009037735099</v>
      </c>
      <c r="J550" s="20">
        <f>0</f>
        <v>0</v>
      </c>
      <c r="K550" s="20">
        <f>0</f>
        <v>0</v>
      </c>
      <c r="L550" s="20">
        <f>0</f>
        <v>0</v>
      </c>
      <c r="M550" s="20">
        <f>0</f>
        <v>0</v>
      </c>
      <c r="N550" s="20">
        <f>0</f>
        <v>0</v>
      </c>
      <c r="O550" s="20">
        <f>0</f>
        <v>0</v>
      </c>
      <c r="P550" s="20">
        <f>0</f>
        <v>0</v>
      </c>
      <c r="Q550" s="20">
        <f>0</f>
        <v>0</v>
      </c>
      <c r="R550" s="20">
        <f>0</f>
        <v>0</v>
      </c>
      <c r="S550" s="20">
        <f>0</f>
        <v>0</v>
      </c>
      <c r="T550" s="20">
        <f>0</f>
        <v>0</v>
      </c>
      <c r="U550" s="20">
        <f>0</f>
        <v>0</v>
      </c>
    </row>
    <row r="551" spans="1:21">
      <c r="A551" s="15" t="s">
        <v>270</v>
      </c>
      <c r="B551" s="15" t="s">
        <v>272</v>
      </c>
      <c r="C551" s="13">
        <f>EDATE('1 - Titoli e shock'!$B$6,12*3)</f>
        <v>47410</v>
      </c>
      <c r="F551" s="20">
        <f>IF(2&lt;'1 - Titoli e shock'!$B$11,-'1 - Titoli e shock'!$B$9*H116,0)</f>
        <v>-465.55104643507616</v>
      </c>
      <c r="G551" s="20">
        <f>IF(2&lt;'1 - Titoli e shock'!$B$11,-'1 - Titoli e shock'!$B$9*H132,0)</f>
        <v>-402.22586989603764</v>
      </c>
      <c r="H551" s="20">
        <f>IF(2&lt;'1 - Titoli e shock'!$B$11,-'1 - Titoli e shock'!$B$9*H148,0)</f>
        <v>-350.50472600979145</v>
      </c>
      <c r="I551" s="20">
        <f>IF(2&lt;'1 - Titoli e shock'!$B$11,-'1 - Titoli e shock'!$B$9*H164,0)</f>
        <v>-308.00892919369227</v>
      </c>
      <c r="J551" s="20">
        <f>0</f>
        <v>0</v>
      </c>
      <c r="K551" s="20">
        <f>0</f>
        <v>0</v>
      </c>
      <c r="L551" s="20">
        <f>0</f>
        <v>0</v>
      </c>
      <c r="M551" s="20">
        <f>0</f>
        <v>0</v>
      </c>
      <c r="N551" s="20">
        <f>0</f>
        <v>0</v>
      </c>
      <c r="O551" s="20">
        <f>0</f>
        <v>0</v>
      </c>
      <c r="P551" s="20">
        <f>0</f>
        <v>0</v>
      </c>
      <c r="Q551" s="20">
        <f>0</f>
        <v>0</v>
      </c>
      <c r="R551" s="20">
        <f>0</f>
        <v>0</v>
      </c>
      <c r="S551" s="20">
        <f>0</f>
        <v>0</v>
      </c>
      <c r="T551" s="20">
        <f>0</f>
        <v>0</v>
      </c>
      <c r="U551" s="20">
        <f>0</f>
        <v>0</v>
      </c>
    </row>
    <row r="552" spans="1:21">
      <c r="A552" s="15" t="s">
        <v>270</v>
      </c>
      <c r="B552" s="15" t="s">
        <v>272</v>
      </c>
      <c r="C552" s="13">
        <f>EDATE('1 - Titoli e shock'!$B$6,12*4)</f>
        <v>47775</v>
      </c>
      <c r="F552" s="20">
        <f>IF(3&lt;'1 - Titoli e shock'!$B$11,-'1 - Titoli e shock'!$B$9*I116,0)</f>
        <v>-465.90656045252734</v>
      </c>
      <c r="G552" s="20">
        <f>IF(3&lt;'1 - Titoli e shock'!$B$11,-'1 - Titoli e shock'!$B$9*I132,0)</f>
        <v>-403.80197689032417</v>
      </c>
      <c r="H552" s="20">
        <f>IF(3&lt;'1 - Titoli e shock'!$B$11,-'1 - Titoli e shock'!$B$9*I148,0)</f>
        <v>-352.77594739378543</v>
      </c>
      <c r="I552" s="20">
        <f>IF(3&lt;'1 - Titoli e shock'!$B$11,-'1 - Titoli e shock'!$B$9*I164,0)</f>
        <v>-310.62188188214651</v>
      </c>
      <c r="J552" s="20">
        <f>0</f>
        <v>0</v>
      </c>
      <c r="K552" s="20">
        <f>0</f>
        <v>0</v>
      </c>
      <c r="L552" s="20">
        <f>0</f>
        <v>0</v>
      </c>
      <c r="M552" s="20">
        <f>0</f>
        <v>0</v>
      </c>
      <c r="N552" s="20">
        <f>0</f>
        <v>0</v>
      </c>
      <c r="O552" s="20">
        <f>0</f>
        <v>0</v>
      </c>
      <c r="P552" s="20">
        <f>0</f>
        <v>0</v>
      </c>
      <c r="Q552" s="20">
        <f>0</f>
        <v>0</v>
      </c>
      <c r="R552" s="20">
        <f>0</f>
        <v>0</v>
      </c>
      <c r="S552" s="20">
        <f>0</f>
        <v>0</v>
      </c>
      <c r="T552" s="20">
        <f>0</f>
        <v>0</v>
      </c>
      <c r="U552" s="20">
        <f>0</f>
        <v>0</v>
      </c>
    </row>
    <row r="553" spans="1:21">
      <c r="A553" s="15" t="s">
        <v>270</v>
      </c>
      <c r="B553" s="15" t="s">
        <v>272</v>
      </c>
      <c r="C553" s="13">
        <f>EDATE('1 - Titoli e shock'!$B$6,12*5)</f>
        <v>48140</v>
      </c>
      <c r="F553" s="20">
        <f>IF(4&lt;'1 - Titoli e shock'!$B$11,-'1 - Titoli e shock'!$B$9*J116,0)</f>
        <v>-466.16298885843185</v>
      </c>
      <c r="G553" s="20">
        <f>IF(4&lt;'1 - Titoli e shock'!$B$11,-'1 - Titoli e shock'!$B$9*J132,0)</f>
        <v>-405.36641393631123</v>
      </c>
      <c r="H553" s="20">
        <f>IF(4&lt;'1 - Titoli e shock'!$B$11,-'1 - Titoli e shock'!$B$9*J148,0)</f>
        <v>-355.11019404346797</v>
      </c>
      <c r="I553" s="20">
        <f>IF(4&lt;'1 - Titoli e shock'!$B$11,-'1 - Titoli e shock'!$B$9*J164,0)</f>
        <v>-313.35754853436094</v>
      </c>
      <c r="J553" s="20">
        <f>0</f>
        <v>0</v>
      </c>
      <c r="K553" s="20">
        <f>0</f>
        <v>0</v>
      </c>
      <c r="L553" s="20">
        <f>0</f>
        <v>0</v>
      </c>
      <c r="M553" s="20">
        <f>0</f>
        <v>0</v>
      </c>
      <c r="N553" s="20">
        <f>0</f>
        <v>0</v>
      </c>
      <c r="O553" s="20">
        <f>0</f>
        <v>0</v>
      </c>
      <c r="P553" s="20">
        <f>0</f>
        <v>0</v>
      </c>
      <c r="Q553" s="20">
        <f>0</f>
        <v>0</v>
      </c>
      <c r="R553" s="20">
        <f>0</f>
        <v>0</v>
      </c>
      <c r="S553" s="20">
        <f>0</f>
        <v>0</v>
      </c>
      <c r="T553" s="20">
        <f>0</f>
        <v>0</v>
      </c>
      <c r="U553" s="20">
        <f>0</f>
        <v>0</v>
      </c>
    </row>
    <row r="554" spans="1:21">
      <c r="A554" s="15" t="s">
        <v>270</v>
      </c>
      <c r="B554" s="15" t="s">
        <v>272</v>
      </c>
      <c r="C554" s="13">
        <f>EDATE('1 - Titoli e shock'!$B$6,12*6)</f>
        <v>48506</v>
      </c>
      <c r="F554" s="20">
        <f>IF(5&lt;'1 - Titoli e shock'!$B$11,-'1 - Titoli e shock'!$B$9*K116,0)</f>
        <v>-466.31490477248497</v>
      </c>
      <c r="G554" s="20">
        <f>IF(5&lt;'1 - Titoli e shock'!$B$11,-'1 - Titoli e shock'!$B$9*K132,0)</f>
        <v>-406.9163821578191</v>
      </c>
      <c r="H554" s="20">
        <f>IF(5&lt;'1 - Titoli e shock'!$B$11,-'1 - Titoli e shock'!$B$9*K148,0)</f>
        <v>-357.50872086444446</v>
      </c>
      <c r="I554" s="20">
        <f>IF(5&lt;'1 - Titoli e shock'!$B$11,-'1 - Titoli e shock'!$B$9*K164,0)</f>
        <v>-316.22195434021671</v>
      </c>
      <c r="J554" s="20">
        <f>0</f>
        <v>0</v>
      </c>
      <c r="K554" s="20">
        <f>0</f>
        <v>0</v>
      </c>
      <c r="L554" s="20">
        <f>0</f>
        <v>0</v>
      </c>
      <c r="M554" s="20">
        <f>0</f>
        <v>0</v>
      </c>
      <c r="N554" s="20">
        <f>0</f>
        <v>0</v>
      </c>
      <c r="O554" s="20">
        <f>0</f>
        <v>0</v>
      </c>
      <c r="P554" s="20">
        <f>0</f>
        <v>0</v>
      </c>
      <c r="Q554" s="20">
        <f>0</f>
        <v>0</v>
      </c>
      <c r="R554" s="20">
        <f>0</f>
        <v>0</v>
      </c>
      <c r="S554" s="20">
        <f>0</f>
        <v>0</v>
      </c>
      <c r="T554" s="20">
        <f>0</f>
        <v>0</v>
      </c>
      <c r="U554" s="20">
        <f>0</f>
        <v>0</v>
      </c>
    </row>
    <row r="555" spans="1:21">
      <c r="A555" s="15" t="s">
        <v>270</v>
      </c>
      <c r="B555" s="15" t="s">
        <v>272</v>
      </c>
      <c r="C555" s="13">
        <f>EDATE('1 - Titoli e shock'!$B$6,12*7)</f>
        <v>48871</v>
      </c>
      <c r="F555" s="20">
        <f>IF(6&lt;'1 - Titoli e shock'!$B$11,-'1 - Titoli e shock'!$B$9*L116,0)</f>
        <v>-466.35847853903942</v>
      </c>
      <c r="G555" s="20">
        <f>IF(6&lt;'1 - Titoli e shock'!$B$11,-'1 - Titoli e shock'!$B$9*L132,0)</f>
        <v>-408.45191554540617</v>
      </c>
      <c r="H555" s="20">
        <f>IF(6&lt;'1 - Titoli e shock'!$B$11,-'1 - Titoli e shock'!$B$9*L148,0)</f>
        <v>-359.97646162639603</v>
      </c>
      <c r="I555" s="20">
        <f>IF(6&lt;'1 - Titoli e shock'!$B$11,-'1 - Titoli e shock'!$B$9*L164,0)</f>
        <v>-319.22541938367863</v>
      </c>
      <c r="J555" s="20">
        <f>0</f>
        <v>0</v>
      </c>
      <c r="K555" s="20">
        <f>0</f>
        <v>0</v>
      </c>
      <c r="L555" s="20">
        <f>0</f>
        <v>0</v>
      </c>
      <c r="M555" s="20">
        <f>0</f>
        <v>0</v>
      </c>
      <c r="N555" s="20">
        <f>0</f>
        <v>0</v>
      </c>
      <c r="O555" s="20">
        <f>0</f>
        <v>0</v>
      </c>
      <c r="P555" s="20">
        <f>0</f>
        <v>0</v>
      </c>
      <c r="Q555" s="20">
        <f>0</f>
        <v>0</v>
      </c>
      <c r="R555" s="20">
        <f>0</f>
        <v>0</v>
      </c>
      <c r="S555" s="20">
        <f>0</f>
        <v>0</v>
      </c>
      <c r="T555" s="20">
        <f>0</f>
        <v>0</v>
      </c>
      <c r="U555" s="20">
        <f>0</f>
        <v>0</v>
      </c>
    </row>
    <row r="556" spans="1:21">
      <c r="A556" s="15" t="s">
        <v>270</v>
      </c>
      <c r="B556" s="15" t="s">
        <v>272</v>
      </c>
      <c r="C556" s="13">
        <f>EDATE('1 - Titoli e shock'!$B$6,12*8)</f>
        <v>49236</v>
      </c>
      <c r="F556" s="20">
        <f>IF(7&lt;'1 - Titoli e shock'!$B$11,-'1 - Titoli e shock'!$B$9*M116,0)</f>
        <v>-466.34741813814526</v>
      </c>
      <c r="G556" s="20">
        <f>IF(7&lt;'1 - Titoli e shock'!$B$11,-'1 - Titoli e shock'!$B$9*M132,0)</f>
        <v>-410.01919556551036</v>
      </c>
      <c r="H556" s="20">
        <f>IF(7&lt;'1 - Titoli e shock'!$B$11,-'1 - Titoli e shock'!$B$9*M148,0)</f>
        <v>-362.55576482996509</v>
      </c>
      <c r="I556" s="20">
        <f>IF(7&lt;'1 - Titoli e shock'!$B$11,-'1 - Titoli e shock'!$B$9*M164,0)</f>
        <v>-322.40903491907375</v>
      </c>
      <c r="J556" s="20">
        <f>0</f>
        <v>0</v>
      </c>
      <c r="K556" s="20">
        <f>0</f>
        <v>0</v>
      </c>
      <c r="L556" s="20">
        <f>0</f>
        <v>0</v>
      </c>
      <c r="M556" s="20">
        <f>0</f>
        <v>0</v>
      </c>
      <c r="N556" s="20">
        <f>0</f>
        <v>0</v>
      </c>
      <c r="O556" s="20">
        <f>0</f>
        <v>0</v>
      </c>
      <c r="P556" s="20">
        <f>0</f>
        <v>0</v>
      </c>
      <c r="Q556" s="20">
        <f>0</f>
        <v>0</v>
      </c>
      <c r="R556" s="20">
        <f>0</f>
        <v>0</v>
      </c>
      <c r="S556" s="20">
        <f>0</f>
        <v>0</v>
      </c>
      <c r="T556" s="20">
        <f>0</f>
        <v>0</v>
      </c>
      <c r="U556" s="20">
        <f>0</f>
        <v>0</v>
      </c>
    </row>
    <row r="557" spans="1:21">
      <c r="A557" s="15" t="s">
        <v>270</v>
      </c>
      <c r="B557" s="15" t="s">
        <v>272</v>
      </c>
      <c r="C557" s="13">
        <f>EDATE('1 - Titoli e shock'!$B$6,12*9)</f>
        <v>49601</v>
      </c>
      <c r="F557" s="20">
        <f>IF(8&lt;'1 - Titoli e shock'!$B$11,-'1 - Titoli e shock'!$B$9*N116,0)</f>
        <v>-466.29808447247012</v>
      </c>
      <c r="G557" s="20">
        <f>IF(8&lt;'1 - Titoli e shock'!$B$11,-'1 - Titoli e shock'!$B$9*N132,0)</f>
        <v>-411.63564336047011</v>
      </c>
      <c r="H557" s="20">
        <f>IF(8&lt;'1 - Titoli e shock'!$B$11,-'1 - Titoli e shock'!$B$9*N148,0)</f>
        <v>-365.26693544184121</v>
      </c>
      <c r="I557" s="20">
        <f>IF(8&lt;'1 - Titoli e shock'!$B$11,-'1 - Titoli e shock'!$B$9*N164,0)</f>
        <v>-325.79718194650383</v>
      </c>
      <c r="J557" s="20">
        <f>0</f>
        <v>0</v>
      </c>
      <c r="K557" s="20">
        <f>0</f>
        <v>0</v>
      </c>
      <c r="L557" s="20">
        <f>0</f>
        <v>0</v>
      </c>
      <c r="M557" s="20">
        <f>0</f>
        <v>0</v>
      </c>
      <c r="N557" s="20">
        <f>0</f>
        <v>0</v>
      </c>
      <c r="O557" s="20">
        <f>0</f>
        <v>0</v>
      </c>
      <c r="P557" s="20">
        <f>0</f>
        <v>0</v>
      </c>
      <c r="Q557" s="20">
        <f>0</f>
        <v>0</v>
      </c>
      <c r="R557" s="20">
        <f>0</f>
        <v>0</v>
      </c>
      <c r="S557" s="20">
        <f>0</f>
        <v>0</v>
      </c>
      <c r="T557" s="20">
        <f>0</f>
        <v>0</v>
      </c>
      <c r="U557" s="20">
        <f>0</f>
        <v>0</v>
      </c>
    </row>
    <row r="558" spans="1:21">
      <c r="A558" s="15" t="s">
        <v>270</v>
      </c>
      <c r="B558" s="15" t="s">
        <v>272</v>
      </c>
      <c r="C558" s="13">
        <f>EDATE('1 - Titoli e shock'!$B$6,12*10)</f>
        <v>49967</v>
      </c>
      <c r="F558" s="20">
        <f>IF(9&lt;'1 - Titoli e shock'!$B$11,-'1 - Titoli e shock'!$B$9*O116,0)</f>
        <v>-466.1080739457496</v>
      </c>
      <c r="G558" s="20">
        <f>IF(9&lt;'1 - Titoli e shock'!$B$11,-'1 - Titoli e shock'!$B$9*O132,0)</f>
        <v>-413.21711347531101</v>
      </c>
      <c r="H558" s="20">
        <f>IF(9&lt;'1 - Titoli e shock'!$B$11,-'1 - Titoli e shock'!$B$9*O148,0)</f>
        <v>-368.04338827381986</v>
      </c>
      <c r="I558" s="20">
        <f>IF(9&lt;'1 - Titoli e shock'!$B$11,-'1 - Titoli e shock'!$B$9*O164,0)</f>
        <v>-329.33995976292385</v>
      </c>
      <c r="J558" s="20">
        <f>0</f>
        <v>0</v>
      </c>
      <c r="K558" s="20">
        <f>0</f>
        <v>0</v>
      </c>
      <c r="L558" s="20">
        <f>0</f>
        <v>0</v>
      </c>
      <c r="M558" s="20">
        <f>0</f>
        <v>0</v>
      </c>
      <c r="N558" s="20">
        <f>0</f>
        <v>0</v>
      </c>
      <c r="O558" s="20">
        <f>0</f>
        <v>0</v>
      </c>
      <c r="P558" s="20">
        <f>0</f>
        <v>0</v>
      </c>
      <c r="Q558" s="20">
        <f>0</f>
        <v>0</v>
      </c>
      <c r="R558" s="20">
        <f>0</f>
        <v>0</v>
      </c>
      <c r="S558" s="20">
        <f>0</f>
        <v>0</v>
      </c>
      <c r="T558" s="20">
        <f>0</f>
        <v>0</v>
      </c>
      <c r="U558" s="20">
        <f>0</f>
        <v>0</v>
      </c>
    </row>
    <row r="559" spans="1:21">
      <c r="A559" s="15" t="s">
        <v>270</v>
      </c>
      <c r="B559" s="15" t="s">
        <v>272</v>
      </c>
      <c r="C559" s="13">
        <f>EDATE('1 - Titoli e shock'!$B$6,12*11)</f>
        <v>50332</v>
      </c>
      <c r="F559" s="20">
        <f>IF(10&lt;'1 - Titoli e shock'!$B$11,-'1 - Titoli e shock'!$B$9*P116,0)</f>
        <v>0</v>
      </c>
      <c r="G559" s="20">
        <f>IF(10&lt;'1 - Titoli e shock'!$B$11,-'1 - Titoli e shock'!$B$9*P132,0)</f>
        <v>0</v>
      </c>
      <c r="H559" s="20">
        <f>IF(10&lt;'1 - Titoli e shock'!$B$11,-'1 - Titoli e shock'!$B$9*P148,0)</f>
        <v>0</v>
      </c>
      <c r="I559" s="20">
        <f>IF(10&lt;'1 - Titoli e shock'!$B$11,-'1 - Titoli e shock'!$B$9*P164,0)</f>
        <v>0</v>
      </c>
      <c r="J559" s="20">
        <f>0</f>
        <v>0</v>
      </c>
      <c r="K559" s="20">
        <f>0</f>
        <v>0</v>
      </c>
      <c r="L559" s="20">
        <f>0</f>
        <v>0</v>
      </c>
      <c r="M559" s="20">
        <f>0</f>
        <v>0</v>
      </c>
      <c r="N559" s="20">
        <f>0</f>
        <v>0</v>
      </c>
      <c r="O559" s="20">
        <f>0</f>
        <v>0</v>
      </c>
      <c r="P559" s="20">
        <f>0</f>
        <v>0</v>
      </c>
      <c r="Q559" s="20">
        <f>0</f>
        <v>0</v>
      </c>
      <c r="R559" s="20">
        <f>0</f>
        <v>0</v>
      </c>
      <c r="S559" s="20">
        <f>0</f>
        <v>0</v>
      </c>
      <c r="T559" s="20">
        <f>0</f>
        <v>0</v>
      </c>
      <c r="U559" s="20">
        <f>0</f>
        <v>0</v>
      </c>
    </row>
    <row r="560" spans="1:21">
      <c r="A560" s="15" t="s">
        <v>270</v>
      </c>
      <c r="B560" s="15" t="s">
        <v>272</v>
      </c>
      <c r="C560" s="13">
        <f>EDATE('1 - Titoli e shock'!$B$6,12*12)</f>
        <v>50697</v>
      </c>
      <c r="F560" s="20">
        <f>IF(11&lt;'1 - Titoli e shock'!$B$11,-'1 - Titoli e shock'!$B$9*Q116,0)</f>
        <v>0</v>
      </c>
      <c r="G560" s="20">
        <f>IF(11&lt;'1 - Titoli e shock'!$B$11,-'1 - Titoli e shock'!$B$9*Q132,0)</f>
        <v>0</v>
      </c>
      <c r="H560" s="20">
        <f>IF(11&lt;'1 - Titoli e shock'!$B$11,-'1 - Titoli e shock'!$B$9*Q148,0)</f>
        <v>0</v>
      </c>
      <c r="I560" s="20">
        <f>IF(11&lt;'1 - Titoli e shock'!$B$11,-'1 - Titoli e shock'!$B$9*Q164,0)</f>
        <v>0</v>
      </c>
      <c r="J560" s="20">
        <f>0</f>
        <v>0</v>
      </c>
      <c r="K560" s="20">
        <f>0</f>
        <v>0</v>
      </c>
      <c r="L560" s="20">
        <f>0</f>
        <v>0</v>
      </c>
      <c r="M560" s="20">
        <f>0</f>
        <v>0</v>
      </c>
      <c r="N560" s="20">
        <f>0</f>
        <v>0</v>
      </c>
      <c r="O560" s="20">
        <f>0</f>
        <v>0</v>
      </c>
      <c r="P560" s="20">
        <f>0</f>
        <v>0</v>
      </c>
      <c r="Q560" s="20">
        <f>0</f>
        <v>0</v>
      </c>
      <c r="R560" s="20">
        <f>0</f>
        <v>0</v>
      </c>
      <c r="S560" s="20">
        <f>0</f>
        <v>0</v>
      </c>
      <c r="T560" s="20">
        <f>0</f>
        <v>0</v>
      </c>
      <c r="U560" s="20">
        <f>0</f>
        <v>0</v>
      </c>
    </row>
    <row r="561" spans="1:21">
      <c r="A561" s="15" t="s">
        <v>270</v>
      </c>
      <c r="B561" s="15" t="s">
        <v>272</v>
      </c>
      <c r="C561" s="13">
        <f>EDATE('1 - Titoli e shock'!$B$6,12*13)</f>
        <v>51062</v>
      </c>
      <c r="F561" s="20">
        <f>IF(12&lt;'1 - Titoli e shock'!$B$11,-'1 - Titoli e shock'!$B$9*R116,0)</f>
        <v>0</v>
      </c>
      <c r="G561" s="20">
        <f>IF(12&lt;'1 - Titoli e shock'!$B$11,-'1 - Titoli e shock'!$B$9*R132,0)</f>
        <v>0</v>
      </c>
      <c r="H561" s="20">
        <f>IF(12&lt;'1 - Titoli e shock'!$B$11,-'1 - Titoli e shock'!$B$9*R148,0)</f>
        <v>0</v>
      </c>
      <c r="I561" s="20">
        <f>IF(12&lt;'1 - Titoli e shock'!$B$11,-'1 - Titoli e shock'!$B$9*R164,0)</f>
        <v>0</v>
      </c>
      <c r="J561" s="20">
        <f>0</f>
        <v>0</v>
      </c>
      <c r="K561" s="20">
        <f>0</f>
        <v>0</v>
      </c>
      <c r="L561" s="20">
        <f>0</f>
        <v>0</v>
      </c>
      <c r="M561" s="20">
        <f>0</f>
        <v>0</v>
      </c>
      <c r="N561" s="20">
        <f>0</f>
        <v>0</v>
      </c>
      <c r="O561" s="20">
        <f>0</f>
        <v>0</v>
      </c>
      <c r="P561" s="20">
        <f>0</f>
        <v>0</v>
      </c>
      <c r="Q561" s="20">
        <f>0</f>
        <v>0</v>
      </c>
      <c r="R561" s="20">
        <f>0</f>
        <v>0</v>
      </c>
      <c r="S561" s="20">
        <f>0</f>
        <v>0</v>
      </c>
      <c r="T561" s="20">
        <f>0</f>
        <v>0</v>
      </c>
      <c r="U561" s="20">
        <f>0</f>
        <v>0</v>
      </c>
    </row>
    <row r="562" spans="1:21">
      <c r="A562" s="15" t="s">
        <v>270</v>
      </c>
      <c r="B562" s="15" t="s">
        <v>272</v>
      </c>
      <c r="C562" s="13">
        <f>EDATE('1 - Titoli e shock'!$B$6,12*14)</f>
        <v>51428</v>
      </c>
      <c r="F562" s="20">
        <f>IF(13&lt;'1 - Titoli e shock'!$B$11,-'1 - Titoli e shock'!$B$9*S116,0)</f>
        <v>0</v>
      </c>
      <c r="G562" s="20">
        <f>IF(13&lt;'1 - Titoli e shock'!$B$11,-'1 - Titoli e shock'!$B$9*S132,0)</f>
        <v>0</v>
      </c>
      <c r="H562" s="20">
        <f>IF(13&lt;'1 - Titoli e shock'!$B$11,-'1 - Titoli e shock'!$B$9*S148,0)</f>
        <v>0</v>
      </c>
      <c r="I562" s="20">
        <f>IF(13&lt;'1 - Titoli e shock'!$B$11,-'1 - Titoli e shock'!$B$9*S164,0)</f>
        <v>0</v>
      </c>
      <c r="J562" s="20">
        <f>0</f>
        <v>0</v>
      </c>
      <c r="K562" s="20">
        <f>0</f>
        <v>0</v>
      </c>
      <c r="L562" s="20">
        <f>0</f>
        <v>0</v>
      </c>
      <c r="M562" s="20">
        <f>0</f>
        <v>0</v>
      </c>
      <c r="N562" s="20">
        <f>0</f>
        <v>0</v>
      </c>
      <c r="O562" s="20">
        <f>0</f>
        <v>0</v>
      </c>
      <c r="P562" s="20">
        <f>0</f>
        <v>0</v>
      </c>
      <c r="Q562" s="20">
        <f>0</f>
        <v>0</v>
      </c>
      <c r="R562" s="20">
        <f>0</f>
        <v>0</v>
      </c>
      <c r="S562" s="20">
        <f>0</f>
        <v>0</v>
      </c>
      <c r="T562" s="20">
        <f>0</f>
        <v>0</v>
      </c>
      <c r="U562" s="20">
        <f>0</f>
        <v>0</v>
      </c>
    </row>
    <row r="563" spans="1:21">
      <c r="A563" s="15" t="s">
        <v>270</v>
      </c>
      <c r="B563" s="15" t="s">
        <v>272</v>
      </c>
      <c r="C563" s="13">
        <f>EDATE('1 - Titoli e shock'!$B$6,12*15)</f>
        <v>51793</v>
      </c>
      <c r="F563" s="20">
        <f>IF(14&lt;'1 - Titoli e shock'!$B$11,-'1 - Titoli e shock'!$B$9*T116,0)</f>
        <v>0</v>
      </c>
      <c r="G563" s="20">
        <f>IF(14&lt;'1 - Titoli e shock'!$B$11,-'1 - Titoli e shock'!$B$9*T132,0)</f>
        <v>0</v>
      </c>
      <c r="H563" s="20">
        <f>IF(14&lt;'1 - Titoli e shock'!$B$11,-'1 - Titoli e shock'!$B$9*T148,0)</f>
        <v>0</v>
      </c>
      <c r="I563" s="20">
        <f>IF(14&lt;'1 - Titoli e shock'!$B$11,-'1 - Titoli e shock'!$B$9*T164,0)</f>
        <v>0</v>
      </c>
      <c r="J563" s="20">
        <f>0</f>
        <v>0</v>
      </c>
      <c r="K563" s="20">
        <f>0</f>
        <v>0</v>
      </c>
      <c r="L563" s="20">
        <f>0</f>
        <v>0</v>
      </c>
      <c r="M563" s="20">
        <f>0</f>
        <v>0</v>
      </c>
      <c r="N563" s="20">
        <f>0</f>
        <v>0</v>
      </c>
      <c r="O563" s="20">
        <f>0</f>
        <v>0</v>
      </c>
      <c r="P563" s="20">
        <f>0</f>
        <v>0</v>
      </c>
      <c r="Q563" s="20">
        <f>0</f>
        <v>0</v>
      </c>
      <c r="R563" s="20">
        <f>0</f>
        <v>0</v>
      </c>
      <c r="S563" s="20">
        <f>0</f>
        <v>0</v>
      </c>
      <c r="T563" s="20">
        <f>0</f>
        <v>0</v>
      </c>
      <c r="U563" s="20">
        <f>0</f>
        <v>0</v>
      </c>
    </row>
    <row r="564" spans="1:21">
      <c r="A564" s="15" t="s">
        <v>270</v>
      </c>
      <c r="B564" s="15" t="s">
        <v>272</v>
      </c>
      <c r="C564" s="13">
        <f>EDATE('1 - Titoli e shock'!$B$6,12*16)</f>
        <v>52158</v>
      </c>
      <c r="F564" s="20">
        <f>IF(15&lt;'1 - Titoli e shock'!$B$11,-'1 - Titoli e shock'!$B$9*U116,0)</f>
        <v>0</v>
      </c>
      <c r="G564" s="20">
        <f>IF(15&lt;'1 - Titoli e shock'!$B$11,-'1 - Titoli e shock'!$B$9*U132,0)</f>
        <v>0</v>
      </c>
      <c r="H564" s="20">
        <f>IF(15&lt;'1 - Titoli e shock'!$B$11,-'1 - Titoli e shock'!$B$9*U148,0)</f>
        <v>0</v>
      </c>
      <c r="I564" s="20">
        <f>IF(15&lt;'1 - Titoli e shock'!$B$11,-'1 - Titoli e shock'!$B$9*U164,0)</f>
        <v>0</v>
      </c>
      <c r="J564" s="20">
        <f>0</f>
        <v>0</v>
      </c>
      <c r="K564" s="20">
        <f>0</f>
        <v>0</v>
      </c>
      <c r="L564" s="20">
        <f>0</f>
        <v>0</v>
      </c>
      <c r="M564" s="20">
        <f>0</f>
        <v>0</v>
      </c>
      <c r="N564" s="20">
        <f>0</f>
        <v>0</v>
      </c>
      <c r="O564" s="20">
        <f>0</f>
        <v>0</v>
      </c>
      <c r="P564" s="20">
        <f>0</f>
        <v>0</v>
      </c>
      <c r="Q564" s="20">
        <f>0</f>
        <v>0</v>
      </c>
      <c r="R564" s="20">
        <f>0</f>
        <v>0</v>
      </c>
      <c r="S564" s="20">
        <f>0</f>
        <v>0</v>
      </c>
      <c r="T564" s="20">
        <f>0</f>
        <v>0</v>
      </c>
      <c r="U564" s="20">
        <f>0</f>
        <v>0</v>
      </c>
    </row>
    <row r="566" spans="1:21" ht="30" customHeight="1">
      <c r="A566" s="35" t="s">
        <v>273</v>
      </c>
      <c r="B566" s="33"/>
      <c r="C566" s="33"/>
      <c r="D566" s="33"/>
      <c r="E566" s="33"/>
      <c r="F566" s="33"/>
      <c r="G566" s="33"/>
      <c r="H566" s="33"/>
      <c r="I566" s="33"/>
      <c r="J566" s="33"/>
    </row>
  </sheetData>
  <mergeCells count="17">
    <mergeCell ref="A76:J76"/>
    <mergeCell ref="A47:J47"/>
    <mergeCell ref="A1:J1"/>
    <mergeCell ref="A103:J103"/>
    <mergeCell ref="A32:J32"/>
    <mergeCell ref="A566:J566"/>
    <mergeCell ref="A89:J89"/>
    <mergeCell ref="A168:J168"/>
    <mergeCell ref="A119:J119"/>
    <mergeCell ref="A135:J135"/>
    <mergeCell ref="A514:J514"/>
    <mergeCell ref="A8:J8"/>
    <mergeCell ref="A3:J3"/>
    <mergeCell ref="A4:J4"/>
    <mergeCell ref="A73:J73"/>
    <mergeCell ref="A2:J2"/>
    <mergeCell ref="A151:J1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0 - Indice</vt:lpstr>
      <vt:lpstr>1 - Titoli e shock</vt:lpstr>
      <vt:lpstr>2 - Scaletta e confronto</vt:lpstr>
      <vt:lpstr>3 - Inflazione e vendita</vt:lpstr>
      <vt:lpstr>4 - Vita e successione</vt:lpstr>
      <vt:lpstr>5 - Motore flussi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2026-10-16T13:33:29Z</dcterms:created>
  <dcterms:modified xsi:type="dcterms:W3CDTF">2026-10-16T13:33:47Z</dcterms:modified>
</cp:coreProperties>
</file>